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ena\Downloads\IMARTICUS\PERSONAL PROJECTS\"/>
    </mc:Choice>
  </mc:AlternateContent>
  <xr:revisionPtr revIDLastSave="0" documentId="13_ncr:1_{49C423AE-1F38-4E65-BC23-AF08177F987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aw_Data" sheetId="1" r:id="rId1"/>
    <sheet name="Project Overview" sheetId="2" r:id="rId2"/>
    <sheet name="Dashboard" sheetId="3" r:id="rId3"/>
    <sheet name="Dashboard2" sheetId="7" r:id="rId4"/>
    <sheet name="Dashboard3" sheetId="11" r:id="rId5"/>
    <sheet name="Dashboard4" sheetId="12" r:id="rId6"/>
  </sheets>
  <definedNames>
    <definedName name="_xlnm._FilterDatabase" localSheetId="4" hidden="1">Dashboard3!$A$4:$N$1004</definedName>
    <definedName name="_xlnm._FilterDatabase" localSheetId="5" hidden="1">Dashboard4!$A$5:$O$1006</definedName>
    <definedName name="_xlnm._FilterDatabase" localSheetId="0" hidden="1">Raw_Data!$A$1:$N$1001</definedName>
    <definedName name="_xlnm.Criteria" localSheetId="5">Dashboard4!$P$2:$Q$3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B29" i="3"/>
  <c r="G22" i="3"/>
  <c r="F22" i="3"/>
  <c r="E22" i="3"/>
  <c r="G21" i="3"/>
  <c r="F21" i="3"/>
  <c r="E21" i="3"/>
  <c r="G20" i="3"/>
  <c r="F20" i="3"/>
  <c r="E20" i="3"/>
  <c r="C19" i="3"/>
  <c r="A19" i="3"/>
  <c r="D16" i="3"/>
  <c r="D15" i="3"/>
  <c r="D14" i="3"/>
  <c r="D13" i="3"/>
  <c r="B16" i="3"/>
  <c r="B15" i="3"/>
  <c r="B14" i="3"/>
  <c r="B13" i="3"/>
  <c r="B12" i="3"/>
  <c r="E8" i="3"/>
  <c r="E7" i="3"/>
  <c r="E6" i="3"/>
  <c r="E5" i="3"/>
  <c r="E4" i="3"/>
  <c r="C4" i="3"/>
  <c r="C3" i="3"/>
  <c r="B3" i="3"/>
  <c r="A3" i="3"/>
  <c r="A28" i="3"/>
</calcChain>
</file>

<file path=xl/sharedStrings.xml><?xml version="1.0" encoding="utf-8"?>
<sst xmlns="http://schemas.openxmlformats.org/spreadsheetml/2006/main" count="16143" uniqueCount="1087">
  <si>
    <t>Employee_ID</t>
  </si>
  <si>
    <t>Department</t>
  </si>
  <si>
    <t>Job_Title</t>
  </si>
  <si>
    <t>Age</t>
  </si>
  <si>
    <t>Years_At_Company</t>
  </si>
  <si>
    <t>Monthly_Salary</t>
  </si>
  <si>
    <t>Work_Hours_Per_Week</t>
  </si>
  <si>
    <t>Projects_Handled</t>
  </si>
  <si>
    <t>Overtime_Hours</t>
  </si>
  <si>
    <t>Training_Hours</t>
  </si>
  <si>
    <t>Employee_Satisfaction</t>
  </si>
  <si>
    <t>Performance_Score</t>
  </si>
  <si>
    <t>Performance_Level</t>
  </si>
  <si>
    <t>Productivity_Index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</si>
  <si>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</si>
  <si>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</si>
  <si>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</si>
  <si>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</si>
  <si>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</si>
  <si>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</si>
  <si>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</si>
  <si>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</si>
  <si>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</si>
  <si>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</si>
  <si>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</si>
  <si>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</si>
  <si>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</si>
  <si>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</si>
  <si>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</si>
  <si>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</si>
  <si>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</si>
  <si>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</si>
  <si>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</si>
  <si>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</si>
  <si>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</si>
  <si>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</si>
  <si>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</si>
  <si>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</si>
  <si>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</si>
  <si>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</si>
  <si>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</si>
  <si>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</si>
  <si>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</si>
  <si>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</si>
  <si>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</si>
  <si>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</si>
  <si>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</si>
  <si>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</si>
  <si>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</si>
  <si>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</si>
  <si>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</si>
  <si>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</si>
  <si>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</si>
  <si>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</si>
  <si>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</si>
  <si>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</si>
  <si>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</si>
  <si>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</si>
  <si>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</si>
  <si>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</si>
  <si>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</si>
  <si>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</si>
  <si>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</si>
  <si>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</si>
  <si>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</si>
  <si>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</si>
  <si>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</si>
  <si>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</si>
  <si>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</si>
  <si>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</si>
  <si>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</si>
  <si>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</si>
  <si>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</si>
  <si>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</si>
  <si>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</si>
  <si>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</si>
  <si>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</si>
  <si>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</si>
  <si>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</si>
  <si>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</si>
  <si>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</si>
  <si>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</si>
  <si>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</si>
  <si>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</si>
  <si>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</si>
  <si>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</si>
  <si>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</si>
  <si>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</si>
  <si>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</si>
  <si>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</si>
  <si>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</si>
  <si>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</si>
  <si>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</si>
  <si>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</si>
  <si>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</si>
  <si>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</si>
  <si>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</si>
  <si>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</si>
  <si>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</si>
  <si>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</si>
  <si>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</si>
  <si>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</si>
  <si>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</si>
  <si>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</si>
  <si>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</si>
  <si>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</si>
  <si>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</si>
  <si>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</si>
  <si>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</si>
  <si>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</si>
  <si>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</si>
  <si>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</si>
  <si>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</si>
  <si>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</si>
  <si>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</si>
  <si>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</si>
  <si>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</si>
  <si>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</si>
  <si>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</si>
  <si>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</si>
  <si>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</si>
  <si>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</si>
  <si>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</si>
  <si>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</si>
  <si>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</si>
  <si>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</si>
  <si>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</si>
  <si>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</si>
  <si>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</si>
  <si>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</si>
  <si>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</si>
  <si>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</si>
  <si>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</si>
  <si>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</si>
  <si>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</si>
  <si>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</si>
  <si>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</si>
  <si>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</si>
  <si>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</si>
  <si>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</si>
  <si>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</si>
  <si>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</si>
  <si>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</si>
  <si>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</si>
  <si>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</si>
  <si>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</si>
  <si>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</si>
  <si>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</si>
  <si>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</si>
  <si>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</si>
  <si>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</si>
  <si>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</si>
  <si>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</si>
  <si>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</si>
  <si>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</si>
  <si>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</si>
  <si>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</si>
  <si>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</si>
  <si>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</si>
  <si>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</si>
  <si>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</si>
  <si>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</si>
  <si>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</si>
  <si>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</si>
  <si>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</si>
  <si>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</si>
  <si>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</si>
  <si>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</si>
  <si>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</si>
  <si>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</si>
  <si>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</si>
  <si>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</si>
  <si>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</si>
  <si>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</si>
  <si>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</si>
  <si>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</si>
  <si>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</si>
  <si>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</si>
  <si>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</si>
  <si>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</si>
  <si>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</si>
  <si>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</si>
  <si>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</si>
  <si>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</si>
  <si>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</si>
  <si>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</si>
  <si>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</si>
  <si>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</si>
  <si>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</si>
  <si>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</si>
  <si>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</si>
  <si>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</si>
  <si>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</si>
  <si>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</si>
  <si>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</si>
  <si>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</si>
  <si>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</si>
  <si>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</si>
  <si>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</si>
  <si>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</si>
  <si>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</si>
  <si>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</si>
  <si>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</si>
  <si>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</si>
  <si>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</si>
  <si>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</si>
  <si>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</si>
  <si>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</si>
  <si>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</si>
  <si>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</si>
  <si>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</si>
  <si>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</si>
  <si>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</si>
  <si>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</si>
  <si>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</si>
  <si>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</si>
  <si>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</si>
  <si>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</si>
  <si>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</si>
  <si>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</si>
  <si>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</si>
  <si>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</si>
  <si>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</si>
  <si>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</si>
  <si>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</si>
  <si>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</si>
  <si>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</si>
  <si>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</si>
  <si>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</si>
  <si>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</si>
  <si>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</si>
  <si>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</si>
  <si>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</si>
  <si>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</si>
  <si>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</si>
  <si>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</si>
  <si>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</si>
  <si>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</si>
  <si>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</si>
  <si>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</si>
  <si>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</si>
  <si>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</si>
  <si>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</si>
  <si>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</si>
  <si>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</si>
  <si>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</si>
  <si>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</si>
  <si>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</si>
  <si>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</si>
  <si>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</si>
  <si>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</si>
  <si>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</si>
  <si>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</si>
  <si>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</si>
  <si>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</si>
  <si>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</si>
  <si>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</si>
  <si>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</si>
  <si>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</si>
  <si>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</si>
  <si>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</si>
  <si>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</si>
  <si>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</si>
  <si>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</si>
  <si>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</si>
  <si>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</si>
  <si>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</si>
  <si>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</si>
  <si>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</si>
  <si>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</si>
  <si>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</si>
  <si>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</si>
  <si>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</si>
  <si>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</si>
  <si>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</si>
  <si>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</si>
  <si>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</si>
  <si>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</si>
  <si>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</si>
  <si>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</si>
  <si>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</si>
  <si>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</si>
  <si>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</si>
  <si>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</si>
  <si>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</si>
  <si>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</si>
  <si>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</si>
  <si>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</si>
  <si>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</si>
  <si>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</si>
  <si>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</si>
  <si>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</si>
  <si>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</si>
  <si>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</si>
  <si>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</si>
  <si>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</si>
  <si>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</si>
  <si>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</si>
  <si>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</si>
  <si>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</si>
  <si>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</si>
  <si>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</si>
  <si>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</si>
  <si>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</si>
  <si>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</si>
  <si>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</si>
  <si>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</si>
  <si>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</si>
  <si>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</si>
  <si>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</si>
  <si>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</si>
  <si>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</si>
  <si>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</si>
  <si>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</si>
  <si>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</si>
  <si>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</si>
  <si>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</si>
  <si>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</si>
  <si>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</si>
  <si>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</si>
  <si>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</si>
  <si>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</si>
  <si>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</si>
  <si>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</si>
  <si>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</si>
  <si>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</si>
  <si>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</si>
  <si>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</si>
  <si>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</si>
  <si>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</si>
  <si>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</si>
  <si>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</si>
  <si>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</si>
  <si>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</si>
  <si>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</si>
  <si>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</si>
  <si>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</si>
  <si>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</si>
  <si>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</si>
  <si>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</si>
  <si>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</si>
  <si>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</si>
  <si>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</si>
  <si>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</si>
  <si>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</si>
  <si>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</si>
  <si>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</si>
  <si>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</si>
  <si>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</si>
  <si>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</si>
  <si>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</si>
  <si>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</si>
  <si>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</si>
  <si>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</si>
  <si>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</si>
  <si>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</si>
  <si>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</si>
  <si>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</si>
  <si>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</si>
  <si>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</si>
  <si>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</si>
  <si>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</si>
  <si>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</si>
  <si>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</si>
  <si>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</si>
  <si>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</si>
  <si>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</si>
  <si>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</si>
  <si>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</si>
  <si>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</si>
  <si>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</si>
  <si>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</si>
  <si>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</si>
  <si>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</si>
  <si>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</si>
  <si>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</si>
  <si>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</si>
  <si>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</si>
  <si>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</si>
  <si>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</si>
  <si>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</si>
  <si>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</si>
  <si>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</si>
  <si>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</si>
  <si>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</si>
  <si>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</si>
  <si>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</si>
  <si>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</si>
  <si>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</si>
  <si>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</si>
  <si>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</si>
  <si>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</si>
  <si>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</si>
  <si>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</si>
  <si>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</si>
  <si>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</si>
  <si>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</si>
  <si>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</si>
  <si>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</si>
  <si>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</si>
  <si>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</si>
  <si>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</si>
  <si>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</si>
  <si>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</si>
  <si>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</si>
  <si>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</si>
  <si>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</si>
  <si>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</si>
  <si>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</si>
  <si>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</si>
  <si>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</si>
  <si>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</si>
  <si>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</si>
  <si>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</si>
  <si>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</si>
  <si>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</si>
  <si>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</si>
  <si>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</si>
  <si>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</si>
  <si>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</si>
  <si>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</si>
  <si>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</si>
  <si>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</si>
  <si>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</si>
  <si>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</si>
  <si>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</si>
  <si>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</si>
  <si>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</si>
  <si>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</si>
  <si>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</si>
  <si>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</si>
  <si>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</si>
  <si>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</si>
  <si>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</si>
  <si>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</si>
  <si>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</si>
  <si>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</si>
  <si>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</si>
  <si>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</si>
  <si>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</si>
  <si>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</si>
  <si>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</si>
  <si>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</si>
  <si>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</si>
  <si>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</si>
  <si>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</si>
  <si>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</si>
  <si>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</si>
  <si>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</si>
  <si>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</si>
  <si>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</si>
  <si>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</si>
  <si>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</si>
  <si>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</si>
  <si>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</si>
  <si>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</si>
  <si>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</si>
  <si>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</si>
  <si>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</si>
  <si>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</si>
  <si>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</si>
  <si>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</si>
  <si>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</si>
  <si>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</si>
  <si>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</si>
  <si>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</si>
  <si>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</si>
  <si>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</si>
  <si>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</si>
  <si>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</si>
  <si>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</si>
  <si>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</si>
  <si>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</si>
  <si>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</si>
  <si>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</si>
  <si>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</si>
  <si>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</si>
  <si>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</si>
  <si>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</si>
  <si>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</si>
  <si>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</si>
  <si>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</si>
  <si>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</si>
  <si>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</si>
  <si>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</si>
  <si>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</si>
  <si>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</si>
  <si>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</si>
  <si>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</si>
  <si>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</si>
  <si>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</si>
  <si>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</si>
  <si>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</si>
  <si>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</si>
  <si>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</si>
  <si>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</si>
  <si>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</si>
  <si>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</si>
  <si>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</si>
  <si>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</si>
  <si>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</si>
  <si>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</si>
  <si>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</si>
  <si>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</si>
  <si>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</si>
  <si>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</si>
  <si>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</si>
  <si>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</si>
  <si>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</si>
  <si>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</si>
  <si>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</si>
  <si>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</si>
  <si>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</si>
  <si>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</si>
  <si>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</si>
  <si>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</si>
  <si>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</si>
  <si>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</si>
  <si>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</si>
  <si>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</si>
  <si>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</si>
  <si>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</si>
  <si>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</si>
  <si>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</si>
  <si>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</si>
  <si>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</si>
  <si>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</si>
  <si>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</si>
  <si>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</si>
  <si>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</si>
  <si>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</si>
  <si>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</si>
  <si>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</si>
  <si>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</si>
  <si>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</si>
  <si>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</si>
  <si>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</si>
  <si>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</si>
  <si>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</si>
  <si>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</si>
  <si>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</si>
  <si>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</si>
  <si>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</si>
  <si>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</si>
  <si>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</si>
  <si>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</si>
  <si>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</si>
  <si>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</si>
  <si>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</si>
  <si>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</si>
  <si>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</si>
  <si>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</si>
  <si>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</si>
  <si>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</si>
  <si>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</si>
  <si>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</si>
  <si>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</si>
  <si>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</si>
  <si>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</si>
  <si>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</si>
  <si>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</si>
  <si>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</si>
  <si>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</si>
  <si>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</si>
  <si>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</si>
  <si>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</si>
  <si>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</si>
  <si>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</si>
  <si>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</si>
  <si>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</si>
  <si>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</si>
  <si>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</si>
  <si>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</si>
  <si>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</si>
  <si>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</si>
  <si>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</si>
  <si>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</si>
  <si>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</si>
  <si>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</si>
  <si>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</si>
  <si>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</si>
  <si>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</si>
  <si>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</si>
  <si>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</si>
  <si>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</si>
  <si>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</si>
  <si>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</si>
  <si>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</si>
  <si>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</si>
  <si>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</si>
  <si>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</si>
  <si>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</si>
  <si>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</si>
  <si>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</si>
  <si>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</si>
  <si>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</si>
  <si>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</si>
  <si>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</si>
  <si>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</si>
  <si>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</si>
  <si>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</si>
  <si>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</si>
  <si>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</si>
  <si>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</si>
  <si>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</si>
  <si>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</si>
  <si>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</si>
  <si>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</si>
  <si>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</si>
  <si>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</si>
  <si>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</si>
  <si>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</si>
  <si>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</si>
  <si>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</si>
  <si>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</si>
  <si>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</si>
  <si>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</si>
  <si>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</si>
  <si>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</si>
  <si>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</si>
  <si>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</si>
  <si>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</si>
  <si>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</si>
  <si>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</si>
  <si>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</si>
  <si>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</si>
  <si>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</si>
  <si>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</si>
  <si>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</si>
  <si>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</si>
  <si>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</si>
  <si>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</si>
  <si>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</si>
  <si>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</si>
  <si>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</si>
  <si>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</si>
  <si>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</si>
  <si>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</si>
  <si>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</si>
  <si>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</si>
  <si>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</si>
  <si>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</si>
  <si>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</si>
  <si>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</si>
  <si>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</si>
  <si>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</si>
  <si>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</si>
  <si>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</si>
  <si>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</si>
  <si>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</si>
  <si>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</si>
  <si>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</si>
  <si>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</si>
  <si>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</si>
  <si>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</si>
  <si>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</si>
  <si>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</si>
  <si>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</si>
  <si>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</si>
  <si>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</si>
  <si>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</si>
  <si>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</si>
  <si>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</si>
  <si>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</si>
  <si>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</si>
  <si>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</si>
  <si>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</si>
  <si>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</si>
  <si>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</si>
  <si>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</si>
  <si>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</si>
  <si>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</si>
  <si>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</si>
  <si>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</si>
  <si>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</si>
  <si>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</si>
  <si>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</si>
  <si>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</si>
  <si>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</si>
  <si>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</si>
  <si>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</si>
  <si>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</si>
  <si>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</si>
  <si>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</si>
  <si>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</si>
  <si>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</si>
  <si>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</si>
  <si>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</si>
  <si>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</si>
  <si>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</si>
  <si>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</si>
  <si>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</si>
  <si>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</si>
  <si>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</si>
  <si>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</si>
  <si>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</si>
  <si>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</si>
  <si>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</si>
  <si>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</si>
  <si>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</si>
  <si>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</si>
  <si>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</si>
  <si>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</si>
  <si>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</si>
  <si>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</si>
  <si>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</si>
  <si>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</si>
  <si>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</si>
  <si>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</si>
  <si>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</si>
  <si>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</si>
  <si>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</si>
  <si>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</si>
  <si>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</si>
  <si>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</si>
  <si>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</si>
  <si>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</si>
  <si>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</si>
  <si>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</si>
  <si>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</si>
  <si>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</si>
  <si>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</si>
  <si>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</si>
  <si>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</si>
  <si>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</si>
  <si>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</si>
  <si>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</si>
  <si>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</si>
  <si>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</si>
  <si>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</si>
  <si>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</si>
  <si>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</si>
  <si>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</si>
  <si>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</si>
  <si>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</si>
  <si>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</si>
  <si>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</si>
  <si>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</si>
  <si>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</si>
  <si>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</si>
  <si>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</si>
  <si>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</si>
  <si>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</si>
  <si>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</si>
  <si>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</si>
  <si>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</si>
  <si>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</si>
  <si>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</si>
  <si>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</si>
  <si>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</si>
  <si>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</si>
  <si>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</si>
  <si>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</si>
  <si>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</si>
  <si>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</si>
  <si>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</si>
  <si>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</si>
  <si>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</si>
  <si>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</si>
  <si>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</si>
  <si>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</si>
  <si>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</si>
  <si>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</si>
  <si>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</si>
  <si>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</si>
  <si>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</si>
  <si>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</si>
  <si>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</si>
  <si>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</si>
  <si>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</si>
  <si>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</si>
  <si>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</si>
  <si>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</si>
  <si>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</si>
  <si>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</si>
  <si>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</si>
  <si>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</si>
  <si>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</si>
  <si>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</si>
  <si>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</si>
  <si>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</si>
  <si>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</si>
  <si>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</si>
  <si>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</si>
  <si>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</si>
  <si>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</si>
  <si>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</si>
  <si>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</si>
  <si>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</si>
  <si>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</si>
  <si>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</si>
  <si>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</si>
  <si>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</si>
  <si>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</si>
  <si>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</si>
  <si>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</si>
  <si>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</si>
  <si>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</si>
  <si>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</si>
  <si>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</si>
  <si>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</si>
  <si>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</si>
  <si>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</si>
  <si>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</si>
  <si>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</si>
  <si>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</si>
  <si>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</si>
  <si>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</si>
  <si>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</si>
  <si>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</si>
  <si>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</si>
  <si>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</si>
  <si>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</si>
  <si>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</si>
  <si>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</si>
  <si>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</si>
  <si>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</si>
  <si>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</si>
  <si>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</si>
  <si>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</si>
  <si>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</si>
  <si>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</si>
  <si>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</si>
  <si>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</si>
  <si>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</si>
  <si>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</si>
  <si>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</si>
  <si>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</si>
  <si>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</si>
  <si>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</si>
  <si>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</si>
  <si>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</si>
  <si>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</si>
  <si>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</si>
  <si>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</si>
  <si>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</si>
  <si>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</si>
  <si>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</si>
  <si>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</si>
  <si>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</si>
  <si>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</si>
  <si>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</si>
  <si>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</si>
  <si>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</si>
  <si>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</si>
  <si>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</si>
  <si>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</si>
  <si>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</si>
  <si>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</si>
  <si>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</si>
  <si>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</si>
  <si>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</si>
  <si>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</si>
  <si>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</si>
  <si>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</si>
  <si>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</si>
  <si>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</si>
  <si>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</si>
  <si>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</si>
  <si>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</si>
  <si>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</si>
  <si>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</si>
  <si>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</si>
  <si>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</si>
  <si>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</si>
  <si>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</si>
  <si>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</si>
  <si>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</si>
  <si>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</si>
  <si>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</si>
  <si>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</si>
  <si>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</si>
  <si>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</si>
  <si>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</si>
  <si>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</si>
  <si>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</si>
  <si>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</si>
  <si>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</si>
  <si>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</si>
  <si>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</si>
  <si>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</si>
  <si>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</si>
  <si>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</si>
  <si>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</si>
  <si>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</si>
  <si>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</si>
  <si>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</si>
  <si>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</si>
  <si>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</si>
  <si>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</si>
  <si>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</si>
  <si>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</si>
  <si>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</si>
  <si>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</si>
  <si>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</si>
  <si>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</si>
  <si>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</si>
  <si>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</si>
  <si>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</si>
  <si>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</si>
  <si>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</si>
  <si>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</si>
  <si>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</si>
  <si>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</si>
  <si>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</si>
  <si>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</si>
  <si>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</si>
  <si>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</si>
  <si>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</si>
  <si>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</si>
  <si>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</si>
  <si>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</si>
  <si>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</si>
  <si>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</si>
  <si>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</si>
  <si>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</si>
  <si>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</si>
  <si>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</si>
  <si>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</si>
  <si>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</si>
  <si>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</si>
  <si>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</si>
  <si>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</si>
  <si>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</si>
  <si>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</si>
  <si>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</si>
  <si>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</si>
  <si>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</si>
  <si>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</si>
  <si>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</si>
  <si>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</si>
  <si>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</si>
  <si>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</si>
  <si>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</si>
  <si>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</si>
  <si>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</si>
  <si>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</si>
  <si>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</si>
  <si>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</si>
  <si>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</si>
  <si>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</si>
  <si>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</si>
  <si>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</si>
  <si>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</si>
  <si>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</si>
  <si>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</si>
  <si>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</si>
  <si>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</si>
  <si>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</si>
  <si>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</si>
  <si>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</si>
  <si>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</si>
  <si>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</si>
  <si>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</si>
  <si>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</si>
  <si>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</si>
  <si>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</si>
  <si>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</si>
  <si>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</si>
  <si>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</si>
  <si>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</si>
  <si>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</si>
  <si>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</si>
  <si>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</si>
  <si>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</si>
  <si>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</si>
  <si>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</si>
  <si>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</si>
  <si>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</si>
  <si>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</si>
  <si>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</si>
  <si>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</si>
  <si>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</si>
  <si>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</si>
  <si>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</si>
  <si>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</si>
  <si>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</si>
  <si>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</si>
  <si>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</si>
  <si>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</si>
  <si>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</si>
  <si>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</si>
  <si>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</si>
  <si>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</si>
  <si>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</si>
  <si>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</si>
  <si>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</si>
  <si>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</si>
  <si>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</si>
  <si>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</si>
  <si>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</si>
  <si>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</si>
  <si>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</si>
  <si>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</si>
  <si>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</si>
  <si>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</si>
  <si>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</si>
  <si>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</si>
  <si>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</si>
  <si>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</si>
  <si>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</si>
  <si>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</si>
  <si>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</si>
  <si>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</si>
  <si>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</si>
  <si>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</si>
  <si>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</si>
  <si>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</si>
  <si>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</si>
  <si>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</si>
  <si>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</si>
  <si>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</si>
  <si>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</si>
  <si>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</si>
  <si>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Finance</t>
  </si>
  <si>
    <t>Sales</t>
  </si>
  <si>
    <t>IT</t>
  </si>
  <si>
    <t>Marketing</t>
  </si>
  <si>
    <t>HR</t>
  </si>
  <si>
    <t>Financial Analyst</t>
  </si>
  <si>
    <t>Account Manager</t>
  </si>
  <si>
    <t>Sales Analyst</t>
  </si>
  <si>
    <t>IT Executive</t>
  </si>
  <si>
    <t>Data Analyst</t>
  </si>
  <si>
    <t>Content Specialist</t>
  </si>
  <si>
    <t>Finance Executive</t>
  </si>
  <si>
    <t>Marketing Executive</t>
  </si>
  <si>
    <t>Recruiter</t>
  </si>
  <si>
    <t>HR Analyst</t>
  </si>
  <si>
    <t>Sales Executive</t>
  </si>
  <si>
    <t>Marketing Analyst</t>
  </si>
  <si>
    <t>Accountant</t>
  </si>
  <si>
    <t>HR Executive</t>
  </si>
  <si>
    <t>Software Engineer</t>
  </si>
  <si>
    <t>High</t>
  </si>
  <si>
    <t>Medium</t>
  </si>
  <si>
    <t>Low</t>
  </si>
  <si>
    <t>Project Objective:</t>
  </si>
  <si>
    <t>Business Questions:</t>
  </si>
  <si>
    <t xml:space="preserve">                                                  7.How many employees satisfy multiple conditions, such as high performance and high satisfaction?   (COUNTIFS)</t>
  </si>
  <si>
    <t xml:space="preserve">                                                  8.What is the average performance for employees meeting multiple conditions?    (AVERAGEIFS)</t>
  </si>
  <si>
    <t xml:space="preserve">                                                  6.What is the total salary expense for each department?   (SUMIF)</t>
  </si>
  <si>
    <t xml:space="preserve">                                                  1.What is the total number of employees? (COUNT/COUNTA)</t>
  </si>
  <si>
    <t xml:space="preserve">                                                  2.What is the average performance score?  (AVEAGE)</t>
  </si>
  <si>
    <t xml:space="preserve">                                                  3.What is the highest and lowest performance score?  (MAX/MIN)</t>
  </si>
  <si>
    <t xml:space="preserve">                                                  4.How many employees are working in each department? (COUNT IF)</t>
  </si>
  <si>
    <t xml:space="preserve">                                                  5.What is the average performance of each department?  (AVERAGE IF)</t>
  </si>
  <si>
    <r>
      <t xml:space="preserve">                                                   </t>
    </r>
    <r>
      <rPr>
        <b/>
        <sz val="12"/>
        <color theme="1"/>
        <rFont val="Calibri"/>
        <family val="2"/>
        <scheme val="minor"/>
      </rPr>
      <t xml:space="preserve">To analyse employee performance,productivity,statisfication,salary,workload and </t>
    </r>
  </si>
  <si>
    <r>
      <t xml:space="preserve">                                                   </t>
    </r>
    <r>
      <rPr>
        <b/>
        <sz val="12"/>
        <color theme="1"/>
        <rFont val="Calibri"/>
        <family val="2"/>
        <scheme val="minor"/>
      </rPr>
      <t>departmental trends using excel,and provide usefull insights to help management make better HR and workforce decisions.</t>
    </r>
  </si>
  <si>
    <r>
      <t xml:space="preserve">                         </t>
    </r>
    <r>
      <rPr>
        <b/>
        <u/>
        <sz val="26"/>
        <color theme="1"/>
        <rFont val="Calibri"/>
        <family val="2"/>
        <scheme val="minor"/>
      </rPr>
      <t>EMPLOYEE PERFORMANCE &amp; PRODUCTIVITY ANALYSIS USING EXCEL</t>
    </r>
  </si>
  <si>
    <t>1.Total number of employess</t>
  </si>
  <si>
    <t>2.Average Performance score</t>
  </si>
  <si>
    <t>3.High performance and Low perfromance score</t>
  </si>
  <si>
    <t>Employee count</t>
  </si>
  <si>
    <t>Fianace</t>
  </si>
  <si>
    <t>5.Average Performance of each department</t>
  </si>
  <si>
    <t>Average Performance</t>
  </si>
  <si>
    <t>6.Salary Expenses for each department</t>
  </si>
  <si>
    <t>Salary Expenses</t>
  </si>
  <si>
    <t>7.Employees have both high Performance and high satisfication</t>
  </si>
  <si>
    <t>8.Average performance for employees meeting multiple conditions</t>
  </si>
  <si>
    <t>9.VLOOKUP</t>
  </si>
  <si>
    <t>Performance_score</t>
  </si>
  <si>
    <t xml:space="preserve">                                                 10.How can we find the average performance of a particularDepartment?  (HLOOKUP)</t>
  </si>
  <si>
    <t xml:space="preserve">                                                 11.Which department has the highest average performance? (PIVOT TABLE)</t>
  </si>
  <si>
    <t xml:space="preserve">                                                 12.How can department performance be visually compared?   (PIVOT CHART)</t>
  </si>
  <si>
    <t xml:space="preserve">                                                 13.Can HR select a department from a dropdown to avoid incorrect entries?  (DATA VALIDATION)</t>
  </si>
  <si>
    <t xml:space="preserve">                                                 14.How can high and low performers be highlighted automatically?  (CONDITIONAL FORMATTING)</t>
  </si>
  <si>
    <t xml:space="preserve">                                                 15.How can the top_perfroming employees be identified?  (SORT/FILTER)</t>
  </si>
  <si>
    <t xml:space="preserve">                                                  9.Given an Employee ID, how can HR retrieve the employee's department, salary and performance score?    (VLOOKUP)</t>
  </si>
  <si>
    <t>10.HLOOKUP</t>
  </si>
  <si>
    <t>Row Labels</t>
  </si>
  <si>
    <t>Grand Total</t>
  </si>
  <si>
    <t>Average of Performance_Score</t>
  </si>
  <si>
    <t>12.Department performance using pivot chart</t>
  </si>
  <si>
    <t>13.Data Validation</t>
  </si>
  <si>
    <t>Fianance</t>
  </si>
  <si>
    <t xml:space="preserve">                                                 16.How can we identify employees who  have more than 5years of experience and work more than 40 hours per week?  (ADVANCED FILTER)</t>
  </si>
  <si>
    <t>&gt;5</t>
  </si>
  <si>
    <t>&gt;40</t>
  </si>
  <si>
    <t>Column1</t>
  </si>
  <si>
    <t>Column2</t>
  </si>
  <si>
    <t>11.Department wise Average performance</t>
  </si>
  <si>
    <t>14.High and low perfomers using conditional formatting</t>
  </si>
  <si>
    <t>15.Top performing performers using filters</t>
  </si>
  <si>
    <t>16.we identify employees who  have more than 5years of experience and work more than 40 hours per week</t>
  </si>
  <si>
    <t>4.Employess working in each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</si>
</sst>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3" tint="0.3999755851924192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8"/>
      <name val="Calibri"/>
      <family val="2"/>
      <scheme val="minor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0" fontId="6" fillId="2" borderId="0" xfId="0" applyFont="1" applyFill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0" fillId="3" borderId="0" xfId="0" applyFill="1"/>
    <xf numFmtId="0" fontId="11" fillId="0" borderId="0" xfId="0" applyFont="1"/>
    <xf numFmtId="0" fontId="12" fillId="0" borderId="0" xfId="0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[EXCEL-project.xlsx]Dashboard!PivotTable3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Dashboard!$A$34:$A$39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Dashboard!$B$34:$B$39</c:f>
              <c:numCache>
                <c:formatCode>General</c:formatCode>
                <c:ptCount val="5"/>
                <c:pt idx="0">
                  <c:v>6.6366666666666649</c:v>
                </c:pt>
                <c:pt idx="1">
                  <c:v>6.4327956989247275</c:v>
                </c:pt>
                <c:pt idx="2">
                  <c:v>6.5323076923076959</c:v>
                </c:pt>
                <c:pt idx="3">
                  <c:v>6.5431372549019562</c:v>
                </c:pt>
                <c:pt idx="4">
                  <c:v>6.4063414634146358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1-46C3-9BB6-C56F7C6C5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410496"/>
        <c:axId val="19074576"/>
        <c:axId val="0"/>
      </c:bar3DChart>
      <c:catAx>
        <c:axId val="19341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576"/>
        <c:crosses val="autoZero"/>
        <c:auto val="1"/>
        <c:lblAlgn val="ctr"/>
        <c:lblOffset val="100"/>
        <c:noMultiLvlLbl val="0"/>
      </c:catAx>
      <c:valAx>
        <c:axId val="190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32</xdr:row>
      <xdr:rowOff>22860</xdr:rowOff>
    </xdr:from>
    <xdr:to>
      <xdr:col>3</xdr:col>
      <xdr:colOff>1219200</xdr:colOff>
      <xdr:row>45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8B534-07D9-DDB0-06AB-BCF0F3C9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NA SHRI" refreshedDate="46276.975265393521" createdVersion="8" refreshedVersion="8" minRefreshableVersion="3" recordCount="1000" xr:uid="{022679C0-4162-42B3-9DA3-7D3E56E37FB0}">
  <cacheSource type="worksheet">
    <worksheetSource ref="A1:N1001" sheet="Raw_Data"/>
  </cacheSource>
  <cacheFields count="14">
    <cacheField name="Employee_ID" numFmtId="0">
      <sharedItems/>
    </cacheField>
    <cacheField name="Department" numFmtId="0">
      <sharedItems count="5">
        <s v="Finance"/>
        <s v="Sales"/>
        <s v="IT"/>
        <s v="Marketing"/>
        <s v="HR"/>
      </sharedItems>
    </cacheField>
    <cacheField name="Job_Title" numFmtId="0">
      <sharedItems/>
    </cacheField>
    <cacheField name="Age" numFmtId="0">
      <sharedItems containsSemiMixedTypes="0" containsString="0" containsNumber="1" containsInteger="1" minValue="22" maxValue="55"/>
    </cacheField>
    <cacheField name="Years_At_Company" numFmtId="0">
      <sharedItems containsSemiMixedTypes="0" containsString="0" containsNumber="1" containsInteger="1" minValue="0" maxValue="15"/>
    </cacheField>
    <cacheField name="Monthly_Salary" numFmtId="0">
      <sharedItems containsSemiMixedTypes="0" containsString="0" containsNumber="1" containsInteger="1" minValue="25006" maxValue="89964"/>
    </cacheField>
    <cacheField name="Work_Hours_Per_Week" numFmtId="0">
      <sharedItems containsSemiMixedTypes="0" containsString="0" containsNumber="1" containsInteger="1" minValue="35" maxValue="55"/>
    </cacheField>
    <cacheField name="Projects_Handled" numFmtId="0">
      <sharedItems containsSemiMixedTypes="0" containsString="0" containsNumber="1" containsInteger="1" minValue="1" maxValue="15"/>
    </cacheField>
    <cacheField name="Overtime_Hours" numFmtId="0">
      <sharedItems containsSemiMixedTypes="0" containsString="0" containsNumber="1" containsInteger="1" minValue="0" maxValue="25"/>
    </cacheField>
    <cacheField name="Training_Hours" numFmtId="0">
      <sharedItems containsSemiMixedTypes="0" containsString="0" containsNumber="1" containsInteger="1" minValue="0" maxValue="40"/>
    </cacheField>
    <cacheField name="Employee_Satisfaction" numFmtId="0">
      <sharedItems containsSemiMixedTypes="0" containsString="0" containsNumber="1" minValue="2" maxValue="5"/>
    </cacheField>
    <cacheField name="Performance_Score" numFmtId="0">
      <sharedItems containsSemiMixedTypes="0" containsString="0" containsNumber="1" minValue="3" maxValue="10"/>
    </cacheField>
    <cacheField name="Performance_Level" numFmtId="0">
      <sharedItems/>
    </cacheField>
    <cacheField name="Productivity_Index" numFmtId="0">
      <sharedItems containsSemiMixedTypes="0" containsString="0" containsNumber="1" minValue="28.67" maxValue="99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x v="0"/>
    <s v="Financial Analyst"/>
    <n v="23"/>
    <n v="2"/>
    <n v="43024"/>
    <n v="42"/>
    <n v="4"/>
    <n v="4"/>
    <n v="6"/>
    <n v="4"/>
    <n v="9.1999999999999993"/>
    <s v="High"/>
    <n v="73.87"/>
  </r>
  <r>
    <s v="EMP0002"/>
    <x v="1"/>
    <s v="Account Manager"/>
    <n v="49"/>
    <n v="1"/>
    <n v="26952"/>
    <n v="37"/>
    <n v="4"/>
    <n v="7"/>
    <n v="32"/>
    <n v="3.8"/>
    <n v="6.9"/>
    <s v="Medium"/>
    <n v="59.47"/>
  </r>
  <r>
    <s v="EMP0003"/>
    <x v="1"/>
    <s v="Sales Analyst"/>
    <n v="48"/>
    <n v="7"/>
    <n v="54439"/>
    <n v="53"/>
    <n v="5"/>
    <n v="25"/>
    <n v="0"/>
    <n v="4.3"/>
    <n v="4.0999999999999996"/>
    <s v="Low"/>
    <n v="45.83"/>
  </r>
  <r>
    <s v="EMP0004"/>
    <x v="2"/>
    <s v="IT Executive"/>
    <n v="39"/>
    <n v="4"/>
    <n v="39110"/>
    <n v="45"/>
    <n v="2"/>
    <n v="2"/>
    <n v="24"/>
    <n v="2.2999999999999998"/>
    <n v="8.9"/>
    <s v="High"/>
    <n v="63.63"/>
  </r>
  <r>
    <s v="EMP0005"/>
    <x v="2"/>
    <s v="IT Executive"/>
    <n v="24"/>
    <n v="3"/>
    <n v="60142"/>
    <n v="38"/>
    <n v="15"/>
    <n v="12"/>
    <n v="5"/>
    <n v="3.7"/>
    <n v="8.8000000000000007"/>
    <s v="High"/>
    <n v="88.9"/>
  </r>
  <r>
    <s v="EMP0006"/>
    <x v="2"/>
    <s v="Data Analyst"/>
    <n v="34"/>
    <n v="11"/>
    <n v="29558"/>
    <n v="36"/>
    <n v="11"/>
    <n v="7"/>
    <n v="18"/>
    <n v="5"/>
    <n v="9"/>
    <s v="High"/>
    <n v="87.33"/>
  </r>
  <r>
    <s v="EMP0007"/>
    <x v="3"/>
    <s v="Content Specialist"/>
    <n v="39"/>
    <n v="14"/>
    <n v="66660"/>
    <n v="46"/>
    <n v="3"/>
    <n v="11"/>
    <n v="22"/>
    <n v="2.6"/>
    <n v="4.9000000000000004"/>
    <s v="Low"/>
    <n v="42.2"/>
  </r>
  <r>
    <s v="EMP0008"/>
    <x v="0"/>
    <s v="Finance Executive"/>
    <n v="32"/>
    <n v="8"/>
    <n v="72784"/>
    <n v="42"/>
    <n v="3"/>
    <n v="14"/>
    <n v="24"/>
    <n v="2.8"/>
    <n v="9.5"/>
    <s v="High"/>
    <n v="70.400000000000006"/>
  </r>
  <r>
    <s v="EMP0009"/>
    <x v="1"/>
    <s v="Account Manager"/>
    <n v="36"/>
    <n v="10"/>
    <n v="80237"/>
    <n v="36"/>
    <n v="4"/>
    <n v="1"/>
    <n v="20"/>
    <n v="3.2"/>
    <n v="3.5"/>
    <s v="Low"/>
    <n v="37.270000000000003"/>
  </r>
  <r>
    <s v="EMP0010"/>
    <x v="2"/>
    <s v="IT Executive"/>
    <n v="35"/>
    <n v="10"/>
    <n v="57717"/>
    <n v="47"/>
    <n v="15"/>
    <n v="20"/>
    <n v="29"/>
    <n v="2.4"/>
    <n v="4"/>
    <s v="Low"/>
    <n v="56.2"/>
  </r>
  <r>
    <s v="EMP0011"/>
    <x v="1"/>
    <s v="Sales Analyst"/>
    <n v="38"/>
    <n v="13"/>
    <n v="83839"/>
    <n v="53"/>
    <n v="7"/>
    <n v="11"/>
    <n v="14"/>
    <n v="5"/>
    <n v="4"/>
    <s v="Low"/>
    <n v="50.67"/>
  </r>
  <r>
    <s v="EMP0012"/>
    <x v="0"/>
    <s v="Finance Executive"/>
    <n v="25"/>
    <n v="0"/>
    <n v="35016"/>
    <n v="55"/>
    <n v="3"/>
    <n v="25"/>
    <n v="27"/>
    <n v="3.8"/>
    <n v="5.7"/>
    <s v="Low"/>
    <n v="50.6"/>
  </r>
  <r>
    <s v="EMP0013"/>
    <x v="3"/>
    <s v="Marketing Executive"/>
    <n v="55"/>
    <n v="8"/>
    <n v="88640"/>
    <n v="52"/>
    <n v="14"/>
    <n v="0"/>
    <n v="7"/>
    <n v="4"/>
    <n v="6.8"/>
    <s v="Medium"/>
    <n v="76.13"/>
  </r>
  <r>
    <s v="EMP0014"/>
    <x v="2"/>
    <s v="IT Executive"/>
    <n v="29"/>
    <n v="4"/>
    <n v="53492"/>
    <n v="40"/>
    <n v="8"/>
    <n v="0"/>
    <n v="16"/>
    <n v="4.9000000000000004"/>
    <n v="8.3000000000000007"/>
    <s v="High"/>
    <n v="77.83"/>
  </r>
  <r>
    <s v="EMP0015"/>
    <x v="0"/>
    <s v="Financial Analyst"/>
    <n v="41"/>
    <n v="6"/>
    <n v="35016"/>
    <n v="46"/>
    <n v="13"/>
    <n v="5"/>
    <n v="34"/>
    <n v="4.9000000000000004"/>
    <n v="9.5"/>
    <s v="High"/>
    <n v="93.37"/>
  </r>
  <r>
    <s v="EMP0016"/>
    <x v="1"/>
    <s v="Account Manager"/>
    <n v="42"/>
    <n v="15"/>
    <n v="26276"/>
    <n v="38"/>
    <n v="15"/>
    <n v="11"/>
    <n v="19"/>
    <n v="2.7"/>
    <n v="4.7"/>
    <s v="Low"/>
    <n v="61.3"/>
  </r>
  <r>
    <s v="EMP0017"/>
    <x v="0"/>
    <s v="Finance Executive"/>
    <n v="27"/>
    <n v="5"/>
    <n v="56849"/>
    <n v="37"/>
    <n v="13"/>
    <n v="17"/>
    <n v="8"/>
    <n v="2.4"/>
    <n v="6.3"/>
    <s v="Medium"/>
    <n v="66.67"/>
  </r>
  <r>
    <s v="EMP0018"/>
    <x v="4"/>
    <s v="Recruiter"/>
    <n v="38"/>
    <n v="13"/>
    <n v="88200"/>
    <n v="41"/>
    <n v="15"/>
    <n v="17"/>
    <n v="12"/>
    <n v="4.0999999999999996"/>
    <n v="5.8"/>
    <s v="Low"/>
    <n v="72.099999999999994"/>
  </r>
  <r>
    <s v="EMP0019"/>
    <x v="2"/>
    <s v="IT Executive"/>
    <n v="50"/>
    <n v="14"/>
    <n v="32930"/>
    <n v="42"/>
    <n v="4"/>
    <n v="2"/>
    <n v="21"/>
    <n v="2.1"/>
    <n v="6.9"/>
    <s v="Medium"/>
    <n v="54.37"/>
  </r>
  <r>
    <s v="EMP0020"/>
    <x v="4"/>
    <s v="HR Analyst"/>
    <n v="22"/>
    <n v="0"/>
    <n v="71389"/>
    <n v="55"/>
    <n v="1"/>
    <n v="7"/>
    <n v="4"/>
    <n v="4.7"/>
    <n v="9"/>
    <s v="High"/>
    <n v="69.77"/>
  </r>
  <r>
    <s v="EMP0021"/>
    <x v="1"/>
    <s v="Account Manager"/>
    <n v="37"/>
    <n v="8"/>
    <n v="68842"/>
    <n v="50"/>
    <n v="4"/>
    <n v="17"/>
    <n v="8"/>
    <n v="4.2"/>
    <n v="9.1999999999999993"/>
    <s v="High"/>
    <n v="74.47"/>
  </r>
  <r>
    <s v="EMP0022"/>
    <x v="3"/>
    <s v="Marketing Executive"/>
    <n v="37"/>
    <n v="15"/>
    <n v="77920"/>
    <n v="48"/>
    <n v="4"/>
    <n v="3"/>
    <n v="6"/>
    <n v="4"/>
    <n v="5.5"/>
    <s v="Low"/>
    <n v="51.67"/>
  </r>
  <r>
    <s v="EMP0023"/>
    <x v="3"/>
    <s v="Marketing Executive"/>
    <n v="25"/>
    <n v="0"/>
    <n v="28972"/>
    <n v="47"/>
    <n v="12"/>
    <n v="10"/>
    <n v="6"/>
    <n v="2.7"/>
    <n v="4.3"/>
    <s v="Low"/>
    <n v="53.9"/>
  </r>
  <r>
    <s v="EMP0024"/>
    <x v="4"/>
    <s v="HR Analyst"/>
    <n v="49"/>
    <n v="5"/>
    <n v="43254"/>
    <n v="49"/>
    <n v="4"/>
    <n v="2"/>
    <n v="28"/>
    <n v="4.4000000000000004"/>
    <n v="9"/>
    <s v="High"/>
    <n v="73.87"/>
  </r>
  <r>
    <s v="EMP0025"/>
    <x v="0"/>
    <s v="Financial Analyst"/>
    <n v="22"/>
    <n v="0"/>
    <n v="85710"/>
    <n v="42"/>
    <n v="3"/>
    <n v="13"/>
    <n v="31"/>
    <n v="3.4"/>
    <n v="9.1"/>
    <s v="High"/>
    <n v="69.8"/>
  </r>
  <r>
    <s v="EMP0026"/>
    <x v="4"/>
    <s v="Recruiter"/>
    <n v="46"/>
    <n v="0"/>
    <n v="89573"/>
    <n v="47"/>
    <n v="5"/>
    <n v="25"/>
    <n v="29"/>
    <n v="2.9"/>
    <n v="7.9"/>
    <s v="Medium"/>
    <n v="64.430000000000007"/>
  </r>
  <r>
    <s v="EMP0027"/>
    <x v="1"/>
    <s v="Sales Analyst"/>
    <n v="53"/>
    <n v="4"/>
    <n v="37445"/>
    <n v="44"/>
    <n v="4"/>
    <n v="1"/>
    <n v="37"/>
    <n v="4.2"/>
    <n v="3.4"/>
    <s v="Low"/>
    <n v="39.67"/>
  </r>
  <r>
    <s v="EMP0028"/>
    <x v="0"/>
    <s v="Financial Analyst"/>
    <n v="25"/>
    <n v="4"/>
    <n v="56246"/>
    <n v="51"/>
    <n v="15"/>
    <n v="16"/>
    <n v="10"/>
    <n v="2.2000000000000002"/>
    <n v="6.6"/>
    <s v="Medium"/>
    <n v="71.2"/>
  </r>
  <r>
    <s v="EMP0029"/>
    <x v="0"/>
    <s v="Finance Executive"/>
    <n v="26"/>
    <n v="5"/>
    <n v="81480"/>
    <n v="42"/>
    <n v="7"/>
    <n v="3"/>
    <n v="36"/>
    <n v="2.7"/>
    <n v="7.2"/>
    <s v="Medium"/>
    <n v="62.97"/>
  </r>
  <r>
    <s v="EMP0030"/>
    <x v="0"/>
    <s v="Finance Executive"/>
    <n v="48"/>
    <n v="10"/>
    <n v="86256"/>
    <n v="43"/>
    <n v="4"/>
    <n v="21"/>
    <n v="20"/>
    <n v="2.7"/>
    <n v="5.8"/>
    <s v="Low"/>
    <n v="49.57"/>
  </r>
  <r>
    <s v="EMP0031"/>
    <x v="2"/>
    <s v="Data Analyst"/>
    <n v="51"/>
    <n v="10"/>
    <n v="85884"/>
    <n v="37"/>
    <n v="1"/>
    <n v="14"/>
    <n v="39"/>
    <n v="5"/>
    <n v="10"/>
    <s v="High"/>
    <n v="76.67"/>
  </r>
  <r>
    <s v="EMP0032"/>
    <x v="1"/>
    <s v="Sales Executive"/>
    <n v="35"/>
    <n v="8"/>
    <n v="42380"/>
    <n v="39"/>
    <n v="15"/>
    <n v="11"/>
    <n v="4"/>
    <n v="4.5999999999999996"/>
    <n v="5.6"/>
    <s v="Low"/>
    <n v="72.400000000000006"/>
  </r>
  <r>
    <s v="EMP0033"/>
    <x v="3"/>
    <s v="Marketing Analyst"/>
    <n v="41"/>
    <n v="0"/>
    <n v="68769"/>
    <n v="52"/>
    <n v="5"/>
    <n v="21"/>
    <n v="6"/>
    <n v="4.8"/>
    <n v="3.9"/>
    <s v="Low"/>
    <n v="46.13"/>
  </r>
  <r>
    <s v="EMP0034"/>
    <x v="0"/>
    <s v="Accountant"/>
    <n v="31"/>
    <n v="4"/>
    <n v="43465"/>
    <n v="54"/>
    <n v="4"/>
    <n v="22"/>
    <n v="21"/>
    <n v="2.6"/>
    <n v="7.4"/>
    <s v="Medium"/>
    <n v="58.87"/>
  </r>
  <r>
    <s v="EMP0035"/>
    <x v="1"/>
    <s v="Sales Analyst"/>
    <n v="53"/>
    <n v="8"/>
    <n v="84332"/>
    <n v="36"/>
    <n v="2"/>
    <n v="20"/>
    <n v="27"/>
    <n v="4.5"/>
    <n v="3.3"/>
    <s v="Low"/>
    <n v="36.630000000000003"/>
  </r>
  <r>
    <s v="EMP0036"/>
    <x v="4"/>
    <s v="Recruiter"/>
    <n v="38"/>
    <n v="5"/>
    <n v="73577"/>
    <n v="49"/>
    <n v="9"/>
    <n v="22"/>
    <n v="27"/>
    <n v="3.7"/>
    <n v="3.8"/>
    <s v="Low"/>
    <n v="48.9"/>
  </r>
  <r>
    <s v="EMP0037"/>
    <x v="4"/>
    <s v="HR Analyst"/>
    <n v="24"/>
    <n v="2"/>
    <n v="63175"/>
    <n v="52"/>
    <n v="3"/>
    <n v="13"/>
    <n v="8"/>
    <n v="2.1"/>
    <n v="5.6"/>
    <s v="Low"/>
    <n v="44.9"/>
  </r>
  <r>
    <s v="EMP0038"/>
    <x v="2"/>
    <s v="IT Executive"/>
    <n v="35"/>
    <n v="10"/>
    <n v="41353"/>
    <n v="38"/>
    <n v="6"/>
    <n v="24"/>
    <n v="35"/>
    <n v="4.7"/>
    <n v="5.8"/>
    <s v="Low"/>
    <n v="58.9"/>
  </r>
  <r>
    <s v="EMP0039"/>
    <x v="4"/>
    <s v="HR Executive"/>
    <n v="37"/>
    <n v="5"/>
    <n v="88976"/>
    <n v="40"/>
    <n v="15"/>
    <n v="13"/>
    <n v="1"/>
    <n v="2.5"/>
    <n v="9.5"/>
    <s v="High"/>
    <n v="89.5"/>
  </r>
  <r>
    <s v="EMP0040"/>
    <x v="4"/>
    <s v="HR Executive"/>
    <n v="39"/>
    <n v="5"/>
    <n v="76601"/>
    <n v="38"/>
    <n v="7"/>
    <n v="1"/>
    <n v="30"/>
    <n v="2.7"/>
    <n v="8.6999999999999993"/>
    <s v="High"/>
    <n v="71.97"/>
  </r>
  <r>
    <s v="EMP0041"/>
    <x v="2"/>
    <s v="Software Engineer"/>
    <n v="41"/>
    <n v="7"/>
    <n v="39609"/>
    <n v="35"/>
    <n v="11"/>
    <n v="6"/>
    <n v="25"/>
    <n v="3"/>
    <n v="9.1"/>
    <s v="High"/>
    <n v="81.93"/>
  </r>
  <r>
    <s v="EMP0042"/>
    <x v="2"/>
    <s v="IT Executive"/>
    <n v="54"/>
    <n v="12"/>
    <n v="69532"/>
    <n v="52"/>
    <n v="6"/>
    <n v="0"/>
    <n v="7"/>
    <n v="4.5999999999999996"/>
    <n v="4.8"/>
    <s v="Low"/>
    <n v="52.6"/>
  </r>
  <r>
    <s v="EMP0043"/>
    <x v="2"/>
    <s v="Data Analyst"/>
    <n v="24"/>
    <n v="0"/>
    <n v="64096"/>
    <n v="48"/>
    <n v="6"/>
    <n v="23"/>
    <n v="20"/>
    <n v="3.3"/>
    <n v="9.9"/>
    <s v="High"/>
    <n v="79.3"/>
  </r>
  <r>
    <s v="EMP0044"/>
    <x v="3"/>
    <s v="Content Specialist"/>
    <n v="34"/>
    <n v="4"/>
    <n v="27908"/>
    <n v="48"/>
    <n v="1"/>
    <n v="16"/>
    <n v="34"/>
    <n v="4.0999999999999996"/>
    <n v="9.6"/>
    <s v="High"/>
    <n v="71.569999999999993"/>
  </r>
  <r>
    <s v="EMP0045"/>
    <x v="4"/>
    <s v="HR Executive"/>
    <n v="45"/>
    <n v="13"/>
    <n v="29585"/>
    <n v="45"/>
    <n v="10"/>
    <n v="10"/>
    <n v="7"/>
    <n v="4.2"/>
    <n v="5.0999999999999996"/>
    <s v="Low"/>
    <n v="59.87"/>
  </r>
  <r>
    <s v="EMP0046"/>
    <x v="3"/>
    <s v="Content Specialist"/>
    <n v="42"/>
    <n v="12"/>
    <n v="70692"/>
    <n v="44"/>
    <n v="9"/>
    <n v="4"/>
    <n v="12"/>
    <n v="3.3"/>
    <n v="9.6"/>
    <s v="High"/>
    <n v="82.5"/>
  </r>
  <r>
    <s v="EMP0047"/>
    <x v="4"/>
    <s v="Recruiter"/>
    <n v="41"/>
    <n v="12"/>
    <n v="60909"/>
    <n v="35"/>
    <n v="5"/>
    <n v="9"/>
    <n v="13"/>
    <n v="3.3"/>
    <n v="7.1"/>
    <s v="Medium"/>
    <n v="60.83"/>
  </r>
  <r>
    <s v="EMP0048"/>
    <x v="2"/>
    <s v="IT Executive"/>
    <n v="51"/>
    <n v="14"/>
    <n v="53977"/>
    <n v="41"/>
    <n v="9"/>
    <n v="15"/>
    <n v="10"/>
    <n v="4"/>
    <n v="5"/>
    <s v="Low"/>
    <n v="57"/>
  </r>
  <r>
    <s v="EMP0049"/>
    <x v="1"/>
    <s v="Sales Executive"/>
    <n v="43"/>
    <n v="2"/>
    <n v="78636"/>
    <n v="42"/>
    <n v="11"/>
    <n v="9"/>
    <n v="14"/>
    <n v="4.4000000000000004"/>
    <n v="4"/>
    <s v="Low"/>
    <n v="55.53"/>
  </r>
  <r>
    <s v="EMP0050"/>
    <x v="4"/>
    <s v="HR Executive"/>
    <n v="52"/>
    <n v="2"/>
    <n v="54846"/>
    <n v="48"/>
    <n v="15"/>
    <n v="20"/>
    <n v="36"/>
    <n v="2.6"/>
    <n v="7.9"/>
    <s v="Medium"/>
    <n v="80.2"/>
  </r>
  <r>
    <s v="EMP0051"/>
    <x v="3"/>
    <s v="Content Specialist"/>
    <n v="37"/>
    <n v="4"/>
    <n v="67995"/>
    <n v="35"/>
    <n v="15"/>
    <n v="24"/>
    <n v="6"/>
    <n v="4.3"/>
    <n v="4.5"/>
    <s v="Low"/>
    <n v="64.900000000000006"/>
  </r>
  <r>
    <s v="EMP0052"/>
    <x v="1"/>
    <s v="Account Manager"/>
    <n v="51"/>
    <n v="1"/>
    <n v="61530"/>
    <n v="42"/>
    <n v="15"/>
    <n v="3"/>
    <n v="29"/>
    <n v="2.4"/>
    <n v="6.3"/>
    <s v="Medium"/>
    <n v="70"/>
  </r>
  <r>
    <s v="EMP0053"/>
    <x v="1"/>
    <s v="Sales Analyst"/>
    <n v="42"/>
    <n v="14"/>
    <n v="65150"/>
    <n v="51"/>
    <n v="7"/>
    <n v="17"/>
    <n v="28"/>
    <n v="4.7"/>
    <n v="8.1999999999999993"/>
    <s v="High"/>
    <n v="74.97"/>
  </r>
  <r>
    <s v="EMP0054"/>
    <x v="3"/>
    <s v="Marketing Executive"/>
    <n v="38"/>
    <n v="7"/>
    <n v="80041"/>
    <n v="55"/>
    <n v="5"/>
    <n v="24"/>
    <n v="33"/>
    <n v="3.5"/>
    <n v="4.7"/>
    <s v="Low"/>
    <n v="47.03"/>
  </r>
  <r>
    <s v="EMP0055"/>
    <x v="0"/>
    <s v="Finance Executive"/>
    <n v="40"/>
    <n v="7"/>
    <n v="42807"/>
    <n v="45"/>
    <n v="6"/>
    <n v="17"/>
    <n v="5"/>
    <n v="2.4"/>
    <n v="4.5999999999999996"/>
    <s v="Low"/>
    <n v="44.8"/>
  </r>
  <r>
    <s v="EMP0056"/>
    <x v="4"/>
    <s v="HR Executive"/>
    <n v="35"/>
    <n v="1"/>
    <n v="52188"/>
    <n v="48"/>
    <n v="6"/>
    <n v="17"/>
    <n v="29"/>
    <n v="3.2"/>
    <n v="4.4000000000000004"/>
    <s v="Low"/>
    <n v="46"/>
  </r>
  <r>
    <s v="EMP0057"/>
    <x v="3"/>
    <s v="Marketing Executive"/>
    <n v="23"/>
    <n v="2"/>
    <n v="49928"/>
    <n v="50"/>
    <n v="1"/>
    <n v="11"/>
    <n v="19"/>
    <n v="4.3"/>
    <n v="9"/>
    <s v="High"/>
    <n v="68.569999999999993"/>
  </r>
  <r>
    <s v="EMP0058"/>
    <x v="1"/>
    <s v="Sales Analyst"/>
    <n v="36"/>
    <n v="15"/>
    <n v="39380"/>
    <n v="43"/>
    <n v="7"/>
    <n v="15"/>
    <n v="1"/>
    <n v="3.2"/>
    <n v="7.7"/>
    <s v="Medium"/>
    <n v="67.47"/>
  </r>
  <r>
    <s v="EMP0059"/>
    <x v="4"/>
    <s v="HR Analyst"/>
    <n v="51"/>
    <n v="4"/>
    <n v="89272"/>
    <n v="54"/>
    <n v="9"/>
    <n v="0"/>
    <n v="25"/>
    <n v="3.8"/>
    <n v="7.6"/>
    <s v="Medium"/>
    <n v="72"/>
  </r>
  <r>
    <s v="EMP0060"/>
    <x v="3"/>
    <s v="Marketing Executive"/>
    <n v="30"/>
    <n v="7"/>
    <n v="36909"/>
    <n v="36"/>
    <n v="5"/>
    <n v="12"/>
    <n v="20"/>
    <n v="2.6"/>
    <n v="5.3"/>
    <s v="Low"/>
    <n v="47.93"/>
  </r>
  <r>
    <s v="EMP0061"/>
    <x v="2"/>
    <s v="Data Analyst"/>
    <n v="48"/>
    <n v="8"/>
    <n v="79716"/>
    <n v="37"/>
    <n v="8"/>
    <n v="0"/>
    <n v="34"/>
    <n v="2.2000000000000002"/>
    <n v="9.6999999999999993"/>
    <s v="High"/>
    <n v="78.13"/>
  </r>
  <r>
    <s v="EMP0062"/>
    <x v="0"/>
    <s v="Finance Executive"/>
    <n v="24"/>
    <n v="0"/>
    <n v="87233"/>
    <n v="42"/>
    <n v="4"/>
    <n v="0"/>
    <n v="39"/>
    <n v="2.5"/>
    <n v="3.9"/>
    <s v="Low"/>
    <n v="37.57"/>
  </r>
  <r>
    <s v="EMP0063"/>
    <x v="0"/>
    <s v="Finance Executive"/>
    <n v="35"/>
    <n v="7"/>
    <n v="70840"/>
    <n v="43"/>
    <n v="13"/>
    <n v="11"/>
    <n v="10"/>
    <n v="3.8"/>
    <n v="9.6999999999999993"/>
    <s v="High"/>
    <n v="91.27"/>
  </r>
  <r>
    <s v="EMP0064"/>
    <x v="0"/>
    <s v="Accountant"/>
    <n v="32"/>
    <n v="4"/>
    <n v="32084"/>
    <n v="53"/>
    <n v="1"/>
    <n v="9"/>
    <n v="36"/>
    <n v="4"/>
    <n v="9.6999999999999993"/>
    <s v="High"/>
    <n v="71.87"/>
  </r>
  <r>
    <s v="EMP0065"/>
    <x v="4"/>
    <s v="HR Analyst"/>
    <n v="26"/>
    <n v="4"/>
    <n v="70260"/>
    <n v="55"/>
    <n v="4"/>
    <n v="3"/>
    <n v="19"/>
    <n v="4.5999999999999996"/>
    <n v="7.2"/>
    <s v="Medium"/>
    <n v="63.67"/>
  </r>
  <r>
    <s v="EMP0066"/>
    <x v="1"/>
    <s v="Sales Analyst"/>
    <n v="24"/>
    <n v="2"/>
    <n v="59913"/>
    <n v="48"/>
    <n v="11"/>
    <n v="11"/>
    <n v="4"/>
    <n v="3.5"/>
    <n v="5.4"/>
    <s v="Low"/>
    <n v="61.23"/>
  </r>
  <r>
    <s v="EMP0067"/>
    <x v="3"/>
    <s v="Content Specialist"/>
    <n v="28"/>
    <n v="6"/>
    <n v="87966"/>
    <n v="46"/>
    <n v="11"/>
    <n v="14"/>
    <n v="9"/>
    <n v="3.3"/>
    <n v="8.1"/>
    <s v="High"/>
    <n v="76.83"/>
  </r>
  <r>
    <s v="EMP0068"/>
    <x v="2"/>
    <s v="Software Engineer"/>
    <n v="52"/>
    <n v="14"/>
    <n v="53545"/>
    <n v="53"/>
    <n v="5"/>
    <n v="10"/>
    <n v="15"/>
    <n v="4.5"/>
    <n v="3.6"/>
    <s v="Low"/>
    <n v="43.43"/>
  </r>
  <r>
    <s v="EMP0069"/>
    <x v="4"/>
    <s v="HR Executive"/>
    <n v="51"/>
    <n v="12"/>
    <n v="47046"/>
    <n v="35"/>
    <n v="8"/>
    <n v="10"/>
    <n v="11"/>
    <n v="3.5"/>
    <n v="5.5"/>
    <s v="Low"/>
    <n v="56.83"/>
  </r>
  <r>
    <s v="EMP0070"/>
    <x v="2"/>
    <s v="IT Executive"/>
    <n v="39"/>
    <n v="8"/>
    <n v="61424"/>
    <n v="35"/>
    <n v="9"/>
    <n v="6"/>
    <n v="5"/>
    <n v="2.7"/>
    <n v="5.8"/>
    <s v="Low"/>
    <n v="57.9"/>
  </r>
  <r>
    <s v="EMP0071"/>
    <x v="4"/>
    <s v="Recruiter"/>
    <n v="52"/>
    <n v="15"/>
    <n v="54371"/>
    <n v="35"/>
    <n v="2"/>
    <n v="9"/>
    <n v="14"/>
    <n v="3.2"/>
    <n v="4.7"/>
    <s v="Low"/>
    <n v="41.13"/>
  </r>
  <r>
    <s v="EMP0072"/>
    <x v="1"/>
    <s v="Sales Analyst"/>
    <n v="45"/>
    <n v="15"/>
    <n v="61272"/>
    <n v="51"/>
    <n v="6"/>
    <n v="13"/>
    <n v="35"/>
    <n v="3"/>
    <n v="7.9"/>
    <s v="Medium"/>
    <n v="66.400000000000006"/>
  </r>
  <r>
    <s v="EMP0073"/>
    <x v="2"/>
    <s v="Data Analyst"/>
    <n v="38"/>
    <n v="7"/>
    <n v="32907"/>
    <n v="41"/>
    <n v="6"/>
    <n v="3"/>
    <n v="34"/>
    <n v="4.9000000000000004"/>
    <n v="7.8"/>
    <s v="Medium"/>
    <n v="71.5"/>
  </r>
  <r>
    <s v="EMP0074"/>
    <x v="4"/>
    <s v="HR Analyst"/>
    <n v="52"/>
    <n v="8"/>
    <n v="72486"/>
    <n v="53"/>
    <n v="13"/>
    <n v="16"/>
    <n v="38"/>
    <n v="2.8"/>
    <n v="3.7"/>
    <s v="Low"/>
    <n v="52.27"/>
  </r>
  <r>
    <s v="EMP0075"/>
    <x v="2"/>
    <s v="Data Analyst"/>
    <n v="36"/>
    <n v="11"/>
    <n v="36759"/>
    <n v="44"/>
    <n v="1"/>
    <n v="22"/>
    <n v="34"/>
    <n v="2.4"/>
    <n v="3.3"/>
    <s v="Low"/>
    <n v="28.67"/>
  </r>
  <r>
    <s v="EMP0076"/>
    <x v="1"/>
    <s v="Sales Analyst"/>
    <n v="40"/>
    <n v="4"/>
    <n v="66803"/>
    <n v="50"/>
    <n v="2"/>
    <n v="0"/>
    <n v="36"/>
    <n v="2.9"/>
    <n v="6.4"/>
    <s v="Medium"/>
    <n v="50.43"/>
  </r>
  <r>
    <s v="EMP0077"/>
    <x v="4"/>
    <s v="Recruiter"/>
    <n v="25"/>
    <n v="2"/>
    <n v="86673"/>
    <n v="50"/>
    <n v="2"/>
    <n v="2"/>
    <n v="25"/>
    <n v="3.5"/>
    <n v="7"/>
    <s v="Medium"/>
    <n v="55.83"/>
  </r>
  <r>
    <s v="EMP0078"/>
    <x v="0"/>
    <s v="Finance Executive"/>
    <n v="31"/>
    <n v="2"/>
    <n v="78159"/>
    <n v="53"/>
    <n v="5"/>
    <n v="2"/>
    <n v="15"/>
    <n v="2.4"/>
    <n v="8.4"/>
    <s v="High"/>
    <n v="65.930000000000007"/>
  </r>
  <r>
    <s v="EMP0079"/>
    <x v="1"/>
    <s v="Account Manager"/>
    <n v="36"/>
    <n v="12"/>
    <n v="54524"/>
    <n v="49"/>
    <n v="5"/>
    <n v="18"/>
    <n v="27"/>
    <n v="2.9"/>
    <n v="7.3"/>
    <s v="Medium"/>
    <n v="60.83"/>
  </r>
  <r>
    <s v="EMP0080"/>
    <x v="0"/>
    <s v="Financial Analyst"/>
    <n v="35"/>
    <n v="10"/>
    <n v="38829"/>
    <n v="43"/>
    <n v="11"/>
    <n v="2"/>
    <n v="10"/>
    <n v="2.7"/>
    <n v="6.9"/>
    <s v="Medium"/>
    <n v="67.83"/>
  </r>
  <r>
    <s v="EMP0081"/>
    <x v="0"/>
    <s v="Finance Executive"/>
    <n v="48"/>
    <n v="14"/>
    <n v="70178"/>
    <n v="54"/>
    <n v="8"/>
    <n v="9"/>
    <n v="2"/>
    <n v="2.7"/>
    <n v="7.9"/>
    <s v="Medium"/>
    <n v="68.83"/>
  </r>
  <r>
    <s v="EMP0082"/>
    <x v="3"/>
    <s v="Marketing Analyst"/>
    <n v="26"/>
    <n v="5"/>
    <n v="40297"/>
    <n v="43"/>
    <n v="13"/>
    <n v="25"/>
    <n v="40"/>
    <n v="3.8"/>
    <n v="8.6"/>
    <s v="High"/>
    <n v="84.67"/>
  </r>
  <r>
    <s v="EMP0083"/>
    <x v="3"/>
    <s v="Marketing Executive"/>
    <n v="29"/>
    <n v="8"/>
    <n v="39733"/>
    <n v="55"/>
    <n v="3"/>
    <n v="8"/>
    <n v="9"/>
    <n v="2.2000000000000002"/>
    <n v="4.2"/>
    <s v="Low"/>
    <n v="36.799999999999997"/>
  </r>
  <r>
    <s v="EMP0084"/>
    <x v="1"/>
    <s v="Sales Analyst"/>
    <n v="40"/>
    <n v="14"/>
    <n v="33149"/>
    <n v="49"/>
    <n v="12"/>
    <n v="9"/>
    <n v="25"/>
    <n v="4.8"/>
    <n v="6.5"/>
    <s v="Medium"/>
    <n v="73.400000000000006"/>
  </r>
  <r>
    <s v="EMP0085"/>
    <x v="3"/>
    <s v="Content Specialist"/>
    <n v="27"/>
    <n v="4"/>
    <n v="27612"/>
    <n v="48"/>
    <n v="12"/>
    <n v="10"/>
    <n v="38"/>
    <n v="2.8"/>
    <n v="3.6"/>
    <s v="Low"/>
    <n v="50"/>
  </r>
  <r>
    <s v="EMP0086"/>
    <x v="1"/>
    <s v="Sales Analyst"/>
    <n v="23"/>
    <n v="2"/>
    <n v="78832"/>
    <n v="43"/>
    <n v="10"/>
    <n v="1"/>
    <n v="11"/>
    <n v="3.4"/>
    <n v="7.6"/>
    <s v="Medium"/>
    <n v="72.47"/>
  </r>
  <r>
    <s v="EMP0087"/>
    <x v="4"/>
    <s v="HR Analyst"/>
    <n v="49"/>
    <n v="15"/>
    <n v="88508"/>
    <n v="37"/>
    <n v="8"/>
    <n v="11"/>
    <n v="26"/>
    <n v="3"/>
    <n v="7.7"/>
    <s v="Medium"/>
    <n v="68.53"/>
  </r>
  <r>
    <s v="EMP0088"/>
    <x v="2"/>
    <s v="Software Engineer"/>
    <n v="48"/>
    <n v="15"/>
    <n v="43888"/>
    <n v="47"/>
    <n v="14"/>
    <n v="24"/>
    <n v="35"/>
    <n v="2.1"/>
    <n v="3.6"/>
    <s v="Low"/>
    <n v="51.23"/>
  </r>
  <r>
    <s v="EMP0089"/>
    <x v="2"/>
    <s v="IT Executive"/>
    <n v="29"/>
    <n v="6"/>
    <n v="81682"/>
    <n v="51"/>
    <n v="14"/>
    <n v="0"/>
    <n v="34"/>
    <n v="3.4"/>
    <n v="3.4"/>
    <s v="Low"/>
    <n v="53.93"/>
  </r>
  <r>
    <s v="EMP0090"/>
    <x v="2"/>
    <s v="IT Executive"/>
    <n v="53"/>
    <n v="14"/>
    <n v="74806"/>
    <n v="36"/>
    <n v="4"/>
    <n v="8"/>
    <n v="35"/>
    <n v="2.4"/>
    <n v="5"/>
    <s v="Low"/>
    <n v="43.87"/>
  </r>
  <r>
    <s v="EMP0091"/>
    <x v="3"/>
    <s v="Marketing Analyst"/>
    <n v="29"/>
    <n v="0"/>
    <n v="88776"/>
    <n v="55"/>
    <n v="10"/>
    <n v="25"/>
    <n v="15"/>
    <n v="4.0999999999999996"/>
    <n v="5.2"/>
    <s v="Low"/>
    <n v="60.17"/>
  </r>
  <r>
    <s v="EMP0092"/>
    <x v="1"/>
    <s v="Account Manager"/>
    <n v="48"/>
    <n v="2"/>
    <n v="39725"/>
    <n v="38"/>
    <n v="8"/>
    <n v="3"/>
    <n v="9"/>
    <n v="3.5"/>
    <n v="8"/>
    <s v="High"/>
    <n v="71.83"/>
  </r>
  <r>
    <s v="EMP0093"/>
    <x v="2"/>
    <s v="IT Executive"/>
    <n v="48"/>
    <n v="15"/>
    <n v="89241"/>
    <n v="50"/>
    <n v="4"/>
    <n v="14"/>
    <n v="35"/>
    <n v="2.4"/>
    <n v="4.3"/>
    <s v="Low"/>
    <n v="39.67"/>
  </r>
  <r>
    <s v="EMP0094"/>
    <x v="1"/>
    <s v="Account Manager"/>
    <n v="30"/>
    <n v="1"/>
    <n v="43104"/>
    <n v="48"/>
    <n v="6"/>
    <n v="25"/>
    <n v="32"/>
    <n v="2.8"/>
    <n v="3"/>
    <s v="Low"/>
    <n v="36.4"/>
  </r>
  <r>
    <s v="EMP0095"/>
    <x v="2"/>
    <s v="Software Engineer"/>
    <n v="53"/>
    <n v="4"/>
    <n v="54264"/>
    <n v="52"/>
    <n v="8"/>
    <n v="11"/>
    <n v="21"/>
    <n v="3.7"/>
    <n v="6.8"/>
    <s v="Medium"/>
    <n v="65.23"/>
  </r>
  <r>
    <s v="EMP0096"/>
    <x v="2"/>
    <s v="IT Executive"/>
    <n v="34"/>
    <n v="11"/>
    <n v="40650"/>
    <n v="53"/>
    <n v="7"/>
    <n v="7"/>
    <n v="26"/>
    <n v="2.1"/>
    <n v="8.1999999999999993"/>
    <s v="High"/>
    <n v="67.17"/>
  </r>
  <r>
    <s v="EMP0097"/>
    <x v="3"/>
    <s v="Marketing Executive"/>
    <n v="46"/>
    <n v="4"/>
    <n v="57461"/>
    <n v="36"/>
    <n v="3"/>
    <n v="16"/>
    <n v="37"/>
    <n v="3"/>
    <n v="3.7"/>
    <s v="Low"/>
    <n v="36.200000000000003"/>
  </r>
  <r>
    <s v="EMP0098"/>
    <x v="0"/>
    <s v="Accountant"/>
    <n v="55"/>
    <n v="14"/>
    <n v="26005"/>
    <n v="39"/>
    <n v="7"/>
    <n v="20"/>
    <n v="9"/>
    <n v="2.2000000000000002"/>
    <n v="8.5"/>
    <s v="High"/>
    <n v="69.27"/>
  </r>
  <r>
    <s v="EMP0099"/>
    <x v="2"/>
    <s v="IT Executive"/>
    <n v="47"/>
    <n v="2"/>
    <n v="80821"/>
    <n v="45"/>
    <n v="14"/>
    <n v="21"/>
    <n v="34"/>
    <n v="3.1"/>
    <n v="5.2"/>
    <s v="Low"/>
    <n v="63.83"/>
  </r>
  <r>
    <s v="EMP0100"/>
    <x v="3"/>
    <s v="Marketing Analyst"/>
    <n v="24"/>
    <n v="0"/>
    <n v="40385"/>
    <n v="55"/>
    <n v="11"/>
    <n v="9"/>
    <n v="14"/>
    <n v="4.2"/>
    <n v="6"/>
    <s v="Medium"/>
    <n v="66.930000000000007"/>
  </r>
  <r>
    <s v="EMP0101"/>
    <x v="0"/>
    <s v="Accountant"/>
    <n v="50"/>
    <n v="5"/>
    <n v="70482"/>
    <n v="44"/>
    <n v="15"/>
    <n v="0"/>
    <n v="2"/>
    <n v="3"/>
    <n v="3.4"/>
    <s v="Low"/>
    <n v="54.4"/>
  </r>
  <r>
    <s v="EMP0102"/>
    <x v="2"/>
    <s v="Software Engineer"/>
    <n v="49"/>
    <n v="4"/>
    <n v="41003"/>
    <n v="51"/>
    <n v="7"/>
    <n v="18"/>
    <n v="11"/>
    <n v="2.5"/>
    <n v="3.6"/>
    <s v="Low"/>
    <n v="40.770000000000003"/>
  </r>
  <r>
    <s v="EMP0103"/>
    <x v="1"/>
    <s v="Account Manager"/>
    <n v="37"/>
    <n v="15"/>
    <n v="84823"/>
    <n v="53"/>
    <n v="3"/>
    <n v="7"/>
    <n v="29"/>
    <n v="3.9"/>
    <n v="6.2"/>
    <s v="Medium"/>
    <n v="53.9"/>
  </r>
  <r>
    <s v="EMP0104"/>
    <x v="0"/>
    <s v="Accountant"/>
    <n v="51"/>
    <n v="9"/>
    <n v="69407"/>
    <n v="52"/>
    <n v="3"/>
    <n v="2"/>
    <n v="28"/>
    <n v="4.8"/>
    <n v="9.9"/>
    <s v="High"/>
    <n v="78.8"/>
  </r>
  <r>
    <s v="EMP0105"/>
    <x v="3"/>
    <s v="Marketing Executive"/>
    <n v="38"/>
    <n v="14"/>
    <n v="80397"/>
    <n v="44"/>
    <n v="4"/>
    <n v="12"/>
    <n v="30"/>
    <n v="2.2999999999999998"/>
    <n v="5.7"/>
    <s v="Low"/>
    <n v="47.77"/>
  </r>
  <r>
    <s v="EMP0106"/>
    <x v="1"/>
    <s v="Sales Executive"/>
    <n v="40"/>
    <n v="9"/>
    <n v="26437"/>
    <n v="47"/>
    <n v="5"/>
    <n v="0"/>
    <n v="36"/>
    <n v="4.5999999999999996"/>
    <n v="8.4"/>
    <s v="High"/>
    <n v="72.53"/>
  </r>
  <r>
    <s v="EMP0107"/>
    <x v="1"/>
    <s v="Sales Analyst"/>
    <n v="53"/>
    <n v="9"/>
    <n v="75838"/>
    <n v="42"/>
    <n v="10"/>
    <n v="25"/>
    <n v="22"/>
    <n v="2.7"/>
    <n v="4.3"/>
    <s v="Low"/>
    <n v="50.57"/>
  </r>
  <r>
    <s v="EMP0108"/>
    <x v="4"/>
    <s v="HR Executive"/>
    <n v="28"/>
    <n v="0"/>
    <n v="45246"/>
    <n v="49"/>
    <n v="1"/>
    <n v="18"/>
    <n v="23"/>
    <n v="4.2"/>
    <n v="3.6"/>
    <s v="Low"/>
    <n v="35.869999999999997"/>
  </r>
  <r>
    <s v="EMP0109"/>
    <x v="2"/>
    <s v="Data Analyst"/>
    <n v="48"/>
    <n v="5"/>
    <n v="38159"/>
    <n v="39"/>
    <n v="13"/>
    <n v="17"/>
    <n v="23"/>
    <n v="3.6"/>
    <n v="9.4"/>
    <s v="High"/>
    <n v="88.87"/>
  </r>
  <r>
    <s v="EMP0110"/>
    <x v="2"/>
    <s v="Data Analyst"/>
    <n v="52"/>
    <n v="9"/>
    <n v="73926"/>
    <n v="45"/>
    <n v="13"/>
    <n v="3"/>
    <n v="29"/>
    <n v="4.9000000000000004"/>
    <n v="4"/>
    <s v="Low"/>
    <n v="60.37"/>
  </r>
  <r>
    <s v="EMP0111"/>
    <x v="3"/>
    <s v="Content Specialist"/>
    <n v="45"/>
    <n v="2"/>
    <n v="76818"/>
    <n v="47"/>
    <n v="1"/>
    <n v="8"/>
    <n v="34"/>
    <n v="2.4"/>
    <n v="5.6"/>
    <s v="Low"/>
    <n v="42.47"/>
  </r>
  <r>
    <s v="EMP0112"/>
    <x v="2"/>
    <s v="IT Executive"/>
    <n v="46"/>
    <n v="11"/>
    <n v="32100"/>
    <n v="42"/>
    <n v="8"/>
    <n v="0"/>
    <n v="39"/>
    <n v="4.7"/>
    <n v="6.9"/>
    <s v="Medium"/>
    <n v="68.83"/>
  </r>
  <r>
    <s v="EMP0113"/>
    <x v="4"/>
    <s v="HR Analyst"/>
    <n v="26"/>
    <n v="5"/>
    <n v="78992"/>
    <n v="49"/>
    <n v="15"/>
    <n v="22"/>
    <n v="19"/>
    <n v="3.9"/>
    <n v="3.8"/>
    <s v="Low"/>
    <n v="59.5"/>
  </r>
  <r>
    <s v="EMP0114"/>
    <x v="0"/>
    <s v="Finance Executive"/>
    <n v="41"/>
    <n v="15"/>
    <n v="32610"/>
    <n v="38"/>
    <n v="4"/>
    <n v="17"/>
    <n v="8"/>
    <n v="3.2"/>
    <n v="5.6"/>
    <s v="Low"/>
    <n v="49.87"/>
  </r>
  <r>
    <s v="EMP0115"/>
    <x v="1"/>
    <s v="Sales Analyst"/>
    <n v="48"/>
    <n v="4"/>
    <n v="83026"/>
    <n v="48"/>
    <n v="11"/>
    <n v="3"/>
    <n v="31"/>
    <n v="3.8"/>
    <n v="9.6"/>
    <s v="High"/>
    <n v="87.33"/>
  </r>
  <r>
    <s v="EMP0116"/>
    <x v="0"/>
    <s v="Finance Executive"/>
    <n v="45"/>
    <n v="6"/>
    <n v="54057"/>
    <n v="49"/>
    <n v="4"/>
    <n v="11"/>
    <n v="6"/>
    <n v="4.9000000000000004"/>
    <n v="5.6"/>
    <s v="Low"/>
    <n v="54.97"/>
  </r>
  <r>
    <s v="EMP0117"/>
    <x v="2"/>
    <s v="IT Executive"/>
    <n v="25"/>
    <n v="3"/>
    <n v="43080"/>
    <n v="41"/>
    <n v="2"/>
    <n v="14"/>
    <n v="5"/>
    <n v="4"/>
    <n v="7.5"/>
    <s v="Medium"/>
    <n v="60.33"/>
  </r>
  <r>
    <s v="EMP0118"/>
    <x v="0"/>
    <s v="Financial Analyst"/>
    <n v="25"/>
    <n v="2"/>
    <n v="40962"/>
    <n v="39"/>
    <n v="13"/>
    <n v="18"/>
    <n v="13"/>
    <n v="2.2000000000000002"/>
    <n v="8.4"/>
    <s v="High"/>
    <n v="78.67"/>
  </r>
  <r>
    <s v="EMP0119"/>
    <x v="1"/>
    <s v="Sales Analyst"/>
    <n v="35"/>
    <n v="13"/>
    <n v="81996"/>
    <n v="42"/>
    <n v="6"/>
    <n v="24"/>
    <n v="9"/>
    <n v="4.4000000000000004"/>
    <n v="7.2"/>
    <s v="Medium"/>
    <n v="66.400000000000006"/>
  </r>
  <r>
    <s v="EMP0120"/>
    <x v="4"/>
    <s v="HR Analyst"/>
    <n v="30"/>
    <n v="8"/>
    <n v="41426"/>
    <n v="40"/>
    <n v="2"/>
    <n v="21"/>
    <n v="1"/>
    <n v="2.4"/>
    <n v="5.5"/>
    <s v="Low"/>
    <n v="43.53"/>
  </r>
  <r>
    <s v="EMP0121"/>
    <x v="1"/>
    <s v="Sales Analyst"/>
    <n v="42"/>
    <n v="0"/>
    <n v="36419"/>
    <n v="43"/>
    <n v="1"/>
    <n v="4"/>
    <n v="26"/>
    <n v="3.6"/>
    <n v="8.1999999999999993"/>
    <s v="High"/>
    <n v="61.67"/>
  </r>
  <r>
    <s v="EMP0122"/>
    <x v="3"/>
    <s v="Content Specialist"/>
    <n v="45"/>
    <n v="3"/>
    <n v="54622"/>
    <n v="51"/>
    <n v="4"/>
    <n v="19"/>
    <n v="2"/>
    <n v="4.2"/>
    <n v="9.4"/>
    <s v="High"/>
    <n v="75.67"/>
  </r>
  <r>
    <s v="EMP0123"/>
    <x v="1"/>
    <s v="Account Manager"/>
    <n v="41"/>
    <n v="14"/>
    <n v="67161"/>
    <n v="35"/>
    <n v="1"/>
    <n v="15"/>
    <n v="25"/>
    <n v="3.3"/>
    <n v="3.8"/>
    <s v="Low"/>
    <n v="34.369999999999997"/>
  </r>
  <r>
    <s v="EMP0124"/>
    <x v="3"/>
    <s v="Content Specialist"/>
    <n v="26"/>
    <n v="0"/>
    <n v="46109"/>
    <n v="54"/>
    <n v="3"/>
    <n v="2"/>
    <n v="8"/>
    <n v="2.8"/>
    <n v="7.4"/>
    <s v="Medium"/>
    <n v="57.8"/>
  </r>
  <r>
    <s v="EMP0125"/>
    <x v="2"/>
    <s v="IT Executive"/>
    <n v="46"/>
    <n v="9"/>
    <n v="54734"/>
    <n v="51"/>
    <n v="10"/>
    <n v="13"/>
    <n v="6"/>
    <n v="4.4000000000000004"/>
    <n v="3.8"/>
    <s v="Low"/>
    <n v="52.67"/>
  </r>
  <r>
    <s v="EMP0126"/>
    <x v="1"/>
    <s v="Sales Analyst"/>
    <n v="35"/>
    <n v="6"/>
    <n v="54593"/>
    <n v="42"/>
    <n v="7"/>
    <n v="10"/>
    <n v="29"/>
    <n v="3.2"/>
    <n v="8.1"/>
    <s v="High"/>
    <n v="69.87"/>
  </r>
  <r>
    <s v="EMP0127"/>
    <x v="3"/>
    <s v="Marketing Executive"/>
    <n v="42"/>
    <n v="8"/>
    <n v="49530"/>
    <n v="39"/>
    <n v="11"/>
    <n v="15"/>
    <n v="4"/>
    <n v="2.2999999999999998"/>
    <n v="3.6"/>
    <s v="Low"/>
    <n v="46.83"/>
  </r>
  <r>
    <s v="EMP0128"/>
    <x v="0"/>
    <s v="Accountant"/>
    <n v="45"/>
    <n v="4"/>
    <n v="61462"/>
    <n v="36"/>
    <n v="10"/>
    <n v="17"/>
    <n v="35"/>
    <n v="3"/>
    <n v="3.9"/>
    <s v="Low"/>
    <n v="49.07"/>
  </r>
  <r>
    <s v="EMP0129"/>
    <x v="3"/>
    <s v="Marketing Executive"/>
    <n v="25"/>
    <n v="2"/>
    <n v="64348"/>
    <n v="44"/>
    <n v="6"/>
    <n v="3"/>
    <n v="36"/>
    <n v="3.5"/>
    <n v="4.0999999999999996"/>
    <s v="Low"/>
    <n v="45.1"/>
  </r>
  <r>
    <s v="EMP0130"/>
    <x v="4"/>
    <s v="Recruiter"/>
    <n v="28"/>
    <n v="5"/>
    <n v="80402"/>
    <n v="52"/>
    <n v="6"/>
    <n v="3"/>
    <n v="17"/>
    <n v="3.7"/>
    <n v="8.6999999999999993"/>
    <s v="High"/>
    <n v="73.3"/>
  </r>
  <r>
    <s v="EMP0131"/>
    <x v="1"/>
    <s v="Sales Analyst"/>
    <n v="23"/>
    <n v="2"/>
    <n v="85888"/>
    <n v="43"/>
    <n v="1"/>
    <n v="5"/>
    <n v="17"/>
    <n v="4.0999999999999996"/>
    <n v="5.2"/>
    <s v="Low"/>
    <n v="45.17"/>
  </r>
  <r>
    <s v="EMP0132"/>
    <x v="2"/>
    <s v="Data Analyst"/>
    <n v="22"/>
    <n v="0"/>
    <n v="82007"/>
    <n v="39"/>
    <n v="10"/>
    <n v="21"/>
    <n v="25"/>
    <n v="2.2000000000000002"/>
    <n v="8.1999999999999993"/>
    <s v="High"/>
    <n v="72.47"/>
  </r>
  <r>
    <s v="EMP0133"/>
    <x v="0"/>
    <s v="Finance Executive"/>
    <n v="55"/>
    <n v="6"/>
    <n v="49654"/>
    <n v="48"/>
    <n v="8"/>
    <n v="10"/>
    <n v="10"/>
    <n v="3.1"/>
    <n v="8.1"/>
    <s v="High"/>
    <n v="71.23"/>
  </r>
  <r>
    <s v="EMP0134"/>
    <x v="1"/>
    <s v="Account Manager"/>
    <n v="27"/>
    <n v="0"/>
    <n v="35196"/>
    <n v="40"/>
    <n v="13"/>
    <n v="19"/>
    <n v="3"/>
    <n v="4"/>
    <n v="4.9000000000000004"/>
    <s v="Low"/>
    <n v="63.07"/>
  </r>
  <r>
    <s v="EMP0135"/>
    <x v="3"/>
    <s v="Marketing Executive"/>
    <n v="53"/>
    <n v="14"/>
    <n v="52143"/>
    <n v="43"/>
    <n v="4"/>
    <n v="24"/>
    <n v="32"/>
    <n v="2.2999999999999998"/>
    <n v="6"/>
    <s v="Medium"/>
    <n v="49.57"/>
  </r>
  <r>
    <s v="EMP0136"/>
    <x v="1"/>
    <s v="Sales Executive"/>
    <n v="53"/>
    <n v="9"/>
    <n v="27976"/>
    <n v="42"/>
    <n v="7"/>
    <n v="19"/>
    <n v="3"/>
    <n v="2"/>
    <n v="5.0999999999999996"/>
    <s v="Low"/>
    <n v="48.27"/>
  </r>
  <r>
    <s v="EMP0137"/>
    <x v="4"/>
    <s v="Recruiter"/>
    <n v="38"/>
    <n v="9"/>
    <n v="46503"/>
    <n v="38"/>
    <n v="1"/>
    <n v="15"/>
    <n v="27"/>
    <n v="2.5"/>
    <n v="5.7"/>
    <s v="Low"/>
    <n v="43.37"/>
  </r>
  <r>
    <s v="EMP0138"/>
    <x v="4"/>
    <s v="HR Analyst"/>
    <n v="54"/>
    <n v="11"/>
    <n v="29723"/>
    <n v="47"/>
    <n v="14"/>
    <n v="23"/>
    <n v="2"/>
    <n v="3.3"/>
    <n v="6.2"/>
    <s v="Medium"/>
    <n v="70.430000000000007"/>
  </r>
  <r>
    <s v="EMP0139"/>
    <x v="2"/>
    <s v="Data Analyst"/>
    <n v="49"/>
    <n v="12"/>
    <n v="71497"/>
    <n v="55"/>
    <n v="7"/>
    <n v="9"/>
    <n v="7"/>
    <n v="3.2"/>
    <n v="9.8000000000000007"/>
    <s v="High"/>
    <n v="80.069999999999993"/>
  </r>
  <r>
    <s v="EMP0140"/>
    <x v="1"/>
    <s v="Sales Executive"/>
    <n v="51"/>
    <n v="11"/>
    <n v="30775"/>
    <n v="48"/>
    <n v="14"/>
    <n v="3"/>
    <n v="15"/>
    <n v="3.3"/>
    <n v="5.8"/>
    <s v="Low"/>
    <n v="68.03"/>
  </r>
  <r>
    <s v="EMP0141"/>
    <x v="3"/>
    <s v="Content Specialist"/>
    <n v="41"/>
    <n v="10"/>
    <n v="39520"/>
    <n v="45"/>
    <n v="13"/>
    <n v="5"/>
    <n v="4"/>
    <n v="3.5"/>
    <n v="3.8"/>
    <s v="Low"/>
    <n v="54.97"/>
  </r>
  <r>
    <s v="EMP0142"/>
    <x v="4"/>
    <s v="HR Analyst"/>
    <n v="44"/>
    <n v="11"/>
    <n v="72669"/>
    <n v="55"/>
    <n v="14"/>
    <n v="4"/>
    <n v="15"/>
    <n v="2.2999999999999998"/>
    <n v="4.8"/>
    <s v="Low"/>
    <n v="59.03"/>
  </r>
  <r>
    <s v="EMP0143"/>
    <x v="1"/>
    <s v="Account Manager"/>
    <n v="31"/>
    <n v="10"/>
    <n v="29938"/>
    <n v="40"/>
    <n v="13"/>
    <n v="20"/>
    <n v="31"/>
    <n v="3.4"/>
    <n v="6.9"/>
    <s v="Medium"/>
    <n v="73.27"/>
  </r>
  <r>
    <s v="EMP0144"/>
    <x v="3"/>
    <s v="Content Specialist"/>
    <n v="42"/>
    <n v="10"/>
    <n v="34893"/>
    <n v="49"/>
    <n v="2"/>
    <n v="15"/>
    <n v="28"/>
    <n v="3.9"/>
    <n v="8.6"/>
    <s v="High"/>
    <n v="66.63"/>
  </r>
  <r>
    <s v="EMP0145"/>
    <x v="0"/>
    <s v="Finance Executive"/>
    <n v="44"/>
    <n v="2"/>
    <n v="45342"/>
    <n v="49"/>
    <n v="8"/>
    <n v="1"/>
    <n v="3"/>
    <n v="3.1"/>
    <n v="5"/>
    <s v="Low"/>
    <n v="52.63"/>
  </r>
  <r>
    <s v="EMP0146"/>
    <x v="0"/>
    <s v="Finance Executive"/>
    <n v="54"/>
    <n v="12"/>
    <n v="55324"/>
    <n v="53"/>
    <n v="9"/>
    <n v="25"/>
    <n v="2"/>
    <n v="3.3"/>
    <n v="8.6999999999999993"/>
    <s v="High"/>
    <n v="77.099999999999994"/>
  </r>
  <r>
    <s v="EMP0147"/>
    <x v="4"/>
    <s v="Recruiter"/>
    <n v="42"/>
    <n v="15"/>
    <n v="57857"/>
    <n v="39"/>
    <n v="1"/>
    <n v="14"/>
    <n v="6"/>
    <n v="4.4000000000000004"/>
    <n v="8.9"/>
    <s v="High"/>
    <n v="68.27"/>
  </r>
  <r>
    <s v="EMP0148"/>
    <x v="0"/>
    <s v="Accountant"/>
    <n v="54"/>
    <n v="5"/>
    <n v="27565"/>
    <n v="42"/>
    <n v="12"/>
    <n v="14"/>
    <n v="28"/>
    <n v="3.6"/>
    <n v="7.3"/>
    <s v="Medium"/>
    <n v="74.599999999999994"/>
  </r>
  <r>
    <s v="EMP0149"/>
    <x v="2"/>
    <s v="Data Analyst"/>
    <n v="40"/>
    <n v="12"/>
    <n v="51789"/>
    <n v="45"/>
    <n v="11"/>
    <n v="19"/>
    <n v="3"/>
    <n v="4.4000000000000004"/>
    <n v="7.5"/>
    <s v="Medium"/>
    <n v="76.53"/>
  </r>
  <r>
    <s v="EMP0150"/>
    <x v="2"/>
    <s v="IT Executive"/>
    <n v="28"/>
    <n v="6"/>
    <n v="43621"/>
    <n v="43"/>
    <n v="12"/>
    <n v="21"/>
    <n v="38"/>
    <n v="4.5999999999999996"/>
    <n v="5.3"/>
    <s v="Low"/>
    <n v="65.599999999999994"/>
  </r>
  <r>
    <s v="EMP0151"/>
    <x v="4"/>
    <s v="HR Analyst"/>
    <n v="44"/>
    <n v="9"/>
    <n v="88418"/>
    <n v="55"/>
    <n v="12"/>
    <n v="21"/>
    <n v="25"/>
    <n v="2.4"/>
    <n v="8"/>
    <s v="High"/>
    <n v="75.2"/>
  </r>
  <r>
    <s v="EMP0152"/>
    <x v="2"/>
    <s v="IT Executive"/>
    <n v="46"/>
    <n v="10"/>
    <n v="78292"/>
    <n v="39"/>
    <n v="11"/>
    <n v="22"/>
    <n v="33"/>
    <n v="2.2999999999999998"/>
    <n v="7.7"/>
    <s v="Medium"/>
    <n v="71.430000000000007"/>
  </r>
  <r>
    <s v="EMP0153"/>
    <x v="2"/>
    <s v="Data Analyst"/>
    <n v="23"/>
    <n v="1"/>
    <n v="45241"/>
    <n v="40"/>
    <n v="4"/>
    <n v="10"/>
    <n v="31"/>
    <n v="2.6"/>
    <n v="10"/>
    <s v="High"/>
    <n v="74.47"/>
  </r>
  <r>
    <s v="EMP0154"/>
    <x v="0"/>
    <s v="Finance Executive"/>
    <n v="40"/>
    <n v="3"/>
    <n v="58271"/>
    <n v="52"/>
    <n v="14"/>
    <n v="23"/>
    <n v="33"/>
    <n v="2.1"/>
    <n v="5.4"/>
    <s v="Low"/>
    <n v="62.03"/>
  </r>
  <r>
    <s v="EMP0155"/>
    <x v="4"/>
    <s v="HR Executive"/>
    <n v="46"/>
    <n v="4"/>
    <n v="35633"/>
    <n v="40"/>
    <n v="14"/>
    <n v="22"/>
    <n v="39"/>
    <n v="4.4000000000000004"/>
    <n v="4.2"/>
    <s v="Low"/>
    <n v="61.73"/>
  </r>
  <r>
    <s v="EMP0156"/>
    <x v="0"/>
    <s v="Financial Analyst"/>
    <n v="48"/>
    <n v="11"/>
    <n v="69326"/>
    <n v="42"/>
    <n v="8"/>
    <n v="19"/>
    <n v="18"/>
    <n v="4.3"/>
    <n v="8.5"/>
    <s v="High"/>
    <n v="77.23"/>
  </r>
  <r>
    <s v="EMP0157"/>
    <x v="1"/>
    <s v="Sales Analyst"/>
    <n v="37"/>
    <n v="9"/>
    <n v="88281"/>
    <n v="50"/>
    <n v="15"/>
    <n v="6"/>
    <n v="23"/>
    <n v="4"/>
    <n v="7"/>
    <s v="Medium"/>
    <n v="79"/>
  </r>
  <r>
    <s v="EMP0158"/>
    <x v="3"/>
    <s v="Marketing Executive"/>
    <n v="40"/>
    <n v="12"/>
    <n v="57958"/>
    <n v="51"/>
    <n v="7"/>
    <n v="5"/>
    <n v="12"/>
    <n v="4.4000000000000004"/>
    <n v="4"/>
    <s v="Low"/>
    <n v="48.87"/>
  </r>
  <r>
    <s v="EMP0159"/>
    <x v="0"/>
    <s v="Accountant"/>
    <n v="52"/>
    <n v="11"/>
    <n v="61342"/>
    <n v="38"/>
    <n v="12"/>
    <n v="16"/>
    <n v="7"/>
    <n v="2.9"/>
    <n v="8.3000000000000007"/>
    <s v="High"/>
    <n v="78.5"/>
  </r>
  <r>
    <s v="EMP0160"/>
    <x v="3"/>
    <s v="Marketing Executive"/>
    <n v="54"/>
    <n v="4"/>
    <n v="79463"/>
    <n v="48"/>
    <n v="2"/>
    <n v="7"/>
    <n v="28"/>
    <n v="4.7"/>
    <n v="9.5"/>
    <s v="High"/>
    <n v="74.430000000000007"/>
  </r>
  <r>
    <s v="EMP0161"/>
    <x v="0"/>
    <s v="Finance Executive"/>
    <n v="47"/>
    <n v="11"/>
    <n v="40451"/>
    <n v="47"/>
    <n v="2"/>
    <n v="11"/>
    <n v="14"/>
    <n v="2.1"/>
    <n v="9.5"/>
    <s v="High"/>
    <n v="66.63"/>
  </r>
  <r>
    <s v="EMP0162"/>
    <x v="2"/>
    <s v="IT Executive"/>
    <n v="31"/>
    <n v="2"/>
    <n v="27510"/>
    <n v="44"/>
    <n v="15"/>
    <n v="15"/>
    <n v="8"/>
    <n v="4.3"/>
    <n v="6.3"/>
    <s v="Medium"/>
    <n v="75.7"/>
  </r>
  <r>
    <s v="EMP0163"/>
    <x v="0"/>
    <s v="Accountant"/>
    <n v="27"/>
    <n v="0"/>
    <n v="41772"/>
    <n v="41"/>
    <n v="14"/>
    <n v="4"/>
    <n v="35"/>
    <n v="4.8"/>
    <n v="7.3"/>
    <s v="Medium"/>
    <n v="81.53"/>
  </r>
  <r>
    <s v="EMP0164"/>
    <x v="0"/>
    <s v="Financial Analyst"/>
    <n v="40"/>
    <n v="7"/>
    <n v="44736"/>
    <n v="38"/>
    <n v="1"/>
    <n v="7"/>
    <n v="26"/>
    <n v="3.9"/>
    <n v="7.4"/>
    <s v="Medium"/>
    <n v="57.77"/>
  </r>
  <r>
    <s v="EMP0165"/>
    <x v="0"/>
    <s v="Accountant"/>
    <n v="53"/>
    <n v="0"/>
    <n v="66415"/>
    <n v="51"/>
    <n v="10"/>
    <n v="7"/>
    <n v="9"/>
    <n v="2.9"/>
    <n v="3"/>
    <s v="Low"/>
    <n v="43.37"/>
  </r>
  <r>
    <s v="EMP0166"/>
    <x v="4"/>
    <s v="Recruiter"/>
    <n v="48"/>
    <n v="5"/>
    <n v="68540"/>
    <n v="37"/>
    <n v="9"/>
    <n v="11"/>
    <n v="4"/>
    <n v="4.9000000000000004"/>
    <n v="6.8"/>
    <s v="Medium"/>
    <n v="70.5"/>
  </r>
  <r>
    <s v="EMP0167"/>
    <x v="1"/>
    <s v="Sales Executive"/>
    <n v="23"/>
    <n v="1"/>
    <n v="82234"/>
    <n v="50"/>
    <n v="1"/>
    <n v="20"/>
    <n v="24"/>
    <n v="4.9000000000000004"/>
    <n v="4.8"/>
    <s v="Low"/>
    <n v="45.17"/>
  </r>
  <r>
    <s v="EMP0168"/>
    <x v="2"/>
    <s v="Data Analyst"/>
    <n v="26"/>
    <n v="2"/>
    <n v="40802"/>
    <n v="55"/>
    <n v="2"/>
    <n v="24"/>
    <n v="37"/>
    <n v="4.2"/>
    <n v="5.3"/>
    <s v="Low"/>
    <n v="47.73"/>
  </r>
  <r>
    <s v="EMP0169"/>
    <x v="2"/>
    <s v="IT Executive"/>
    <n v="43"/>
    <n v="5"/>
    <n v="79420"/>
    <n v="49"/>
    <n v="12"/>
    <n v="15"/>
    <n v="40"/>
    <n v="2.5"/>
    <n v="3.9"/>
    <s v="Low"/>
    <n v="50.9"/>
  </r>
  <r>
    <s v="EMP0170"/>
    <x v="3"/>
    <s v="Marketing Executive"/>
    <n v="24"/>
    <n v="2"/>
    <n v="38211"/>
    <n v="36"/>
    <n v="13"/>
    <n v="6"/>
    <n v="2"/>
    <n v="2.9"/>
    <n v="5.2"/>
    <s v="Low"/>
    <n v="61.57"/>
  </r>
  <r>
    <s v="EMP0171"/>
    <x v="1"/>
    <s v="Account Manager"/>
    <n v="52"/>
    <n v="8"/>
    <n v="27399"/>
    <n v="55"/>
    <n v="4"/>
    <n v="9"/>
    <n v="22"/>
    <n v="4.5999999999999996"/>
    <n v="3.3"/>
    <s v="Low"/>
    <n v="40.270000000000003"/>
  </r>
  <r>
    <s v="EMP0172"/>
    <x v="2"/>
    <s v="Data Analyst"/>
    <n v="39"/>
    <n v="3"/>
    <n v="77385"/>
    <n v="46"/>
    <n v="7"/>
    <n v="12"/>
    <n v="28"/>
    <n v="4.7"/>
    <n v="5.7"/>
    <s v="Low"/>
    <n v="59.97"/>
  </r>
  <r>
    <s v="EMP0173"/>
    <x v="3"/>
    <s v="Content Specialist"/>
    <n v="53"/>
    <n v="11"/>
    <n v="85575"/>
    <n v="51"/>
    <n v="5"/>
    <n v="25"/>
    <n v="5"/>
    <n v="4.2"/>
    <n v="3.6"/>
    <s v="Low"/>
    <n v="42.53"/>
  </r>
  <r>
    <s v="EMP0174"/>
    <x v="4"/>
    <s v="HR Executive"/>
    <n v="40"/>
    <n v="10"/>
    <n v="31723"/>
    <n v="37"/>
    <n v="6"/>
    <n v="21"/>
    <n v="18"/>
    <n v="2.9"/>
    <n v="7.2"/>
    <s v="Medium"/>
    <n v="61.9"/>
  </r>
  <r>
    <s v="EMP0175"/>
    <x v="4"/>
    <s v="HR Analyst"/>
    <n v="50"/>
    <n v="11"/>
    <n v="54303"/>
    <n v="36"/>
    <n v="12"/>
    <n v="11"/>
    <n v="39"/>
    <n v="5"/>
    <n v="4.9000000000000004"/>
    <s v="Low"/>
    <n v="64.400000000000006"/>
  </r>
  <r>
    <s v="EMP0176"/>
    <x v="0"/>
    <s v="Financial Analyst"/>
    <n v="47"/>
    <n v="11"/>
    <n v="58625"/>
    <n v="40"/>
    <n v="1"/>
    <n v="4"/>
    <n v="38"/>
    <n v="4"/>
    <n v="6.1"/>
    <s v="Medium"/>
    <n v="50.27"/>
  </r>
  <r>
    <s v="EMP0177"/>
    <x v="0"/>
    <s v="Accountant"/>
    <n v="37"/>
    <n v="11"/>
    <n v="48733"/>
    <n v="47"/>
    <n v="10"/>
    <n v="1"/>
    <n v="38"/>
    <n v="2.5"/>
    <n v="6.1"/>
    <s v="Medium"/>
    <n v="60.77"/>
  </r>
  <r>
    <s v="EMP0178"/>
    <x v="2"/>
    <s v="Data Analyst"/>
    <n v="50"/>
    <n v="2"/>
    <n v="62612"/>
    <n v="39"/>
    <n v="9"/>
    <n v="11"/>
    <n v="25"/>
    <n v="2.9"/>
    <n v="5"/>
    <s v="Low"/>
    <n v="53.7"/>
  </r>
  <r>
    <s v="EMP0179"/>
    <x v="0"/>
    <s v="Accountant"/>
    <n v="33"/>
    <n v="7"/>
    <n v="58930"/>
    <n v="47"/>
    <n v="15"/>
    <n v="17"/>
    <n v="7"/>
    <n v="2.8"/>
    <n v="4.8"/>
    <s v="Low"/>
    <n v="62.2"/>
  </r>
  <r>
    <s v="EMP0180"/>
    <x v="4"/>
    <s v="HR Analyst"/>
    <n v="40"/>
    <n v="15"/>
    <n v="38118"/>
    <n v="38"/>
    <n v="3"/>
    <n v="2"/>
    <n v="28"/>
    <n v="2.5"/>
    <n v="8"/>
    <s v="High"/>
    <n v="60.5"/>
  </r>
  <r>
    <s v="EMP0181"/>
    <x v="2"/>
    <s v="IT Executive"/>
    <n v="44"/>
    <n v="2"/>
    <n v="61044"/>
    <n v="52"/>
    <n v="5"/>
    <n v="9"/>
    <n v="10"/>
    <n v="4.0999999999999996"/>
    <n v="9.5"/>
    <s v="High"/>
    <n v="77.63"/>
  </r>
  <r>
    <s v="EMP0182"/>
    <x v="4"/>
    <s v="Recruiter"/>
    <n v="45"/>
    <n v="7"/>
    <n v="32953"/>
    <n v="41"/>
    <n v="13"/>
    <n v="4"/>
    <n v="15"/>
    <n v="4.4000000000000004"/>
    <n v="3.2"/>
    <s v="Low"/>
    <n v="54.07"/>
  </r>
  <r>
    <s v="EMP0183"/>
    <x v="1"/>
    <s v="Account Manager"/>
    <n v="45"/>
    <n v="14"/>
    <n v="77668"/>
    <n v="52"/>
    <n v="3"/>
    <n v="19"/>
    <n v="5"/>
    <n v="2.2000000000000002"/>
    <n v="5.8"/>
    <s v="Low"/>
    <n v="46.4"/>
  </r>
  <r>
    <s v="EMP0184"/>
    <x v="3"/>
    <s v="Marketing Analyst"/>
    <n v="55"/>
    <n v="13"/>
    <n v="75407"/>
    <n v="48"/>
    <n v="14"/>
    <n v="18"/>
    <n v="4"/>
    <n v="2.4"/>
    <n v="5.2"/>
    <s v="Low"/>
    <n v="61.73"/>
  </r>
  <r>
    <s v="EMP0185"/>
    <x v="3"/>
    <s v="Content Specialist"/>
    <n v="51"/>
    <n v="11"/>
    <n v="33410"/>
    <n v="52"/>
    <n v="11"/>
    <n v="18"/>
    <n v="11"/>
    <n v="4.3"/>
    <n v="3.9"/>
    <s v="Low"/>
    <n v="54.63"/>
  </r>
  <r>
    <s v="EMP0186"/>
    <x v="0"/>
    <s v="Finance Executive"/>
    <n v="29"/>
    <n v="8"/>
    <n v="35028"/>
    <n v="44"/>
    <n v="3"/>
    <n v="5"/>
    <n v="20"/>
    <n v="4.8"/>
    <n v="4.5999999999999996"/>
    <s v="Low"/>
    <n v="47"/>
  </r>
  <r>
    <s v="EMP0187"/>
    <x v="2"/>
    <s v="Data Analyst"/>
    <n v="27"/>
    <n v="2"/>
    <n v="37864"/>
    <n v="55"/>
    <n v="9"/>
    <n v="8"/>
    <n v="8"/>
    <n v="3.9"/>
    <n v="7.3"/>
    <s v="Medium"/>
    <n v="70.5"/>
  </r>
  <r>
    <s v="EMP0188"/>
    <x v="1"/>
    <s v="Account Manager"/>
    <n v="32"/>
    <n v="9"/>
    <n v="86709"/>
    <n v="53"/>
    <n v="3"/>
    <n v="5"/>
    <n v="39"/>
    <n v="4.2"/>
    <n v="7.2"/>
    <s v="Medium"/>
    <n v="60.8"/>
  </r>
  <r>
    <s v="EMP0189"/>
    <x v="0"/>
    <s v="Accountant"/>
    <n v="23"/>
    <n v="0"/>
    <n v="27979"/>
    <n v="55"/>
    <n v="13"/>
    <n v="18"/>
    <n v="16"/>
    <n v="4"/>
    <n v="8.4"/>
    <s v="High"/>
    <n v="84.07"/>
  </r>
  <r>
    <s v="EMP0190"/>
    <x v="1"/>
    <s v="Account Manager"/>
    <n v="23"/>
    <n v="1"/>
    <n v="83261"/>
    <n v="55"/>
    <n v="9"/>
    <n v="9"/>
    <n v="19"/>
    <n v="3.4"/>
    <n v="8.6"/>
    <s v="High"/>
    <n v="76.8"/>
  </r>
  <r>
    <s v="EMP0191"/>
    <x v="3"/>
    <s v="Content Specialist"/>
    <n v="41"/>
    <n v="14"/>
    <n v="29782"/>
    <n v="36"/>
    <n v="3"/>
    <n v="14"/>
    <n v="26"/>
    <n v="3.5"/>
    <n v="4.4000000000000004"/>
    <s v="Low"/>
    <n v="41.9"/>
  </r>
  <r>
    <s v="EMP0192"/>
    <x v="4"/>
    <s v="HR Analyst"/>
    <n v="42"/>
    <n v="10"/>
    <n v="73116"/>
    <n v="46"/>
    <n v="7"/>
    <n v="4"/>
    <n v="23"/>
    <n v="3.5"/>
    <n v="3.7"/>
    <s v="Low"/>
    <n v="44.37"/>
  </r>
  <r>
    <s v="EMP0193"/>
    <x v="3"/>
    <s v="Content Specialist"/>
    <n v="29"/>
    <n v="4"/>
    <n v="54464"/>
    <n v="42"/>
    <n v="3"/>
    <n v="3"/>
    <n v="3"/>
    <n v="2.9"/>
    <n v="5.7"/>
    <s v="Low"/>
    <n v="47.9"/>
  </r>
  <r>
    <s v="EMP0194"/>
    <x v="3"/>
    <s v="Content Specialist"/>
    <n v="37"/>
    <n v="5"/>
    <n v="78312"/>
    <n v="45"/>
    <n v="15"/>
    <n v="18"/>
    <n v="20"/>
    <n v="2.6"/>
    <n v="4.0999999999999996"/>
    <s v="Low"/>
    <n v="57.4"/>
  </r>
  <r>
    <s v="EMP0195"/>
    <x v="3"/>
    <s v="Content Specialist"/>
    <n v="53"/>
    <n v="9"/>
    <n v="57595"/>
    <n v="35"/>
    <n v="2"/>
    <n v="12"/>
    <n v="32"/>
    <n v="3.4"/>
    <n v="4.7"/>
    <s v="Low"/>
    <n v="41.73"/>
  </r>
  <r>
    <s v="EMP0196"/>
    <x v="2"/>
    <s v="Data Analyst"/>
    <n v="25"/>
    <n v="0"/>
    <n v="43438"/>
    <n v="50"/>
    <n v="10"/>
    <n v="20"/>
    <n v="30"/>
    <n v="2.9"/>
    <n v="3.1"/>
    <s v="Low"/>
    <n v="43.97"/>
  </r>
  <r>
    <s v="EMP0197"/>
    <x v="3"/>
    <s v="Content Specialist"/>
    <n v="30"/>
    <n v="4"/>
    <n v="72677"/>
    <n v="46"/>
    <n v="13"/>
    <n v="12"/>
    <n v="23"/>
    <n v="2.1"/>
    <n v="3.4"/>
    <s v="Low"/>
    <n v="48.37"/>
  </r>
  <r>
    <s v="EMP0198"/>
    <x v="4"/>
    <s v="Recruiter"/>
    <n v="45"/>
    <n v="9"/>
    <n v="29818"/>
    <n v="47"/>
    <n v="9"/>
    <n v="14"/>
    <n v="35"/>
    <n v="2.8"/>
    <n v="9.9"/>
    <s v="High"/>
    <n v="82.8"/>
  </r>
  <r>
    <s v="EMP0199"/>
    <x v="1"/>
    <s v="Sales Executive"/>
    <n v="29"/>
    <n v="2"/>
    <n v="88903"/>
    <n v="38"/>
    <n v="7"/>
    <n v="11"/>
    <n v="21"/>
    <n v="3.7"/>
    <n v="5.6"/>
    <s v="Low"/>
    <n v="56.37"/>
  </r>
  <r>
    <s v="EMP0200"/>
    <x v="4"/>
    <s v="Recruiter"/>
    <n v="54"/>
    <n v="12"/>
    <n v="57773"/>
    <n v="36"/>
    <n v="1"/>
    <n v="1"/>
    <n v="8"/>
    <n v="4.0999999999999996"/>
    <n v="8.6"/>
    <s v="High"/>
    <n v="65.569999999999993"/>
  </r>
  <r>
    <s v="EMP0201"/>
    <x v="3"/>
    <s v="Content Specialist"/>
    <n v="31"/>
    <n v="9"/>
    <n v="83532"/>
    <n v="51"/>
    <n v="3"/>
    <n v="10"/>
    <n v="39"/>
    <n v="3"/>
    <n v="5.8"/>
    <s v="Low"/>
    <n v="48.8"/>
  </r>
  <r>
    <s v="EMP0202"/>
    <x v="2"/>
    <s v="Software Engineer"/>
    <n v="43"/>
    <n v="15"/>
    <n v="71447"/>
    <n v="53"/>
    <n v="5"/>
    <n v="15"/>
    <n v="1"/>
    <n v="3.1"/>
    <n v="7.7"/>
    <s v="Medium"/>
    <n v="63.83"/>
  </r>
  <r>
    <s v="EMP0203"/>
    <x v="1"/>
    <s v="Account Manager"/>
    <n v="41"/>
    <n v="0"/>
    <n v="64119"/>
    <n v="50"/>
    <n v="5"/>
    <n v="20"/>
    <n v="37"/>
    <n v="3.7"/>
    <n v="8"/>
    <s v="High"/>
    <n v="67.430000000000007"/>
  </r>
  <r>
    <s v="EMP0204"/>
    <x v="3"/>
    <s v="Content Specialist"/>
    <n v="32"/>
    <n v="8"/>
    <n v="66223"/>
    <n v="54"/>
    <n v="13"/>
    <n v="12"/>
    <n v="9"/>
    <n v="4.5"/>
    <n v="4.7"/>
    <s v="Low"/>
    <n v="63.37"/>
  </r>
  <r>
    <s v="EMP0205"/>
    <x v="0"/>
    <s v="Finance Executive"/>
    <n v="34"/>
    <n v="0"/>
    <n v="53903"/>
    <n v="45"/>
    <n v="7"/>
    <n v="4"/>
    <n v="26"/>
    <n v="4.0999999999999996"/>
    <n v="5.9"/>
    <s v="Low"/>
    <n v="59.37"/>
  </r>
  <r>
    <s v="EMP0206"/>
    <x v="3"/>
    <s v="Marketing Analyst"/>
    <n v="25"/>
    <n v="1"/>
    <n v="58992"/>
    <n v="41"/>
    <n v="9"/>
    <n v="10"/>
    <n v="30"/>
    <n v="3.6"/>
    <n v="5.2"/>
    <s v="Low"/>
    <n v="57"/>
  </r>
  <r>
    <s v="EMP0207"/>
    <x v="3"/>
    <s v="Marketing Analyst"/>
    <n v="43"/>
    <n v="11"/>
    <n v="69293"/>
    <n v="55"/>
    <n v="13"/>
    <n v="22"/>
    <n v="16"/>
    <n v="3.8"/>
    <n v="4.3"/>
    <s v="Low"/>
    <n v="58.87"/>
  </r>
  <r>
    <s v="EMP0208"/>
    <x v="2"/>
    <s v="Software Engineer"/>
    <n v="41"/>
    <n v="7"/>
    <n v="86701"/>
    <n v="44"/>
    <n v="13"/>
    <n v="9"/>
    <n v="13"/>
    <n v="4.0999999999999996"/>
    <n v="6.4"/>
    <s v="Medium"/>
    <n v="72.37"/>
  </r>
  <r>
    <s v="EMP0209"/>
    <x v="2"/>
    <s v="Software Engineer"/>
    <n v="39"/>
    <n v="9"/>
    <n v="32987"/>
    <n v="53"/>
    <n v="11"/>
    <n v="17"/>
    <n v="24"/>
    <n v="4.7"/>
    <n v="5.8"/>
    <s v="Low"/>
    <n v="67.23"/>
  </r>
  <r>
    <s v="EMP0210"/>
    <x v="4"/>
    <s v="Recruiter"/>
    <n v="40"/>
    <n v="1"/>
    <n v="43850"/>
    <n v="37"/>
    <n v="6"/>
    <n v="14"/>
    <n v="16"/>
    <n v="4.2"/>
    <n v="4.5"/>
    <s v="Low"/>
    <n v="49.6"/>
  </r>
  <r>
    <s v="EMP0211"/>
    <x v="2"/>
    <s v="IT Executive"/>
    <n v="39"/>
    <n v="4"/>
    <n v="32158"/>
    <n v="54"/>
    <n v="12"/>
    <n v="18"/>
    <n v="15"/>
    <n v="2.7"/>
    <n v="7.7"/>
    <s v="Medium"/>
    <n v="74.3"/>
  </r>
  <r>
    <s v="EMP0212"/>
    <x v="4"/>
    <s v="HR Analyst"/>
    <n v="36"/>
    <n v="1"/>
    <n v="31566"/>
    <n v="48"/>
    <n v="6"/>
    <n v="22"/>
    <n v="30"/>
    <n v="2.2999999999999998"/>
    <n v="8.4"/>
    <s v="High"/>
    <n v="67.3"/>
  </r>
  <r>
    <s v="EMP0213"/>
    <x v="1"/>
    <s v="Sales Analyst"/>
    <n v="32"/>
    <n v="6"/>
    <n v="67787"/>
    <n v="50"/>
    <n v="8"/>
    <n v="20"/>
    <n v="12"/>
    <n v="4.3"/>
    <n v="5"/>
    <s v="Low"/>
    <n v="56.23"/>
  </r>
  <r>
    <s v="EMP0214"/>
    <x v="0"/>
    <s v="Financial Analyst"/>
    <n v="27"/>
    <n v="5"/>
    <n v="62626"/>
    <n v="42"/>
    <n v="9"/>
    <n v="23"/>
    <n v="2"/>
    <n v="4.7"/>
    <n v="4.2"/>
    <s v="Low"/>
    <n v="54.3"/>
  </r>
  <r>
    <s v="EMP0215"/>
    <x v="0"/>
    <s v="Accountant"/>
    <n v="47"/>
    <n v="15"/>
    <n v="37210"/>
    <n v="44"/>
    <n v="15"/>
    <n v="1"/>
    <n v="0"/>
    <n v="2.9"/>
    <n v="7.2"/>
    <s v="Medium"/>
    <n v="76.900000000000006"/>
  </r>
  <r>
    <s v="EMP0216"/>
    <x v="2"/>
    <s v="Software Engineer"/>
    <n v="51"/>
    <n v="15"/>
    <n v="83278"/>
    <n v="39"/>
    <n v="14"/>
    <n v="16"/>
    <n v="29"/>
    <n v="2.8"/>
    <n v="8.6999999999999993"/>
    <s v="High"/>
    <n v="83.93"/>
  </r>
  <r>
    <s v="EMP0217"/>
    <x v="4"/>
    <s v="HR Analyst"/>
    <n v="51"/>
    <n v="8"/>
    <n v="72094"/>
    <n v="40"/>
    <n v="1"/>
    <n v="23"/>
    <n v="21"/>
    <n v="4.4000000000000004"/>
    <n v="7"/>
    <s v="Medium"/>
    <n v="56.87"/>
  </r>
  <r>
    <s v="EMP0218"/>
    <x v="4"/>
    <s v="HR Executive"/>
    <n v="47"/>
    <n v="13"/>
    <n v="58769"/>
    <n v="45"/>
    <n v="2"/>
    <n v="12"/>
    <n v="6"/>
    <n v="2.6"/>
    <n v="4"/>
    <s v="Low"/>
    <n v="35.130000000000003"/>
  </r>
  <r>
    <s v="EMP0219"/>
    <x v="4"/>
    <s v="Recruiter"/>
    <n v="22"/>
    <n v="1"/>
    <n v="50137"/>
    <n v="42"/>
    <n v="8"/>
    <n v="24"/>
    <n v="17"/>
    <n v="4.9000000000000004"/>
    <n v="5.0999999999999996"/>
    <s v="Low"/>
    <n v="58.63"/>
  </r>
  <r>
    <s v="EMP0220"/>
    <x v="1"/>
    <s v="Sales Executive"/>
    <n v="22"/>
    <n v="1"/>
    <n v="67839"/>
    <n v="46"/>
    <n v="12"/>
    <n v="7"/>
    <n v="3"/>
    <n v="4"/>
    <n v="6.3"/>
    <s v="Medium"/>
    <n v="69.8"/>
  </r>
  <r>
    <s v="EMP0221"/>
    <x v="3"/>
    <s v="Marketing Analyst"/>
    <n v="54"/>
    <n v="9"/>
    <n v="70238"/>
    <n v="38"/>
    <n v="11"/>
    <n v="9"/>
    <n v="23"/>
    <n v="3.8"/>
    <n v="4.5"/>
    <s v="Low"/>
    <n v="56.73"/>
  </r>
  <r>
    <s v="EMP0222"/>
    <x v="3"/>
    <s v="Content Specialist"/>
    <n v="31"/>
    <n v="7"/>
    <n v="74003"/>
    <n v="54"/>
    <n v="6"/>
    <n v="13"/>
    <n v="35"/>
    <n v="4.7"/>
    <n v="8.3000000000000007"/>
    <s v="High"/>
    <n v="73.900000000000006"/>
  </r>
  <r>
    <s v="EMP0223"/>
    <x v="4"/>
    <s v="HR Analyst"/>
    <n v="37"/>
    <n v="2"/>
    <n v="59439"/>
    <n v="49"/>
    <n v="9"/>
    <n v="22"/>
    <n v="23"/>
    <n v="2.2000000000000002"/>
    <n v="6.9"/>
    <s v="Medium"/>
    <n v="63"/>
  </r>
  <r>
    <s v="EMP0224"/>
    <x v="1"/>
    <s v="Account Manager"/>
    <n v="54"/>
    <n v="6"/>
    <n v="62532"/>
    <n v="52"/>
    <n v="3"/>
    <n v="5"/>
    <n v="20"/>
    <n v="4.5999999999999996"/>
    <n v="6.1"/>
    <s v="Medium"/>
    <n v="55.4"/>
  </r>
  <r>
    <s v="EMP0225"/>
    <x v="4"/>
    <s v="HR Executive"/>
    <n v="53"/>
    <n v="2"/>
    <n v="83909"/>
    <n v="51"/>
    <n v="8"/>
    <n v="25"/>
    <n v="3"/>
    <n v="3.4"/>
    <n v="6.6"/>
    <s v="Medium"/>
    <n v="63.13"/>
  </r>
  <r>
    <s v="EMP0226"/>
    <x v="1"/>
    <s v="Sales Executive"/>
    <n v="25"/>
    <n v="4"/>
    <n v="55302"/>
    <n v="44"/>
    <n v="12"/>
    <n v="0"/>
    <n v="25"/>
    <n v="2.8"/>
    <n v="3"/>
    <s v="Low"/>
    <n v="46.4"/>
  </r>
  <r>
    <s v="EMP0227"/>
    <x v="1"/>
    <s v="Sales Executive"/>
    <n v="26"/>
    <n v="0"/>
    <n v="52767"/>
    <n v="46"/>
    <n v="12"/>
    <n v="2"/>
    <n v="34"/>
    <n v="5"/>
    <n v="9.5"/>
    <s v="High"/>
    <n v="92"/>
  </r>
  <r>
    <s v="EMP0228"/>
    <x v="3"/>
    <s v="Marketing Executive"/>
    <n v="24"/>
    <n v="2"/>
    <n v="51795"/>
    <n v="40"/>
    <n v="13"/>
    <n v="4"/>
    <n v="26"/>
    <n v="3.1"/>
    <n v="9.1999999999999993"/>
    <s v="High"/>
    <n v="86.17"/>
  </r>
  <r>
    <s v="EMP0229"/>
    <x v="3"/>
    <s v="Marketing Executive"/>
    <n v="46"/>
    <n v="2"/>
    <n v="69743"/>
    <n v="52"/>
    <n v="3"/>
    <n v="20"/>
    <n v="22"/>
    <n v="2.4"/>
    <n v="9.9"/>
    <s v="High"/>
    <n v="71.599999999999994"/>
  </r>
  <r>
    <s v="EMP0230"/>
    <x v="1"/>
    <s v="Sales Analyst"/>
    <n v="30"/>
    <n v="3"/>
    <n v="79710"/>
    <n v="35"/>
    <n v="13"/>
    <n v="0"/>
    <n v="19"/>
    <n v="3.4"/>
    <n v="8"/>
    <s v="High"/>
    <n v="79.87"/>
  </r>
  <r>
    <s v="EMP0231"/>
    <x v="1"/>
    <s v="Sales Executive"/>
    <n v="46"/>
    <n v="7"/>
    <n v="41220"/>
    <n v="49"/>
    <n v="6"/>
    <n v="4"/>
    <n v="17"/>
    <n v="2.6"/>
    <n v="9.1"/>
    <s v="High"/>
    <n v="72.400000000000006"/>
  </r>
  <r>
    <s v="EMP0232"/>
    <x v="0"/>
    <s v="Finance Executive"/>
    <n v="48"/>
    <n v="0"/>
    <n v="40772"/>
    <n v="41"/>
    <n v="2"/>
    <n v="3"/>
    <n v="38"/>
    <n v="2.1"/>
    <n v="7.2"/>
    <s v="Medium"/>
    <n v="52.83"/>
  </r>
  <r>
    <s v="EMP0233"/>
    <x v="0"/>
    <s v="Financial Analyst"/>
    <n v="37"/>
    <n v="1"/>
    <n v="51362"/>
    <n v="49"/>
    <n v="4"/>
    <n v="17"/>
    <n v="13"/>
    <n v="4.3"/>
    <n v="8.4"/>
    <s v="High"/>
    <n v="69.97"/>
  </r>
  <r>
    <s v="EMP0234"/>
    <x v="1"/>
    <s v="Sales Executive"/>
    <n v="40"/>
    <n v="7"/>
    <n v="78463"/>
    <n v="53"/>
    <n v="6"/>
    <n v="18"/>
    <n v="38"/>
    <n v="4.3"/>
    <n v="8.6999999999999993"/>
    <s v="High"/>
    <n v="75.099999999999994"/>
  </r>
  <r>
    <s v="EMP0235"/>
    <x v="2"/>
    <s v="IT Executive"/>
    <n v="31"/>
    <n v="10"/>
    <n v="59160"/>
    <n v="42"/>
    <n v="7"/>
    <n v="9"/>
    <n v="17"/>
    <n v="2.2000000000000002"/>
    <n v="9.6"/>
    <s v="High"/>
    <n v="75.87"/>
  </r>
  <r>
    <s v="EMP0236"/>
    <x v="4"/>
    <s v="HR Executive"/>
    <n v="49"/>
    <n v="15"/>
    <n v="28072"/>
    <n v="46"/>
    <n v="11"/>
    <n v="21"/>
    <n v="24"/>
    <n v="4.4000000000000004"/>
    <n v="5.2"/>
    <s v="Low"/>
    <n v="62.73"/>
  </r>
  <r>
    <s v="EMP0237"/>
    <x v="3"/>
    <s v="Content Specialist"/>
    <n v="31"/>
    <n v="4"/>
    <n v="49671"/>
    <n v="40"/>
    <n v="13"/>
    <n v="17"/>
    <n v="30"/>
    <n v="2.7"/>
    <n v="4.5999999999999996"/>
    <s v="Low"/>
    <n v="57.37"/>
  </r>
  <r>
    <s v="EMP0238"/>
    <x v="4"/>
    <s v="HR Analyst"/>
    <n v="51"/>
    <n v="1"/>
    <n v="61856"/>
    <n v="48"/>
    <n v="7"/>
    <n v="17"/>
    <n v="33"/>
    <n v="2.4"/>
    <n v="4.7"/>
    <s v="Low"/>
    <n v="47.07"/>
  </r>
  <r>
    <s v="EMP0239"/>
    <x v="2"/>
    <s v="IT Executive"/>
    <n v="27"/>
    <n v="3"/>
    <n v="80517"/>
    <n v="46"/>
    <n v="2"/>
    <n v="17"/>
    <n v="12"/>
    <n v="2.2000000000000002"/>
    <n v="5.6"/>
    <s v="Low"/>
    <n v="43.53"/>
  </r>
  <r>
    <s v="EMP0240"/>
    <x v="1"/>
    <s v="Sales Analyst"/>
    <n v="24"/>
    <n v="0"/>
    <n v="37331"/>
    <n v="53"/>
    <n v="12"/>
    <n v="21"/>
    <n v="35"/>
    <n v="2.7"/>
    <n v="4.5"/>
    <s v="Low"/>
    <n v="55.1"/>
  </r>
  <r>
    <s v="EMP0241"/>
    <x v="2"/>
    <s v="IT Executive"/>
    <n v="22"/>
    <n v="0"/>
    <n v="86417"/>
    <n v="41"/>
    <n v="12"/>
    <n v="3"/>
    <n v="30"/>
    <n v="4.7"/>
    <n v="7.9"/>
    <s v="Medium"/>
    <n v="81.5"/>
  </r>
  <r>
    <s v="EMP0242"/>
    <x v="4"/>
    <s v="HR Executive"/>
    <n v="47"/>
    <n v="7"/>
    <n v="61181"/>
    <n v="45"/>
    <n v="13"/>
    <n v="9"/>
    <n v="24"/>
    <n v="3.4"/>
    <n v="7.5"/>
    <s v="Medium"/>
    <n v="76.87"/>
  </r>
  <r>
    <s v="EMP0243"/>
    <x v="2"/>
    <s v="Data Analyst"/>
    <n v="45"/>
    <n v="15"/>
    <n v="55540"/>
    <n v="38"/>
    <n v="13"/>
    <n v="23"/>
    <n v="30"/>
    <n v="4.3"/>
    <n v="5.2"/>
    <s v="Low"/>
    <n v="65.77"/>
  </r>
  <r>
    <s v="EMP0244"/>
    <x v="2"/>
    <s v="IT Executive"/>
    <n v="42"/>
    <n v="13"/>
    <n v="27996"/>
    <n v="53"/>
    <n v="14"/>
    <n v="7"/>
    <n v="9"/>
    <n v="2"/>
    <n v="6.9"/>
    <s v="Medium"/>
    <n v="70.73"/>
  </r>
  <r>
    <s v="EMP0245"/>
    <x v="1"/>
    <s v="Account Manager"/>
    <n v="48"/>
    <n v="9"/>
    <n v="34988"/>
    <n v="41"/>
    <n v="6"/>
    <n v="7"/>
    <n v="24"/>
    <n v="3.7"/>
    <n v="4.7"/>
    <s v="Low"/>
    <n v="49.3"/>
  </r>
  <r>
    <s v="EMP0246"/>
    <x v="2"/>
    <s v="Data Analyst"/>
    <n v="38"/>
    <n v="15"/>
    <n v="88341"/>
    <n v="55"/>
    <n v="12"/>
    <n v="15"/>
    <n v="29"/>
    <n v="2.5"/>
    <n v="8.6"/>
    <s v="High"/>
    <n v="79.099999999999994"/>
  </r>
  <r>
    <s v="EMP0247"/>
    <x v="4"/>
    <s v="Recruiter"/>
    <n v="53"/>
    <n v="5"/>
    <n v="85089"/>
    <n v="52"/>
    <n v="11"/>
    <n v="1"/>
    <n v="33"/>
    <n v="2.1"/>
    <n v="8.9"/>
    <s v="High"/>
    <n v="78.03"/>
  </r>
  <r>
    <s v="EMP0248"/>
    <x v="0"/>
    <s v="Accountant"/>
    <n v="22"/>
    <n v="1"/>
    <n v="34010"/>
    <n v="55"/>
    <n v="4"/>
    <n v="2"/>
    <n v="9"/>
    <n v="2"/>
    <n v="6.5"/>
    <s v="Medium"/>
    <n v="51.67"/>
  </r>
  <r>
    <s v="EMP0249"/>
    <x v="0"/>
    <s v="Accountant"/>
    <n v="52"/>
    <n v="15"/>
    <n v="26030"/>
    <n v="35"/>
    <n v="9"/>
    <n v="17"/>
    <n v="26"/>
    <n v="2"/>
    <n v="6.7"/>
    <s v="Medium"/>
    <n v="61.2"/>
  </r>
  <r>
    <s v="EMP0250"/>
    <x v="1"/>
    <s v="Sales Executive"/>
    <n v="40"/>
    <n v="0"/>
    <n v="57913"/>
    <n v="48"/>
    <n v="13"/>
    <n v="5"/>
    <n v="6"/>
    <n v="4.8"/>
    <n v="6.7"/>
    <s v="Medium"/>
    <n v="76.27"/>
  </r>
  <r>
    <s v="EMP0251"/>
    <x v="4"/>
    <s v="HR Executive"/>
    <n v="55"/>
    <n v="8"/>
    <n v="78425"/>
    <n v="46"/>
    <n v="5"/>
    <n v="25"/>
    <n v="25"/>
    <n v="2.2000000000000002"/>
    <n v="9.6999999999999993"/>
    <s v="High"/>
    <n v="73.13"/>
  </r>
  <r>
    <s v="EMP0252"/>
    <x v="1"/>
    <s v="Account Manager"/>
    <n v="37"/>
    <n v="7"/>
    <n v="44659"/>
    <n v="37"/>
    <n v="11"/>
    <n v="20"/>
    <n v="2"/>
    <n v="2.2999999999999998"/>
    <n v="5.7"/>
    <s v="Low"/>
    <n v="59.43"/>
  </r>
  <r>
    <s v="EMP0253"/>
    <x v="3"/>
    <s v="Marketing Analyst"/>
    <n v="25"/>
    <n v="0"/>
    <n v="71061"/>
    <n v="40"/>
    <n v="2"/>
    <n v="15"/>
    <n v="27"/>
    <n v="3.9"/>
    <n v="5.3"/>
    <s v="Low"/>
    <n v="46.83"/>
  </r>
  <r>
    <s v="EMP0254"/>
    <x v="1"/>
    <s v="Sales Analyst"/>
    <n v="24"/>
    <n v="1"/>
    <n v="38855"/>
    <n v="53"/>
    <n v="8"/>
    <n v="8"/>
    <n v="2"/>
    <n v="4.8"/>
    <n v="7.8"/>
    <s v="Medium"/>
    <n v="74.53"/>
  </r>
  <r>
    <s v="EMP0255"/>
    <x v="1"/>
    <s v="Sales Analyst"/>
    <n v="24"/>
    <n v="1"/>
    <n v="85867"/>
    <n v="45"/>
    <n v="1"/>
    <n v="6"/>
    <n v="37"/>
    <n v="2.4"/>
    <n v="8.6999999999999993"/>
    <s v="High"/>
    <n v="61.07"/>
  </r>
  <r>
    <s v="EMP0256"/>
    <x v="0"/>
    <s v="Financial Analyst"/>
    <n v="41"/>
    <n v="5"/>
    <n v="61959"/>
    <n v="42"/>
    <n v="10"/>
    <n v="12"/>
    <n v="34"/>
    <n v="3"/>
    <n v="8.3000000000000007"/>
    <s v="High"/>
    <n v="75.47"/>
  </r>
  <r>
    <s v="EMP0257"/>
    <x v="0"/>
    <s v="Finance Executive"/>
    <n v="54"/>
    <n v="11"/>
    <n v="28519"/>
    <n v="38"/>
    <n v="7"/>
    <n v="7"/>
    <n v="4"/>
    <n v="3"/>
    <n v="8.4"/>
    <s v="High"/>
    <n v="71.069999999999993"/>
  </r>
  <r>
    <s v="EMP0258"/>
    <x v="3"/>
    <s v="Marketing Executive"/>
    <n v="42"/>
    <n v="0"/>
    <n v="66557"/>
    <n v="43"/>
    <n v="13"/>
    <n v="14"/>
    <n v="31"/>
    <n v="2.7"/>
    <n v="6.9"/>
    <s v="Medium"/>
    <n v="71.17"/>
  </r>
  <r>
    <s v="EMP0259"/>
    <x v="3"/>
    <s v="Marketing Analyst"/>
    <n v="33"/>
    <n v="10"/>
    <n v="63395"/>
    <n v="47"/>
    <n v="2"/>
    <n v="24"/>
    <n v="39"/>
    <n v="2.9"/>
    <n v="4.7"/>
    <s v="Low"/>
    <n v="40.229999999999997"/>
  </r>
  <r>
    <s v="EMP0260"/>
    <x v="0"/>
    <s v="Financial Analyst"/>
    <n v="39"/>
    <n v="4"/>
    <n v="49903"/>
    <n v="55"/>
    <n v="3"/>
    <n v="23"/>
    <n v="24"/>
    <n v="3"/>
    <n v="3.7"/>
    <s v="Low"/>
    <n v="36.200000000000003"/>
  </r>
  <r>
    <s v="EMP0261"/>
    <x v="2"/>
    <s v="IT Executive"/>
    <n v="50"/>
    <n v="11"/>
    <n v="74895"/>
    <n v="43"/>
    <n v="2"/>
    <n v="4"/>
    <n v="5"/>
    <n v="2.6"/>
    <n v="6.1"/>
    <s v="Medium"/>
    <n v="47.73"/>
  </r>
  <r>
    <s v="EMP0262"/>
    <x v="1"/>
    <s v="Sales Analyst"/>
    <n v="48"/>
    <n v="3"/>
    <n v="26721"/>
    <n v="37"/>
    <n v="6"/>
    <n v="17"/>
    <n v="5"/>
    <n v="3.8"/>
    <n v="8.5"/>
    <s v="High"/>
    <n v="72.400000000000006"/>
  </r>
  <r>
    <s v="EMP0263"/>
    <x v="0"/>
    <s v="Accountant"/>
    <n v="40"/>
    <n v="13"/>
    <n v="50414"/>
    <n v="37"/>
    <n v="12"/>
    <n v="17"/>
    <n v="15"/>
    <n v="3.7"/>
    <n v="4.2"/>
    <s v="Low"/>
    <n v="56.3"/>
  </r>
  <r>
    <s v="EMP0264"/>
    <x v="4"/>
    <s v="HR Executive"/>
    <n v="30"/>
    <n v="4"/>
    <n v="44734"/>
    <n v="43"/>
    <n v="8"/>
    <n v="4"/>
    <n v="4"/>
    <n v="2.5"/>
    <n v="4.9000000000000004"/>
    <s v="Low"/>
    <n v="50.23"/>
  </r>
  <r>
    <s v="EMP0265"/>
    <x v="3"/>
    <s v="Marketing Analyst"/>
    <n v="26"/>
    <n v="2"/>
    <n v="41495"/>
    <n v="42"/>
    <n v="12"/>
    <n v="20"/>
    <n v="31"/>
    <n v="3.8"/>
    <n v="4.4000000000000004"/>
    <s v="Low"/>
    <n v="57.8"/>
  </r>
  <r>
    <s v="EMP0266"/>
    <x v="4"/>
    <s v="HR Executive"/>
    <n v="41"/>
    <n v="0"/>
    <n v="87182"/>
    <n v="47"/>
    <n v="6"/>
    <n v="19"/>
    <n v="24"/>
    <n v="4.4000000000000004"/>
    <n v="5.3"/>
    <s v="Low"/>
    <n v="55"/>
  </r>
  <r>
    <s v="EMP0267"/>
    <x v="3"/>
    <s v="Marketing Executive"/>
    <n v="30"/>
    <n v="4"/>
    <n v="46015"/>
    <n v="54"/>
    <n v="12"/>
    <n v="6"/>
    <n v="30"/>
    <n v="2.9"/>
    <n v="9.8000000000000007"/>
    <s v="High"/>
    <n v="87.5"/>
  </r>
  <r>
    <s v="EMP0268"/>
    <x v="2"/>
    <s v="Data Analyst"/>
    <n v="53"/>
    <n v="7"/>
    <n v="46357"/>
    <n v="47"/>
    <n v="5"/>
    <n v="25"/>
    <n v="25"/>
    <n v="3.1"/>
    <n v="9.5"/>
    <s v="High"/>
    <n v="74.63"/>
  </r>
  <r>
    <s v="EMP0269"/>
    <x v="1"/>
    <s v="Sales Analyst"/>
    <n v="33"/>
    <n v="10"/>
    <n v="75306"/>
    <n v="52"/>
    <n v="1"/>
    <n v="23"/>
    <n v="29"/>
    <n v="4.8"/>
    <n v="4.5"/>
    <s v="Low"/>
    <n v="43.07"/>
  </r>
  <r>
    <s v="EMP0270"/>
    <x v="0"/>
    <s v="Accountant"/>
    <n v="48"/>
    <n v="15"/>
    <n v="34121"/>
    <n v="55"/>
    <n v="5"/>
    <n v="7"/>
    <n v="16"/>
    <n v="4"/>
    <n v="8"/>
    <s v="High"/>
    <n v="68.33"/>
  </r>
  <r>
    <s v="EMP0271"/>
    <x v="0"/>
    <s v="Accountant"/>
    <n v="50"/>
    <n v="15"/>
    <n v="63157"/>
    <n v="47"/>
    <n v="9"/>
    <n v="16"/>
    <n v="26"/>
    <n v="3.6"/>
    <n v="8.5"/>
    <s v="High"/>
    <n v="76.8"/>
  </r>
  <r>
    <s v="EMP0272"/>
    <x v="1"/>
    <s v="Account Manager"/>
    <n v="27"/>
    <n v="0"/>
    <n v="75394"/>
    <n v="42"/>
    <n v="11"/>
    <n v="21"/>
    <n v="22"/>
    <n v="2.5"/>
    <n v="7.3"/>
    <s v="Medium"/>
    <n v="69.63"/>
  </r>
  <r>
    <s v="EMP0273"/>
    <x v="3"/>
    <s v="Content Specialist"/>
    <n v="43"/>
    <n v="13"/>
    <n v="31943"/>
    <n v="35"/>
    <n v="2"/>
    <n v="8"/>
    <n v="14"/>
    <n v="3.5"/>
    <n v="6.6"/>
    <s v="Medium"/>
    <n v="53.43"/>
  </r>
  <r>
    <s v="EMP0274"/>
    <x v="1"/>
    <s v="Sales Executive"/>
    <n v="36"/>
    <n v="14"/>
    <n v="49518"/>
    <n v="47"/>
    <n v="8"/>
    <n v="24"/>
    <n v="37"/>
    <n v="4.0999999999999996"/>
    <n v="4.0999999999999996"/>
    <s v="Low"/>
    <n v="50.23"/>
  </r>
  <r>
    <s v="EMP0275"/>
    <x v="3"/>
    <s v="Marketing Analyst"/>
    <n v="28"/>
    <n v="4"/>
    <n v="52261"/>
    <n v="37"/>
    <n v="2"/>
    <n v="23"/>
    <n v="9"/>
    <n v="3"/>
    <n v="5.4"/>
    <s v="Low"/>
    <n v="44.73"/>
  </r>
  <r>
    <s v="EMP0276"/>
    <x v="1"/>
    <s v="Account Manager"/>
    <n v="52"/>
    <n v="11"/>
    <n v="56205"/>
    <n v="38"/>
    <n v="8"/>
    <n v="23"/>
    <n v="28"/>
    <n v="3"/>
    <n v="5.0999999999999996"/>
    <s v="Low"/>
    <n v="52.93"/>
  </r>
  <r>
    <s v="EMP0277"/>
    <x v="0"/>
    <s v="Finance Executive"/>
    <n v="23"/>
    <n v="1"/>
    <n v="67465"/>
    <n v="38"/>
    <n v="11"/>
    <n v="25"/>
    <n v="10"/>
    <n v="4.8"/>
    <n v="8.1999999999999993"/>
    <s v="High"/>
    <n v="81.93"/>
  </r>
  <r>
    <s v="EMP0278"/>
    <x v="4"/>
    <s v="Recruiter"/>
    <n v="32"/>
    <n v="5"/>
    <n v="61690"/>
    <n v="48"/>
    <n v="8"/>
    <n v="7"/>
    <n v="25"/>
    <n v="3.9"/>
    <n v="4.3"/>
    <s v="Low"/>
    <n v="50.83"/>
  </r>
  <r>
    <s v="EMP0279"/>
    <x v="3"/>
    <s v="Content Specialist"/>
    <n v="47"/>
    <n v="0"/>
    <n v="73325"/>
    <n v="54"/>
    <n v="15"/>
    <n v="6"/>
    <n v="28"/>
    <n v="3.8"/>
    <n v="5.7"/>
    <s v="Low"/>
    <n v="70.599999999999994"/>
  </r>
  <r>
    <s v="EMP0280"/>
    <x v="4"/>
    <s v="HR Executive"/>
    <n v="35"/>
    <n v="4"/>
    <n v="74304"/>
    <n v="37"/>
    <n v="10"/>
    <n v="3"/>
    <n v="34"/>
    <n v="2.6"/>
    <n v="5.3"/>
    <s v="Low"/>
    <n v="56.27"/>
  </r>
  <r>
    <s v="EMP0281"/>
    <x v="0"/>
    <s v="Accountant"/>
    <n v="38"/>
    <n v="15"/>
    <n v="59584"/>
    <n v="55"/>
    <n v="6"/>
    <n v="19"/>
    <n v="24"/>
    <n v="3.8"/>
    <n v="7.1"/>
    <s v="Medium"/>
    <n v="64"/>
  </r>
  <r>
    <s v="EMP0282"/>
    <x v="2"/>
    <s v="Data Analyst"/>
    <n v="51"/>
    <n v="5"/>
    <n v="78329"/>
    <n v="44"/>
    <n v="15"/>
    <n v="19"/>
    <n v="37"/>
    <n v="2.2999999999999998"/>
    <n v="3.9"/>
    <s v="Low"/>
    <n v="55.3"/>
  </r>
  <r>
    <s v="EMP0283"/>
    <x v="4"/>
    <s v="Recruiter"/>
    <n v="41"/>
    <n v="3"/>
    <n v="36996"/>
    <n v="46"/>
    <n v="12"/>
    <n v="4"/>
    <n v="32"/>
    <n v="3.2"/>
    <n v="7.2"/>
    <s v="Medium"/>
    <n v="72.8"/>
  </r>
  <r>
    <s v="EMP0284"/>
    <x v="3"/>
    <s v="Marketing Analyst"/>
    <n v="49"/>
    <n v="5"/>
    <n v="56894"/>
    <n v="55"/>
    <n v="9"/>
    <n v="22"/>
    <n v="11"/>
    <n v="3.7"/>
    <n v="6.4"/>
    <s v="Medium"/>
    <n v="64.5"/>
  </r>
  <r>
    <s v="EMP0285"/>
    <x v="4"/>
    <s v="HR Executive"/>
    <n v="42"/>
    <n v="14"/>
    <n v="65593"/>
    <n v="36"/>
    <n v="14"/>
    <n v="11"/>
    <n v="0"/>
    <n v="3.5"/>
    <n v="4.4000000000000004"/>
    <s v="Low"/>
    <n v="60.23"/>
  </r>
  <r>
    <s v="EMP0286"/>
    <x v="1"/>
    <s v="Sales Executive"/>
    <n v="54"/>
    <n v="15"/>
    <n v="51813"/>
    <n v="50"/>
    <n v="7"/>
    <n v="22"/>
    <n v="28"/>
    <n v="3.5"/>
    <n v="3.6"/>
    <s v="Low"/>
    <n v="43.77"/>
  </r>
  <r>
    <s v="EMP0287"/>
    <x v="4"/>
    <s v="HR Executive"/>
    <n v="40"/>
    <n v="1"/>
    <n v="43012"/>
    <n v="42"/>
    <n v="9"/>
    <n v="9"/>
    <n v="10"/>
    <n v="4.3"/>
    <n v="7"/>
    <s v="Medium"/>
    <n v="69.900000000000006"/>
  </r>
  <r>
    <s v="EMP0288"/>
    <x v="1"/>
    <s v="Sales Executive"/>
    <n v="54"/>
    <n v="3"/>
    <n v="62533"/>
    <n v="38"/>
    <n v="5"/>
    <n v="24"/>
    <n v="34"/>
    <n v="4.5"/>
    <n v="5.6"/>
    <s v="Low"/>
    <n v="55.43"/>
  </r>
  <r>
    <s v="EMP0289"/>
    <x v="3"/>
    <s v="Marketing Executive"/>
    <n v="35"/>
    <n v="6"/>
    <n v="31711"/>
    <n v="55"/>
    <n v="13"/>
    <n v="7"/>
    <n v="19"/>
    <n v="4.5999999999999996"/>
    <n v="3.2"/>
    <s v="Low"/>
    <n v="54.67"/>
  </r>
  <r>
    <s v="EMP0290"/>
    <x v="2"/>
    <s v="IT Executive"/>
    <n v="27"/>
    <n v="3"/>
    <n v="81707"/>
    <n v="38"/>
    <n v="13"/>
    <n v="25"/>
    <n v="15"/>
    <n v="2.6"/>
    <n v="8.1999999999999993"/>
    <s v="High"/>
    <n v="78.67"/>
  </r>
  <r>
    <s v="EMP0291"/>
    <x v="2"/>
    <s v="IT Executive"/>
    <n v="49"/>
    <n v="5"/>
    <n v="65380"/>
    <n v="39"/>
    <n v="13"/>
    <n v="6"/>
    <n v="13"/>
    <n v="4.4000000000000004"/>
    <n v="7"/>
    <s v="Medium"/>
    <n v="76.87"/>
  </r>
  <r>
    <s v="EMP0292"/>
    <x v="2"/>
    <s v="IT Executive"/>
    <n v="32"/>
    <n v="5"/>
    <n v="89159"/>
    <n v="44"/>
    <n v="5"/>
    <n v="18"/>
    <n v="17"/>
    <n v="4.9000000000000004"/>
    <n v="6.6"/>
    <s v="Medium"/>
    <n v="62.63"/>
  </r>
  <r>
    <s v="EMP0293"/>
    <x v="0"/>
    <s v="Financial Analyst"/>
    <n v="30"/>
    <n v="6"/>
    <n v="85212"/>
    <n v="36"/>
    <n v="5"/>
    <n v="20"/>
    <n v="8"/>
    <n v="4.0999999999999996"/>
    <n v="3.9"/>
    <s v="Low"/>
    <n v="44.03"/>
  </r>
  <r>
    <s v="EMP0294"/>
    <x v="2"/>
    <s v="Data Analyst"/>
    <n v="37"/>
    <n v="12"/>
    <n v="57077"/>
    <n v="39"/>
    <n v="10"/>
    <n v="20"/>
    <n v="17"/>
    <n v="3.9"/>
    <n v="5.6"/>
    <s v="Low"/>
    <n v="61.97"/>
  </r>
  <r>
    <s v="EMP0295"/>
    <x v="0"/>
    <s v="Finance Executive"/>
    <n v="47"/>
    <n v="8"/>
    <n v="70528"/>
    <n v="46"/>
    <n v="8"/>
    <n v="15"/>
    <n v="20"/>
    <n v="3.7"/>
    <n v="9.1"/>
    <s v="High"/>
    <n v="79.03"/>
  </r>
  <r>
    <s v="EMP0296"/>
    <x v="0"/>
    <s v="Financial Analyst"/>
    <n v="51"/>
    <n v="11"/>
    <n v="80712"/>
    <n v="37"/>
    <n v="13"/>
    <n v="17"/>
    <n v="25"/>
    <n v="2.7"/>
    <n v="6"/>
    <s v="Medium"/>
    <n v="65.77"/>
  </r>
  <r>
    <s v="EMP0297"/>
    <x v="3"/>
    <s v="Marketing Executive"/>
    <n v="39"/>
    <n v="10"/>
    <n v="79286"/>
    <n v="44"/>
    <n v="6"/>
    <n v="17"/>
    <n v="36"/>
    <n v="2.4"/>
    <n v="9"/>
    <s v="High"/>
    <n v="71.2"/>
  </r>
  <r>
    <s v="EMP0298"/>
    <x v="0"/>
    <s v="Accountant"/>
    <n v="24"/>
    <n v="0"/>
    <n v="66037"/>
    <n v="49"/>
    <n v="1"/>
    <n v="3"/>
    <n v="10"/>
    <n v="3.3"/>
    <n v="3"/>
    <s v="Low"/>
    <n v="29.57"/>
  </r>
  <r>
    <s v="EMP0299"/>
    <x v="4"/>
    <s v="Recruiter"/>
    <n v="30"/>
    <n v="4"/>
    <n v="35418"/>
    <n v="43"/>
    <n v="2"/>
    <n v="20"/>
    <n v="23"/>
    <n v="2.8"/>
    <n v="5.6"/>
    <s v="Low"/>
    <n v="45.33"/>
  </r>
  <r>
    <s v="EMP0300"/>
    <x v="4"/>
    <s v="HR Analyst"/>
    <n v="25"/>
    <n v="3"/>
    <n v="65999"/>
    <n v="44"/>
    <n v="12"/>
    <n v="22"/>
    <n v="14"/>
    <n v="3.3"/>
    <n v="3.6"/>
    <s v="Low"/>
    <n v="51.5"/>
  </r>
  <r>
    <s v="EMP0301"/>
    <x v="0"/>
    <s v="Finance Executive"/>
    <n v="35"/>
    <n v="7"/>
    <n v="30107"/>
    <n v="39"/>
    <n v="10"/>
    <n v="7"/>
    <n v="33"/>
    <n v="4"/>
    <n v="3.1"/>
    <s v="Low"/>
    <n v="47.27"/>
  </r>
  <r>
    <s v="EMP0302"/>
    <x v="2"/>
    <s v="Data Analyst"/>
    <n v="29"/>
    <n v="6"/>
    <n v="70484"/>
    <n v="39"/>
    <n v="8"/>
    <n v="2"/>
    <n v="14"/>
    <n v="3.1"/>
    <n v="8.1"/>
    <s v="High"/>
    <n v="71.23"/>
  </r>
  <r>
    <s v="EMP0303"/>
    <x v="0"/>
    <s v="Financial Analyst"/>
    <n v="42"/>
    <n v="11"/>
    <n v="82736"/>
    <n v="44"/>
    <n v="3"/>
    <n v="12"/>
    <n v="8"/>
    <n v="3.9"/>
    <n v="7.7"/>
    <s v="Medium"/>
    <n v="62.9"/>
  </r>
  <r>
    <s v="EMP0304"/>
    <x v="1"/>
    <s v="Account Manager"/>
    <n v="22"/>
    <n v="0"/>
    <n v="53842"/>
    <n v="46"/>
    <n v="12"/>
    <n v="6"/>
    <n v="40"/>
    <n v="4.2"/>
    <n v="9.4"/>
    <s v="High"/>
    <n v="89"/>
  </r>
  <r>
    <s v="EMP0305"/>
    <x v="3"/>
    <s v="Marketing Executive"/>
    <n v="35"/>
    <n v="1"/>
    <n v="83759"/>
    <n v="38"/>
    <n v="3"/>
    <n v="24"/>
    <n v="7"/>
    <n v="3.8"/>
    <n v="5.7"/>
    <s v="Low"/>
    <n v="50.6"/>
  </r>
  <r>
    <s v="EMP0306"/>
    <x v="2"/>
    <s v="Software Engineer"/>
    <n v="30"/>
    <n v="3"/>
    <n v="43151"/>
    <n v="55"/>
    <n v="2"/>
    <n v="7"/>
    <n v="35"/>
    <n v="3.8"/>
    <n v="8"/>
    <s v="High"/>
    <n v="62.73"/>
  </r>
  <r>
    <s v="EMP0307"/>
    <x v="0"/>
    <s v="Financial Analyst"/>
    <n v="41"/>
    <n v="6"/>
    <n v="58931"/>
    <n v="54"/>
    <n v="9"/>
    <n v="6"/>
    <n v="25"/>
    <n v="2.9"/>
    <n v="3.4"/>
    <s v="Low"/>
    <n v="44.1"/>
  </r>
  <r>
    <s v="EMP0308"/>
    <x v="3"/>
    <s v="Marketing Executive"/>
    <n v="46"/>
    <n v="3"/>
    <n v="40799"/>
    <n v="50"/>
    <n v="11"/>
    <n v="19"/>
    <n v="4"/>
    <n v="3.6"/>
    <n v="9.8000000000000007"/>
    <s v="High"/>
    <n v="87.93"/>
  </r>
  <r>
    <s v="EMP0309"/>
    <x v="2"/>
    <s v="Data Analyst"/>
    <n v="30"/>
    <n v="6"/>
    <n v="81414"/>
    <n v="53"/>
    <n v="7"/>
    <n v="11"/>
    <n v="34"/>
    <n v="4"/>
    <n v="8.3000000000000007"/>
    <s v="High"/>
    <n v="73.47"/>
  </r>
  <r>
    <s v="EMP0310"/>
    <x v="0"/>
    <s v="Finance Executive"/>
    <n v="26"/>
    <n v="0"/>
    <n v="42182"/>
    <n v="41"/>
    <n v="1"/>
    <n v="1"/>
    <n v="25"/>
    <n v="3.5"/>
    <n v="7.4"/>
    <s v="Medium"/>
    <n v="56.57"/>
  </r>
  <r>
    <s v="EMP0311"/>
    <x v="3"/>
    <s v="Marketing Analyst"/>
    <n v="49"/>
    <n v="12"/>
    <n v="30401"/>
    <n v="55"/>
    <n v="9"/>
    <n v="17"/>
    <n v="39"/>
    <n v="2.5"/>
    <n v="3.6"/>
    <s v="Low"/>
    <n v="44.1"/>
  </r>
  <r>
    <s v="EMP0312"/>
    <x v="1"/>
    <s v="Account Manager"/>
    <n v="35"/>
    <n v="12"/>
    <n v="35182"/>
    <n v="52"/>
    <n v="6"/>
    <n v="12"/>
    <n v="37"/>
    <n v="3.9"/>
    <n v="8.8000000000000007"/>
    <s v="High"/>
    <n v="74.5"/>
  </r>
  <r>
    <s v="EMP0313"/>
    <x v="0"/>
    <s v="Finance Executive"/>
    <n v="41"/>
    <n v="13"/>
    <n v="72838"/>
    <n v="42"/>
    <n v="1"/>
    <n v="7"/>
    <n v="5"/>
    <n v="4.8"/>
    <n v="3.8"/>
    <s v="Low"/>
    <n v="38.869999999999997"/>
  </r>
  <r>
    <s v="EMP0314"/>
    <x v="1"/>
    <s v="Sales Analyst"/>
    <n v="25"/>
    <n v="2"/>
    <n v="68652"/>
    <n v="40"/>
    <n v="2"/>
    <n v="0"/>
    <n v="8"/>
    <n v="4.0999999999999996"/>
    <n v="4.0999999999999996"/>
    <s v="Low"/>
    <n v="40.229999999999997"/>
  </r>
  <r>
    <s v="EMP0315"/>
    <x v="1"/>
    <s v="Sales Executive"/>
    <n v="55"/>
    <n v="8"/>
    <n v="35942"/>
    <n v="46"/>
    <n v="3"/>
    <n v="23"/>
    <n v="17"/>
    <n v="4.2"/>
    <n v="3.8"/>
    <s v="Low"/>
    <n v="40.4"/>
  </r>
  <r>
    <s v="EMP0316"/>
    <x v="2"/>
    <s v="IT Executive"/>
    <n v="49"/>
    <n v="8"/>
    <n v="59331"/>
    <n v="37"/>
    <n v="5"/>
    <n v="22"/>
    <n v="36"/>
    <n v="3.9"/>
    <n v="6.5"/>
    <s v="Medium"/>
    <n v="59.03"/>
  </r>
  <r>
    <s v="EMP0317"/>
    <x v="2"/>
    <s v="IT Executive"/>
    <n v="25"/>
    <n v="3"/>
    <n v="81319"/>
    <n v="53"/>
    <n v="3"/>
    <n v="11"/>
    <n v="10"/>
    <n v="2.8"/>
    <n v="3.7"/>
    <s v="Low"/>
    <n v="35.6"/>
  </r>
  <r>
    <s v="EMP0318"/>
    <x v="0"/>
    <s v="Financial Analyst"/>
    <n v="36"/>
    <n v="0"/>
    <n v="27886"/>
    <n v="35"/>
    <n v="4"/>
    <n v="1"/>
    <n v="30"/>
    <n v="3.1"/>
    <n v="9.4"/>
    <s v="High"/>
    <n v="72.37"/>
  </r>
  <r>
    <s v="EMP0319"/>
    <x v="0"/>
    <s v="Accountant"/>
    <n v="48"/>
    <n v="7"/>
    <n v="46089"/>
    <n v="42"/>
    <n v="7"/>
    <n v="23"/>
    <n v="20"/>
    <n v="2.8"/>
    <n v="3.5"/>
    <s v="Low"/>
    <n v="41.07"/>
  </r>
  <r>
    <s v="EMP0320"/>
    <x v="0"/>
    <s v="Accountant"/>
    <n v="54"/>
    <n v="1"/>
    <n v="36753"/>
    <n v="42"/>
    <n v="13"/>
    <n v="16"/>
    <n v="2"/>
    <n v="4.9000000000000004"/>
    <n v="3.5"/>
    <s v="Low"/>
    <n v="57.37"/>
  </r>
  <r>
    <s v="EMP0321"/>
    <x v="2"/>
    <s v="Software Engineer"/>
    <n v="41"/>
    <n v="10"/>
    <n v="30661"/>
    <n v="52"/>
    <n v="8"/>
    <n v="0"/>
    <n v="23"/>
    <n v="2.6"/>
    <n v="6.9"/>
    <s v="Medium"/>
    <n v="62.53"/>
  </r>
  <r>
    <s v="EMP0322"/>
    <x v="1"/>
    <s v="Sales Executive"/>
    <n v="37"/>
    <n v="14"/>
    <n v="49135"/>
    <n v="53"/>
    <n v="8"/>
    <n v="24"/>
    <n v="12"/>
    <n v="4.2"/>
    <n v="6.8"/>
    <s v="Medium"/>
    <n v="66.73"/>
  </r>
  <r>
    <s v="EMP0323"/>
    <x v="4"/>
    <s v="HR Executive"/>
    <n v="22"/>
    <n v="1"/>
    <n v="26566"/>
    <n v="42"/>
    <n v="9"/>
    <n v="11"/>
    <n v="40"/>
    <n v="4.5"/>
    <n v="9.1"/>
    <s v="High"/>
    <n v="83.1"/>
  </r>
  <r>
    <s v="EMP0324"/>
    <x v="0"/>
    <s v="Financial Analyst"/>
    <n v="46"/>
    <n v="9"/>
    <n v="31812"/>
    <n v="41"/>
    <n v="9"/>
    <n v="7"/>
    <n v="26"/>
    <n v="3.5"/>
    <n v="3.4"/>
    <s v="Low"/>
    <n v="45.9"/>
  </r>
  <r>
    <s v="EMP0325"/>
    <x v="2"/>
    <s v="IT Executive"/>
    <n v="27"/>
    <n v="0"/>
    <n v="85376"/>
    <n v="42"/>
    <n v="15"/>
    <n v="16"/>
    <n v="26"/>
    <n v="4.0999999999999996"/>
    <n v="5.6"/>
    <s v="Low"/>
    <n v="70.900000000000006"/>
  </r>
  <r>
    <s v="EMP0326"/>
    <x v="0"/>
    <s v="Financial Analyst"/>
    <n v="28"/>
    <n v="2"/>
    <n v="66760"/>
    <n v="47"/>
    <n v="2"/>
    <n v="18"/>
    <n v="36"/>
    <n v="2.2000000000000002"/>
    <n v="7.6"/>
    <s v="Medium"/>
    <n v="55.53"/>
  </r>
  <r>
    <s v="EMP0327"/>
    <x v="4"/>
    <s v="HR Executive"/>
    <n v="40"/>
    <n v="8"/>
    <n v="80765"/>
    <n v="45"/>
    <n v="15"/>
    <n v="25"/>
    <n v="25"/>
    <n v="4.0999999999999996"/>
    <n v="8.1"/>
    <s v="High"/>
    <n v="85.9"/>
  </r>
  <r>
    <s v="EMP0328"/>
    <x v="3"/>
    <s v="Marketing Executive"/>
    <n v="39"/>
    <n v="7"/>
    <n v="29894"/>
    <n v="41"/>
    <n v="3"/>
    <n v="24"/>
    <n v="37"/>
    <n v="2.2999999999999998"/>
    <n v="3.7"/>
    <s v="Low"/>
    <n v="34.1"/>
  </r>
  <r>
    <s v="EMP0329"/>
    <x v="3"/>
    <s v="Marketing Analyst"/>
    <n v="42"/>
    <n v="13"/>
    <n v="32912"/>
    <n v="52"/>
    <n v="6"/>
    <n v="24"/>
    <n v="13"/>
    <n v="3.4"/>
    <n v="6.2"/>
    <s v="Medium"/>
    <n v="57.4"/>
  </r>
  <r>
    <s v="EMP0330"/>
    <x v="0"/>
    <s v="Accountant"/>
    <n v="32"/>
    <n v="10"/>
    <n v="44937"/>
    <n v="54"/>
    <n v="1"/>
    <n v="6"/>
    <n v="20"/>
    <n v="2.4"/>
    <n v="8"/>
    <s v="High"/>
    <n v="56.87"/>
  </r>
  <r>
    <s v="EMP0331"/>
    <x v="3"/>
    <s v="Content Specialist"/>
    <n v="54"/>
    <n v="1"/>
    <n v="69379"/>
    <n v="44"/>
    <n v="5"/>
    <n v="5"/>
    <n v="1"/>
    <n v="4.9000000000000004"/>
    <n v="9"/>
    <s v="High"/>
    <n v="77.03"/>
  </r>
  <r>
    <s v="EMP0332"/>
    <x v="1"/>
    <s v="Sales Executive"/>
    <n v="37"/>
    <n v="3"/>
    <n v="55280"/>
    <n v="38"/>
    <n v="13"/>
    <n v="25"/>
    <n v="8"/>
    <n v="2.4"/>
    <n v="3.4"/>
    <s v="Low"/>
    <n v="49.27"/>
  </r>
  <r>
    <s v="EMP0333"/>
    <x v="4"/>
    <s v="HR Analyst"/>
    <n v="34"/>
    <n v="13"/>
    <n v="51252"/>
    <n v="46"/>
    <n v="11"/>
    <n v="20"/>
    <n v="5"/>
    <n v="3.7"/>
    <n v="4.8"/>
    <s v="Low"/>
    <n v="58.23"/>
  </r>
  <r>
    <s v="EMP0334"/>
    <x v="0"/>
    <s v="Accountant"/>
    <n v="26"/>
    <n v="1"/>
    <n v="84145"/>
    <n v="55"/>
    <n v="8"/>
    <n v="25"/>
    <n v="8"/>
    <n v="2.2999999999999998"/>
    <n v="8.9"/>
    <s v="High"/>
    <n v="73.63"/>
  </r>
  <r>
    <s v="EMP0335"/>
    <x v="0"/>
    <s v="Financial Analyst"/>
    <n v="24"/>
    <n v="3"/>
    <n v="28318"/>
    <n v="40"/>
    <n v="15"/>
    <n v="18"/>
    <n v="27"/>
    <n v="4.5"/>
    <n v="5.8"/>
    <s v="Low"/>
    <n v="73.3"/>
  </r>
  <r>
    <s v="EMP0336"/>
    <x v="3"/>
    <s v="Marketing Analyst"/>
    <n v="49"/>
    <n v="5"/>
    <n v="48196"/>
    <n v="41"/>
    <n v="15"/>
    <n v="5"/>
    <n v="17"/>
    <n v="2.8"/>
    <n v="9.1999999999999993"/>
    <s v="High"/>
    <n v="88.6"/>
  </r>
  <r>
    <s v="EMP0337"/>
    <x v="1"/>
    <s v="Sales Executive"/>
    <n v="37"/>
    <n v="9"/>
    <n v="57695"/>
    <n v="48"/>
    <n v="15"/>
    <n v="17"/>
    <n v="30"/>
    <n v="2.2000000000000002"/>
    <n v="5"/>
    <s v="Low"/>
    <n v="61.6"/>
  </r>
  <r>
    <s v="EMP0338"/>
    <x v="3"/>
    <s v="Content Specialist"/>
    <n v="34"/>
    <n v="10"/>
    <n v="82976"/>
    <n v="51"/>
    <n v="4"/>
    <n v="20"/>
    <n v="34"/>
    <n v="4.4000000000000004"/>
    <n v="9.9"/>
    <s v="High"/>
    <n v="79.27"/>
  </r>
  <r>
    <s v="EMP0339"/>
    <x v="2"/>
    <s v="IT Executive"/>
    <n v="52"/>
    <n v="15"/>
    <n v="47546"/>
    <n v="53"/>
    <n v="9"/>
    <n v="10"/>
    <n v="24"/>
    <n v="2.8"/>
    <n v="3.2"/>
    <s v="Low"/>
    <n v="42.6"/>
  </r>
  <r>
    <s v="EMP0340"/>
    <x v="4"/>
    <s v="HR Analyst"/>
    <n v="23"/>
    <n v="1"/>
    <n v="28839"/>
    <n v="50"/>
    <n v="9"/>
    <n v="11"/>
    <n v="37"/>
    <n v="5"/>
    <n v="9.8000000000000007"/>
    <s v="High"/>
    <n v="88.8"/>
  </r>
  <r>
    <s v="EMP0341"/>
    <x v="4"/>
    <s v="HR Executive"/>
    <n v="37"/>
    <n v="8"/>
    <n v="59975"/>
    <n v="36"/>
    <n v="13"/>
    <n v="7"/>
    <n v="36"/>
    <n v="4.5"/>
    <n v="8.6"/>
    <s v="High"/>
    <n v="86.77"/>
  </r>
  <r>
    <s v="EMP0342"/>
    <x v="4"/>
    <s v="Recruiter"/>
    <n v="33"/>
    <n v="3"/>
    <n v="63831"/>
    <n v="45"/>
    <n v="13"/>
    <n v="23"/>
    <n v="22"/>
    <n v="4.7"/>
    <n v="3.2"/>
    <s v="Low"/>
    <n v="54.97"/>
  </r>
  <r>
    <s v="EMP0343"/>
    <x v="2"/>
    <s v="Data Analyst"/>
    <n v="31"/>
    <n v="9"/>
    <n v="87152"/>
    <n v="41"/>
    <n v="14"/>
    <n v="25"/>
    <n v="31"/>
    <n v="3.6"/>
    <n v="4.2"/>
    <s v="Low"/>
    <n v="59.33"/>
  </r>
  <r>
    <s v="EMP0344"/>
    <x v="0"/>
    <s v="Financial Analyst"/>
    <n v="25"/>
    <n v="1"/>
    <n v="64430"/>
    <n v="42"/>
    <n v="1"/>
    <n v="16"/>
    <n v="30"/>
    <n v="2"/>
    <n v="9.4"/>
    <s v="High"/>
    <n v="64.069999999999993"/>
  </r>
  <r>
    <s v="EMP0345"/>
    <x v="4"/>
    <s v="HR Analyst"/>
    <n v="43"/>
    <n v="5"/>
    <n v="85213"/>
    <n v="45"/>
    <n v="1"/>
    <n v="0"/>
    <n v="9"/>
    <n v="3.8"/>
    <n v="9.4"/>
    <s v="High"/>
    <n v="69.47"/>
  </r>
  <r>
    <s v="EMP0346"/>
    <x v="1"/>
    <s v="Sales Executive"/>
    <n v="45"/>
    <n v="2"/>
    <n v="49483"/>
    <n v="47"/>
    <n v="10"/>
    <n v="3"/>
    <n v="21"/>
    <n v="2.9"/>
    <n v="4"/>
    <s v="Low"/>
    <n v="49.37"/>
  </r>
  <r>
    <s v="EMP0347"/>
    <x v="3"/>
    <s v="Marketing Analyst"/>
    <n v="53"/>
    <n v="10"/>
    <n v="36416"/>
    <n v="52"/>
    <n v="12"/>
    <n v="19"/>
    <n v="22"/>
    <n v="2.7"/>
    <n v="7.1"/>
    <s v="Medium"/>
    <n v="70.7"/>
  </r>
  <r>
    <s v="EMP0348"/>
    <x v="3"/>
    <s v="Content Specialist"/>
    <n v="41"/>
    <n v="9"/>
    <n v="33345"/>
    <n v="40"/>
    <n v="12"/>
    <n v="0"/>
    <n v="36"/>
    <n v="3.2"/>
    <n v="10"/>
    <s v="High"/>
    <n v="89.6"/>
  </r>
  <r>
    <s v="EMP0349"/>
    <x v="0"/>
    <s v="Accountant"/>
    <n v="33"/>
    <n v="9"/>
    <n v="45854"/>
    <n v="54"/>
    <n v="4"/>
    <n v="20"/>
    <n v="36"/>
    <n v="2.2999999999999998"/>
    <n v="6.5"/>
    <s v="Medium"/>
    <n v="52.57"/>
  </r>
  <r>
    <s v="EMP0350"/>
    <x v="0"/>
    <s v="Finance Executive"/>
    <n v="37"/>
    <n v="11"/>
    <n v="89381"/>
    <n v="45"/>
    <n v="3"/>
    <n v="20"/>
    <n v="5"/>
    <n v="4.5"/>
    <n v="7.7"/>
    <s v="Medium"/>
    <n v="64.7"/>
  </r>
  <r>
    <s v="EMP0351"/>
    <x v="2"/>
    <s v="IT Executive"/>
    <n v="50"/>
    <n v="0"/>
    <n v="42380"/>
    <n v="41"/>
    <n v="4"/>
    <n v="22"/>
    <n v="4"/>
    <n v="3.1"/>
    <n v="8.5"/>
    <s v="High"/>
    <n v="66.97"/>
  </r>
  <r>
    <s v="EMP0352"/>
    <x v="0"/>
    <s v="Accountant"/>
    <n v="25"/>
    <n v="3"/>
    <n v="53719"/>
    <n v="48"/>
    <n v="3"/>
    <n v="13"/>
    <n v="31"/>
    <n v="4.5999999999999996"/>
    <n v="5.5"/>
    <s v="Low"/>
    <n v="51.8"/>
  </r>
  <r>
    <s v="EMP0353"/>
    <x v="0"/>
    <s v="Financial Analyst"/>
    <n v="52"/>
    <n v="7"/>
    <n v="35659"/>
    <n v="49"/>
    <n v="2"/>
    <n v="25"/>
    <n v="2"/>
    <n v="2.9"/>
    <n v="5.2"/>
    <s v="Low"/>
    <n v="43.23"/>
  </r>
  <r>
    <s v="EMP0354"/>
    <x v="0"/>
    <s v="Financial Analyst"/>
    <n v="43"/>
    <n v="5"/>
    <n v="83191"/>
    <n v="47"/>
    <n v="3"/>
    <n v="23"/>
    <n v="4"/>
    <n v="3.6"/>
    <n v="9.3000000000000007"/>
    <s v="High"/>
    <n v="71.599999999999994"/>
  </r>
  <r>
    <s v="EMP0355"/>
    <x v="2"/>
    <s v="Data Analyst"/>
    <n v="52"/>
    <n v="0"/>
    <n v="53267"/>
    <n v="55"/>
    <n v="3"/>
    <n v="19"/>
    <n v="27"/>
    <n v="2.5"/>
    <n v="3.7"/>
    <s v="Low"/>
    <n v="34.700000000000003"/>
  </r>
  <r>
    <s v="EMP0356"/>
    <x v="4"/>
    <s v="HR Executive"/>
    <n v="48"/>
    <n v="8"/>
    <n v="68292"/>
    <n v="44"/>
    <n v="5"/>
    <n v="7"/>
    <n v="6"/>
    <n v="2.1"/>
    <n v="7"/>
    <s v="Medium"/>
    <n v="56.63"/>
  </r>
  <r>
    <s v="EMP0357"/>
    <x v="4"/>
    <s v="HR Analyst"/>
    <n v="25"/>
    <n v="2"/>
    <n v="25250"/>
    <n v="48"/>
    <n v="2"/>
    <n v="9"/>
    <n v="40"/>
    <n v="3.8"/>
    <n v="4.4000000000000004"/>
    <s v="Low"/>
    <n v="41.13"/>
  </r>
  <r>
    <s v="EMP0358"/>
    <x v="4"/>
    <s v="Recruiter"/>
    <n v="32"/>
    <n v="10"/>
    <n v="44124"/>
    <n v="37"/>
    <n v="8"/>
    <n v="3"/>
    <n v="19"/>
    <n v="4.4000000000000004"/>
    <n v="6.3"/>
    <s v="Medium"/>
    <n v="64.33"/>
  </r>
  <r>
    <s v="EMP0359"/>
    <x v="2"/>
    <s v="Software Engineer"/>
    <n v="27"/>
    <n v="5"/>
    <n v="60659"/>
    <n v="47"/>
    <n v="3"/>
    <n v="11"/>
    <n v="24"/>
    <n v="3.1"/>
    <n v="6.1"/>
    <s v="Medium"/>
    <n v="50.9"/>
  </r>
  <r>
    <s v="EMP0360"/>
    <x v="3"/>
    <s v="Marketing Analyst"/>
    <n v="51"/>
    <n v="8"/>
    <n v="39827"/>
    <n v="43"/>
    <n v="10"/>
    <n v="1"/>
    <n v="9"/>
    <n v="4.3"/>
    <n v="7.7"/>
    <s v="Medium"/>
    <n v="75.77"/>
  </r>
  <r>
    <s v="EMP0361"/>
    <x v="2"/>
    <s v="Software Engineer"/>
    <n v="48"/>
    <n v="7"/>
    <n v="61280"/>
    <n v="36"/>
    <n v="14"/>
    <n v="12"/>
    <n v="33"/>
    <n v="3.3"/>
    <n v="6.7"/>
    <s v="Medium"/>
    <n v="73.430000000000007"/>
  </r>
  <r>
    <s v="EMP0362"/>
    <x v="1"/>
    <s v="Account Manager"/>
    <n v="37"/>
    <n v="15"/>
    <n v="44585"/>
    <n v="37"/>
    <n v="7"/>
    <n v="22"/>
    <n v="2"/>
    <n v="3.5"/>
    <n v="9.3000000000000007"/>
    <s v="High"/>
    <n v="77.97"/>
  </r>
  <r>
    <s v="EMP0363"/>
    <x v="1"/>
    <s v="Sales Analyst"/>
    <n v="31"/>
    <n v="1"/>
    <n v="87210"/>
    <n v="49"/>
    <n v="3"/>
    <n v="5"/>
    <n v="13"/>
    <n v="4.4000000000000004"/>
    <n v="3.9"/>
    <s v="Low"/>
    <n v="41.6"/>
  </r>
  <r>
    <s v="EMP0364"/>
    <x v="0"/>
    <s v="Financial Analyst"/>
    <n v="49"/>
    <n v="6"/>
    <n v="78907"/>
    <n v="55"/>
    <n v="3"/>
    <n v="19"/>
    <n v="16"/>
    <n v="3"/>
    <n v="8.1"/>
    <s v="High"/>
    <n v="62.6"/>
  </r>
  <r>
    <s v="EMP0365"/>
    <x v="0"/>
    <s v="Finance Executive"/>
    <n v="46"/>
    <n v="12"/>
    <n v="61179"/>
    <n v="45"/>
    <n v="14"/>
    <n v="8"/>
    <n v="33"/>
    <n v="3.4"/>
    <n v="9.1"/>
    <s v="High"/>
    <n v="88.13"/>
  </r>
  <r>
    <s v="EMP0366"/>
    <x v="1"/>
    <s v="Sales Executive"/>
    <n v="55"/>
    <n v="13"/>
    <n v="32374"/>
    <n v="48"/>
    <n v="3"/>
    <n v="4"/>
    <n v="36"/>
    <n v="3.8"/>
    <n v="8.3000000000000007"/>
    <s v="High"/>
    <n v="66.2"/>
  </r>
  <r>
    <s v="EMP0367"/>
    <x v="0"/>
    <s v="Finance Executive"/>
    <n v="28"/>
    <n v="4"/>
    <n v="81850"/>
    <n v="52"/>
    <n v="15"/>
    <n v="11"/>
    <n v="26"/>
    <n v="2.8"/>
    <n v="7.6"/>
    <s v="Medium"/>
    <n v="79"/>
  </r>
  <r>
    <s v="EMP0368"/>
    <x v="1"/>
    <s v="Sales Executive"/>
    <n v="52"/>
    <n v="1"/>
    <n v="36285"/>
    <n v="43"/>
    <n v="7"/>
    <n v="4"/>
    <n v="39"/>
    <n v="3.8"/>
    <n v="7.9"/>
    <s v="Medium"/>
    <n v="70.47"/>
  </r>
  <r>
    <s v="EMP0369"/>
    <x v="3"/>
    <s v="Marketing Executive"/>
    <n v="43"/>
    <n v="7"/>
    <n v="28230"/>
    <n v="50"/>
    <n v="15"/>
    <n v="8"/>
    <n v="23"/>
    <n v="2.1"/>
    <n v="8.6999999999999993"/>
    <s v="High"/>
    <n v="83.5"/>
  </r>
  <r>
    <s v="EMP0370"/>
    <x v="2"/>
    <s v="Software Engineer"/>
    <n v="39"/>
    <n v="15"/>
    <n v="81245"/>
    <n v="38"/>
    <n v="14"/>
    <n v="7"/>
    <n v="8"/>
    <n v="2.9"/>
    <n v="8.1999999999999993"/>
    <s v="High"/>
    <n v="81.23"/>
  </r>
  <r>
    <s v="EMP0371"/>
    <x v="2"/>
    <s v="Data Analyst"/>
    <n v="48"/>
    <n v="2"/>
    <n v="37316"/>
    <n v="49"/>
    <n v="4"/>
    <n v="13"/>
    <n v="31"/>
    <n v="4.3"/>
    <n v="9.1"/>
    <s v="High"/>
    <n v="74.17"/>
  </r>
  <r>
    <s v="EMP0372"/>
    <x v="1"/>
    <s v="Sales Executive"/>
    <n v="32"/>
    <n v="1"/>
    <n v="45389"/>
    <n v="51"/>
    <n v="7"/>
    <n v="4"/>
    <n v="33"/>
    <n v="4.5999999999999996"/>
    <n v="3.2"/>
    <s v="Low"/>
    <n v="44.67"/>
  </r>
  <r>
    <s v="EMP0373"/>
    <x v="4"/>
    <s v="Recruiter"/>
    <n v="25"/>
    <n v="1"/>
    <n v="27167"/>
    <n v="49"/>
    <n v="1"/>
    <n v="11"/>
    <n v="12"/>
    <n v="2.8"/>
    <n v="8.8000000000000007"/>
    <s v="High"/>
    <n v="62.87"/>
  </r>
  <r>
    <s v="EMP0374"/>
    <x v="3"/>
    <s v="Content Specialist"/>
    <n v="29"/>
    <n v="0"/>
    <n v="40855"/>
    <n v="46"/>
    <n v="8"/>
    <n v="19"/>
    <n v="28"/>
    <n v="2.5"/>
    <n v="9.1"/>
    <s v="High"/>
    <n v="75.430000000000007"/>
  </r>
  <r>
    <s v="EMP0375"/>
    <x v="1"/>
    <s v="Sales Executive"/>
    <n v="44"/>
    <n v="11"/>
    <n v="35716"/>
    <n v="43"/>
    <n v="12"/>
    <n v="22"/>
    <n v="5"/>
    <n v="2.9"/>
    <n v="5.7"/>
    <s v="Low"/>
    <n v="62.9"/>
  </r>
  <r>
    <s v="EMP0376"/>
    <x v="1"/>
    <s v="Sales Executive"/>
    <n v="35"/>
    <n v="13"/>
    <n v="39506"/>
    <n v="55"/>
    <n v="4"/>
    <n v="21"/>
    <n v="13"/>
    <n v="2.8"/>
    <n v="5.9"/>
    <s v="Low"/>
    <n v="50.47"/>
  </r>
  <r>
    <s v="EMP0377"/>
    <x v="0"/>
    <s v="Accountant"/>
    <n v="52"/>
    <n v="4"/>
    <n v="67426"/>
    <n v="40"/>
    <n v="10"/>
    <n v="25"/>
    <n v="0"/>
    <n v="2.7"/>
    <n v="7.3"/>
    <s v="Medium"/>
    <n v="68.569999999999993"/>
  </r>
  <r>
    <s v="EMP0378"/>
    <x v="2"/>
    <s v="IT Executive"/>
    <n v="49"/>
    <n v="12"/>
    <n v="80809"/>
    <n v="46"/>
    <n v="8"/>
    <n v="8"/>
    <n v="13"/>
    <n v="3.4"/>
    <n v="7.7"/>
    <s v="Medium"/>
    <n v="69.73"/>
  </r>
  <r>
    <s v="EMP0379"/>
    <x v="3"/>
    <s v="Marketing Analyst"/>
    <n v="28"/>
    <n v="0"/>
    <n v="58522"/>
    <n v="46"/>
    <n v="9"/>
    <n v="20"/>
    <n v="38"/>
    <n v="3.8"/>
    <n v="5.0999999999999996"/>
    <s v="Low"/>
    <n v="57"/>
  </r>
  <r>
    <s v="EMP0380"/>
    <x v="3"/>
    <s v="Content Specialist"/>
    <n v="26"/>
    <n v="2"/>
    <n v="89773"/>
    <n v="43"/>
    <n v="11"/>
    <n v="10"/>
    <n v="17"/>
    <n v="2.8"/>
    <n v="8"/>
    <s v="High"/>
    <n v="74.73"/>
  </r>
  <r>
    <s v="EMP0381"/>
    <x v="2"/>
    <s v="Data Analyst"/>
    <n v="34"/>
    <n v="2"/>
    <n v="58901"/>
    <n v="42"/>
    <n v="15"/>
    <n v="1"/>
    <n v="38"/>
    <n v="3.2"/>
    <n v="5.2"/>
    <s v="Low"/>
    <n v="65.8"/>
  </r>
  <r>
    <s v="EMP0382"/>
    <x v="0"/>
    <s v="Financial Analyst"/>
    <n v="53"/>
    <n v="9"/>
    <n v="42001"/>
    <n v="48"/>
    <n v="7"/>
    <n v="12"/>
    <n v="2"/>
    <n v="3.7"/>
    <n v="10"/>
    <s v="High"/>
    <n v="82.77"/>
  </r>
  <r>
    <s v="EMP0383"/>
    <x v="2"/>
    <s v="Data Analyst"/>
    <n v="36"/>
    <n v="15"/>
    <n v="84410"/>
    <n v="46"/>
    <n v="9"/>
    <n v="9"/>
    <n v="10"/>
    <n v="4.5"/>
    <n v="9.1"/>
    <s v="High"/>
    <n v="83.1"/>
  </r>
  <r>
    <s v="EMP0384"/>
    <x v="2"/>
    <s v="IT Executive"/>
    <n v="28"/>
    <n v="7"/>
    <n v="33384"/>
    <n v="43"/>
    <n v="12"/>
    <n v="25"/>
    <n v="35"/>
    <n v="4.3"/>
    <n v="4.3"/>
    <s v="Low"/>
    <n v="58.7"/>
  </r>
  <r>
    <s v="EMP0385"/>
    <x v="2"/>
    <s v="Software Engineer"/>
    <n v="27"/>
    <n v="1"/>
    <n v="48283"/>
    <n v="42"/>
    <n v="12"/>
    <n v="9"/>
    <n v="26"/>
    <n v="4.4000000000000004"/>
    <n v="5.3"/>
    <s v="Low"/>
    <n v="65"/>
  </r>
  <r>
    <s v="EMP0386"/>
    <x v="1"/>
    <s v="Sales Executive"/>
    <n v="40"/>
    <n v="14"/>
    <n v="80785"/>
    <n v="38"/>
    <n v="8"/>
    <n v="1"/>
    <n v="40"/>
    <n v="3.8"/>
    <n v="9.6"/>
    <s v="High"/>
    <n v="82.33"/>
  </r>
  <r>
    <s v="EMP0387"/>
    <x v="3"/>
    <s v="Marketing Analyst"/>
    <n v="34"/>
    <n v="8"/>
    <n v="32852"/>
    <n v="47"/>
    <n v="9"/>
    <n v="9"/>
    <n v="26"/>
    <n v="2.2000000000000002"/>
    <n v="9"/>
    <s v="High"/>
    <n v="75.599999999999994"/>
  </r>
  <r>
    <s v="EMP0388"/>
    <x v="4"/>
    <s v="HR Analyst"/>
    <n v="43"/>
    <n v="13"/>
    <n v="89696"/>
    <n v="53"/>
    <n v="15"/>
    <n v="14"/>
    <n v="9"/>
    <n v="2.9"/>
    <n v="8"/>
    <s v="High"/>
    <n v="81.7"/>
  </r>
  <r>
    <s v="EMP0389"/>
    <x v="3"/>
    <s v="Marketing Analyst"/>
    <n v="43"/>
    <n v="5"/>
    <n v="45539"/>
    <n v="55"/>
    <n v="1"/>
    <n v="0"/>
    <n v="28"/>
    <n v="2.8"/>
    <n v="8.3000000000000007"/>
    <s v="High"/>
    <n v="59.87"/>
  </r>
  <r>
    <s v="EMP0390"/>
    <x v="1"/>
    <s v="Sales Analyst"/>
    <n v="32"/>
    <n v="7"/>
    <n v="76459"/>
    <n v="37"/>
    <n v="3"/>
    <n v="19"/>
    <n v="27"/>
    <n v="3.9"/>
    <n v="5.8"/>
    <s v="Low"/>
    <n v="51.5"/>
  </r>
  <r>
    <s v="EMP0391"/>
    <x v="3"/>
    <s v="Content Specialist"/>
    <n v="22"/>
    <n v="0"/>
    <n v="59981"/>
    <n v="41"/>
    <n v="12"/>
    <n v="11"/>
    <n v="0"/>
    <n v="4.7"/>
    <n v="8.3000000000000007"/>
    <s v="High"/>
    <n v="83.9"/>
  </r>
  <r>
    <s v="EMP0392"/>
    <x v="4"/>
    <s v="HR Analyst"/>
    <n v="23"/>
    <n v="2"/>
    <n v="25270"/>
    <n v="55"/>
    <n v="12"/>
    <n v="7"/>
    <n v="14"/>
    <n v="4.0999999999999996"/>
    <n v="5.4"/>
    <s v="Low"/>
    <n v="64.7"/>
  </r>
  <r>
    <s v="EMP0393"/>
    <x v="0"/>
    <s v="Finance Executive"/>
    <n v="46"/>
    <n v="9"/>
    <n v="35945"/>
    <n v="37"/>
    <n v="14"/>
    <n v="1"/>
    <n v="19"/>
    <n v="4.8"/>
    <n v="6.2"/>
    <s v="Medium"/>
    <n v="74.930000000000007"/>
  </r>
  <r>
    <s v="EMP0394"/>
    <x v="1"/>
    <s v="Sales Analyst"/>
    <n v="55"/>
    <n v="10"/>
    <n v="53420"/>
    <n v="39"/>
    <n v="6"/>
    <n v="15"/>
    <n v="22"/>
    <n v="4.3"/>
    <n v="4.2"/>
    <s v="Low"/>
    <n v="48.1"/>
  </r>
  <r>
    <s v="EMP0395"/>
    <x v="0"/>
    <s v="Accountant"/>
    <n v="36"/>
    <n v="7"/>
    <n v="72655"/>
    <n v="39"/>
    <n v="4"/>
    <n v="23"/>
    <n v="1"/>
    <n v="3.8"/>
    <n v="4.2"/>
    <s v="Low"/>
    <n v="43.27"/>
  </r>
  <r>
    <s v="EMP0396"/>
    <x v="0"/>
    <s v="Finance Executive"/>
    <n v="46"/>
    <n v="8"/>
    <n v="75544"/>
    <n v="52"/>
    <n v="10"/>
    <n v="1"/>
    <n v="38"/>
    <n v="5"/>
    <n v="7.6"/>
    <s v="Medium"/>
    <n v="77.27"/>
  </r>
  <r>
    <s v="EMP0397"/>
    <x v="0"/>
    <s v="Financial Analyst"/>
    <n v="25"/>
    <n v="0"/>
    <n v="52313"/>
    <n v="49"/>
    <n v="7"/>
    <n v="3"/>
    <n v="35"/>
    <n v="2.8"/>
    <n v="7.9"/>
    <s v="Medium"/>
    <n v="67.47"/>
  </r>
  <r>
    <s v="EMP0398"/>
    <x v="0"/>
    <s v="Accountant"/>
    <n v="41"/>
    <n v="13"/>
    <n v="68362"/>
    <n v="38"/>
    <n v="11"/>
    <n v="16"/>
    <n v="17"/>
    <n v="3.9"/>
    <n v="7.9"/>
    <s v="Medium"/>
    <n v="77.430000000000007"/>
  </r>
  <r>
    <s v="EMP0399"/>
    <x v="0"/>
    <s v="Accountant"/>
    <n v="54"/>
    <n v="3"/>
    <n v="43527"/>
    <n v="38"/>
    <n v="13"/>
    <n v="3"/>
    <n v="31"/>
    <n v="2.6"/>
    <n v="4.4000000000000004"/>
    <s v="Low"/>
    <n v="55.87"/>
  </r>
  <r>
    <s v="EMP0400"/>
    <x v="1"/>
    <s v="Account Manager"/>
    <n v="34"/>
    <n v="5"/>
    <n v="71100"/>
    <n v="48"/>
    <n v="5"/>
    <n v="5"/>
    <n v="2"/>
    <n v="3.6"/>
    <n v="9.4"/>
    <s v="High"/>
    <n v="75.53"/>
  </r>
  <r>
    <s v="EMP0401"/>
    <x v="3"/>
    <s v="Marketing Analyst"/>
    <n v="43"/>
    <n v="7"/>
    <n v="25179"/>
    <n v="35"/>
    <n v="11"/>
    <n v="2"/>
    <n v="7"/>
    <n v="4.5"/>
    <n v="7.7"/>
    <s v="Medium"/>
    <n v="78.03"/>
  </r>
  <r>
    <s v="EMP0402"/>
    <x v="0"/>
    <s v="Accountant"/>
    <n v="54"/>
    <n v="2"/>
    <n v="72419"/>
    <n v="38"/>
    <n v="15"/>
    <n v="8"/>
    <n v="14"/>
    <n v="3.4"/>
    <n v="9.8000000000000007"/>
    <s v="High"/>
    <n v="94"/>
  </r>
  <r>
    <s v="EMP0403"/>
    <x v="3"/>
    <s v="Marketing Executive"/>
    <n v="25"/>
    <n v="0"/>
    <n v="78292"/>
    <n v="40"/>
    <n v="14"/>
    <n v="1"/>
    <n v="18"/>
    <n v="3.1"/>
    <n v="7.7"/>
    <s v="Medium"/>
    <n v="78.83"/>
  </r>
  <r>
    <s v="EMP0404"/>
    <x v="0"/>
    <s v="Finance Executive"/>
    <n v="28"/>
    <n v="0"/>
    <n v="25633"/>
    <n v="39"/>
    <n v="11"/>
    <n v="20"/>
    <n v="10"/>
    <n v="3"/>
    <n v="9.3000000000000007"/>
    <s v="High"/>
    <n v="83.13"/>
  </r>
  <r>
    <s v="EMP0405"/>
    <x v="2"/>
    <s v="Software Engineer"/>
    <n v="27"/>
    <n v="2"/>
    <n v="78409"/>
    <n v="45"/>
    <n v="3"/>
    <n v="3"/>
    <n v="25"/>
    <n v="3.2"/>
    <n v="6.2"/>
    <s v="Medium"/>
    <n v="51.8"/>
  </r>
  <r>
    <s v="EMP0406"/>
    <x v="3"/>
    <s v="Marketing Analyst"/>
    <n v="48"/>
    <n v="5"/>
    <n v="32409"/>
    <n v="39"/>
    <n v="12"/>
    <n v="23"/>
    <n v="3"/>
    <n v="4.9000000000000004"/>
    <n v="8.9"/>
    <s v="High"/>
    <n v="88.1"/>
  </r>
  <r>
    <s v="EMP0407"/>
    <x v="3"/>
    <s v="Content Specialist"/>
    <n v="52"/>
    <n v="14"/>
    <n v="36879"/>
    <n v="54"/>
    <n v="7"/>
    <n v="24"/>
    <n v="22"/>
    <n v="3.8"/>
    <n v="9"/>
    <s v="High"/>
    <n v="77.069999999999993"/>
  </r>
  <r>
    <s v="EMP0408"/>
    <x v="4"/>
    <s v="Recruiter"/>
    <n v="52"/>
    <n v="15"/>
    <n v="32401"/>
    <n v="48"/>
    <n v="8"/>
    <n v="1"/>
    <n v="4"/>
    <n v="2.8"/>
    <n v="5.2"/>
    <s v="Low"/>
    <n v="52.93"/>
  </r>
  <r>
    <s v="EMP0409"/>
    <x v="1"/>
    <s v="Sales Executive"/>
    <n v="36"/>
    <n v="10"/>
    <n v="59019"/>
    <n v="51"/>
    <n v="12"/>
    <n v="22"/>
    <n v="39"/>
    <n v="2.2999999999999998"/>
    <n v="7.6"/>
    <s v="Medium"/>
    <n v="72.5"/>
  </r>
  <r>
    <s v="EMP0410"/>
    <x v="3"/>
    <s v="Content Specialist"/>
    <n v="44"/>
    <n v="12"/>
    <n v="34742"/>
    <n v="52"/>
    <n v="15"/>
    <n v="19"/>
    <n v="3"/>
    <n v="2"/>
    <n v="9.5"/>
    <s v="High"/>
    <n v="88"/>
  </r>
  <r>
    <s v="EMP0411"/>
    <x v="3"/>
    <s v="Marketing Analyst"/>
    <n v="53"/>
    <n v="5"/>
    <n v="29906"/>
    <n v="50"/>
    <n v="6"/>
    <n v="7"/>
    <n v="21"/>
    <n v="4.9000000000000004"/>
    <n v="3.4"/>
    <s v="Low"/>
    <n v="45.1"/>
  </r>
  <r>
    <s v="EMP0412"/>
    <x v="1"/>
    <s v="Sales Analyst"/>
    <n v="46"/>
    <n v="12"/>
    <n v="78549"/>
    <n v="42"/>
    <n v="2"/>
    <n v="14"/>
    <n v="28"/>
    <n v="4.4000000000000004"/>
    <n v="6.1"/>
    <s v="Medium"/>
    <n v="53.13"/>
  </r>
  <r>
    <s v="EMP0413"/>
    <x v="3"/>
    <s v="Content Specialist"/>
    <n v="42"/>
    <n v="3"/>
    <n v="89269"/>
    <n v="50"/>
    <n v="12"/>
    <n v="20"/>
    <n v="1"/>
    <n v="2.2999999999999998"/>
    <n v="5.9"/>
    <s v="Low"/>
    <n v="62.3"/>
  </r>
  <r>
    <s v="EMP0414"/>
    <x v="1"/>
    <s v="Account Manager"/>
    <n v="22"/>
    <n v="0"/>
    <n v="76890"/>
    <n v="54"/>
    <n v="10"/>
    <n v="20"/>
    <n v="19"/>
    <n v="4.7"/>
    <n v="6.9"/>
    <s v="Medium"/>
    <n v="72.17"/>
  </r>
  <r>
    <s v="EMP0415"/>
    <x v="3"/>
    <s v="Content Specialist"/>
    <n v="43"/>
    <n v="11"/>
    <n v="79087"/>
    <n v="36"/>
    <n v="14"/>
    <n v="7"/>
    <n v="29"/>
    <n v="3"/>
    <n v="8.4"/>
    <s v="High"/>
    <n v="82.73"/>
  </r>
  <r>
    <s v="EMP0416"/>
    <x v="3"/>
    <s v="Content Specialist"/>
    <n v="45"/>
    <n v="14"/>
    <n v="32472"/>
    <n v="38"/>
    <n v="13"/>
    <n v="21"/>
    <n v="14"/>
    <n v="2"/>
    <n v="5.5"/>
    <s v="Low"/>
    <n v="60.67"/>
  </r>
  <r>
    <s v="EMP0417"/>
    <x v="2"/>
    <s v="IT Executive"/>
    <n v="55"/>
    <n v="11"/>
    <n v="71012"/>
    <n v="38"/>
    <n v="1"/>
    <n v="5"/>
    <n v="31"/>
    <n v="2.4"/>
    <n v="8"/>
    <s v="High"/>
    <n v="56.87"/>
  </r>
  <r>
    <s v="EMP0418"/>
    <x v="3"/>
    <s v="Marketing Analyst"/>
    <n v="28"/>
    <n v="4"/>
    <n v="65032"/>
    <n v="41"/>
    <n v="4"/>
    <n v="3"/>
    <n v="25"/>
    <n v="2.6"/>
    <n v="8.8000000000000007"/>
    <s v="High"/>
    <n v="67.27"/>
  </r>
  <r>
    <s v="EMP0419"/>
    <x v="2"/>
    <s v="Software Engineer"/>
    <n v="28"/>
    <n v="6"/>
    <n v="28047"/>
    <n v="55"/>
    <n v="14"/>
    <n v="21"/>
    <n v="37"/>
    <n v="2.4"/>
    <n v="9.1999999999999993"/>
    <s v="High"/>
    <n v="85.73"/>
  </r>
  <r>
    <s v="EMP0420"/>
    <x v="1"/>
    <s v="Account Manager"/>
    <n v="54"/>
    <n v="4"/>
    <n v="88167"/>
    <n v="50"/>
    <n v="1"/>
    <n v="16"/>
    <n v="3"/>
    <n v="3.7"/>
    <n v="6"/>
    <s v="Medium"/>
    <n v="48.77"/>
  </r>
  <r>
    <s v="EMP0421"/>
    <x v="3"/>
    <s v="Content Specialist"/>
    <n v="54"/>
    <n v="5"/>
    <n v="70338"/>
    <n v="53"/>
    <n v="3"/>
    <n v="23"/>
    <n v="8"/>
    <n v="2.2999999999999998"/>
    <n v="7.6"/>
    <s v="Medium"/>
    <n v="57.5"/>
  </r>
  <r>
    <s v="EMP0422"/>
    <x v="2"/>
    <s v="Software Engineer"/>
    <n v="54"/>
    <n v="12"/>
    <n v="52437"/>
    <n v="54"/>
    <n v="15"/>
    <n v="22"/>
    <n v="15"/>
    <n v="2.8"/>
    <n v="9.6999999999999993"/>
    <s v="High"/>
    <n v="91.6"/>
  </r>
  <r>
    <s v="EMP0423"/>
    <x v="3"/>
    <s v="Marketing Executive"/>
    <n v="30"/>
    <n v="2"/>
    <n v="52049"/>
    <n v="54"/>
    <n v="12"/>
    <n v="23"/>
    <n v="32"/>
    <n v="2.9"/>
    <n v="7.9"/>
    <s v="Medium"/>
    <n v="76.099999999999994"/>
  </r>
  <r>
    <s v="EMP0424"/>
    <x v="1"/>
    <s v="Account Manager"/>
    <n v="35"/>
    <n v="3"/>
    <n v="38743"/>
    <n v="54"/>
    <n v="12"/>
    <n v="9"/>
    <n v="22"/>
    <n v="4.8"/>
    <n v="3.9"/>
    <s v="Low"/>
    <n v="57.8"/>
  </r>
  <r>
    <s v="EMP0425"/>
    <x v="4"/>
    <s v="Recruiter"/>
    <n v="54"/>
    <n v="10"/>
    <n v="71553"/>
    <n v="38"/>
    <n v="13"/>
    <n v="11"/>
    <n v="35"/>
    <n v="3.4"/>
    <n v="7"/>
    <s v="Medium"/>
    <n v="73.87"/>
  </r>
  <r>
    <s v="EMP0426"/>
    <x v="3"/>
    <s v="Marketing Analyst"/>
    <n v="40"/>
    <n v="13"/>
    <n v="77973"/>
    <n v="35"/>
    <n v="9"/>
    <n v="3"/>
    <n v="1"/>
    <n v="3.1"/>
    <n v="3.4"/>
    <s v="Low"/>
    <n v="44.7"/>
  </r>
  <r>
    <s v="EMP0427"/>
    <x v="4"/>
    <s v="HR Executive"/>
    <n v="39"/>
    <n v="5"/>
    <n v="89456"/>
    <n v="44"/>
    <n v="11"/>
    <n v="8"/>
    <n v="9"/>
    <n v="4.5"/>
    <n v="7.8"/>
    <s v="Medium"/>
    <n v="78.63"/>
  </r>
  <r>
    <s v="EMP0428"/>
    <x v="4"/>
    <s v="Recruiter"/>
    <n v="24"/>
    <n v="2"/>
    <n v="78348"/>
    <n v="49"/>
    <n v="2"/>
    <n v="19"/>
    <n v="35"/>
    <n v="4.5999999999999996"/>
    <n v="8.1999999999999993"/>
    <s v="High"/>
    <n v="66.33"/>
  </r>
  <r>
    <s v="EMP0429"/>
    <x v="3"/>
    <s v="Content Specialist"/>
    <n v="37"/>
    <n v="9"/>
    <n v="70412"/>
    <n v="36"/>
    <n v="15"/>
    <n v="12"/>
    <n v="24"/>
    <n v="3.2"/>
    <n v="8.5"/>
    <s v="High"/>
    <n v="85.6"/>
  </r>
  <r>
    <s v="EMP0430"/>
    <x v="2"/>
    <s v="IT Executive"/>
    <n v="25"/>
    <n v="0"/>
    <n v="73737"/>
    <n v="43"/>
    <n v="4"/>
    <n v="19"/>
    <n v="28"/>
    <n v="4.5"/>
    <n v="9.4"/>
    <s v="High"/>
    <n v="76.569999999999993"/>
  </r>
  <r>
    <s v="EMP0431"/>
    <x v="2"/>
    <s v="Data Analyst"/>
    <n v="34"/>
    <n v="12"/>
    <n v="72507"/>
    <n v="41"/>
    <n v="5"/>
    <n v="14"/>
    <n v="11"/>
    <n v="5"/>
    <n v="3.5"/>
    <s v="Low"/>
    <n v="44.33"/>
  </r>
  <r>
    <s v="EMP0432"/>
    <x v="1"/>
    <s v="Sales Analyst"/>
    <n v="29"/>
    <n v="6"/>
    <n v="27663"/>
    <n v="48"/>
    <n v="5"/>
    <n v="17"/>
    <n v="16"/>
    <n v="2.4"/>
    <n v="7.1"/>
    <s v="Medium"/>
    <n v="58.13"/>
  </r>
  <r>
    <s v="EMP0433"/>
    <x v="0"/>
    <s v="Finance Executive"/>
    <n v="43"/>
    <n v="14"/>
    <n v="71510"/>
    <n v="39"/>
    <n v="1"/>
    <n v="4"/>
    <n v="20"/>
    <n v="3.8"/>
    <n v="8.4"/>
    <s v="High"/>
    <n v="63.47"/>
  </r>
  <r>
    <s v="EMP0434"/>
    <x v="1"/>
    <s v="Sales Executive"/>
    <n v="41"/>
    <n v="15"/>
    <n v="76767"/>
    <n v="53"/>
    <n v="9"/>
    <n v="11"/>
    <n v="4"/>
    <n v="4.4000000000000004"/>
    <n v="5.2"/>
    <s v="Low"/>
    <n v="59.4"/>
  </r>
  <r>
    <s v="EMP0435"/>
    <x v="4"/>
    <s v="HR Analyst"/>
    <n v="55"/>
    <n v="2"/>
    <n v="76528"/>
    <n v="51"/>
    <n v="3"/>
    <n v="13"/>
    <n v="34"/>
    <n v="3.6"/>
    <n v="3.6"/>
    <s v="Low"/>
    <n v="37.4"/>
  </r>
  <r>
    <s v="EMP0436"/>
    <x v="4"/>
    <s v="Recruiter"/>
    <n v="43"/>
    <n v="10"/>
    <n v="48645"/>
    <n v="44"/>
    <n v="4"/>
    <n v="24"/>
    <n v="39"/>
    <n v="3.6"/>
    <n v="10"/>
    <s v="High"/>
    <n v="77.47"/>
  </r>
  <r>
    <s v="EMP0437"/>
    <x v="0"/>
    <s v="Financial Analyst"/>
    <n v="29"/>
    <n v="5"/>
    <n v="54207"/>
    <n v="42"/>
    <n v="15"/>
    <n v="20"/>
    <n v="39"/>
    <n v="4.8"/>
    <n v="4.7"/>
    <s v="Low"/>
    <n v="67.599999999999994"/>
  </r>
  <r>
    <s v="EMP0438"/>
    <x v="2"/>
    <s v="Software Engineer"/>
    <n v="46"/>
    <n v="3"/>
    <n v="50288"/>
    <n v="43"/>
    <n v="9"/>
    <n v="23"/>
    <n v="18"/>
    <n v="2.1"/>
    <n v="6.6"/>
    <s v="Medium"/>
    <n v="60.9"/>
  </r>
  <r>
    <s v="EMP0439"/>
    <x v="1"/>
    <s v="Sales Executive"/>
    <n v="54"/>
    <n v="14"/>
    <n v="56903"/>
    <n v="36"/>
    <n v="5"/>
    <n v="20"/>
    <n v="12"/>
    <n v="3"/>
    <n v="3.6"/>
    <s v="Low"/>
    <n v="38.93"/>
  </r>
  <r>
    <s v="EMP0440"/>
    <x v="4"/>
    <s v="Recruiter"/>
    <n v="22"/>
    <n v="0"/>
    <n v="38813"/>
    <n v="55"/>
    <n v="13"/>
    <n v="6"/>
    <n v="27"/>
    <n v="4.5"/>
    <n v="4.4000000000000004"/>
    <s v="Low"/>
    <n v="61.57"/>
  </r>
  <r>
    <s v="EMP0441"/>
    <x v="3"/>
    <s v="Marketing Analyst"/>
    <n v="26"/>
    <n v="5"/>
    <n v="69960"/>
    <n v="39"/>
    <n v="1"/>
    <n v="14"/>
    <n v="21"/>
    <n v="2.1"/>
    <n v="3.5"/>
    <s v="Low"/>
    <n v="28.97"/>
  </r>
  <r>
    <s v="EMP0442"/>
    <x v="2"/>
    <s v="Software Engineer"/>
    <n v="26"/>
    <n v="4"/>
    <n v="78845"/>
    <n v="42"/>
    <n v="15"/>
    <n v="8"/>
    <n v="26"/>
    <n v="3.2"/>
    <n v="7.4"/>
    <s v="Medium"/>
    <n v="79"/>
  </r>
  <r>
    <s v="EMP0443"/>
    <x v="2"/>
    <s v="Data Analyst"/>
    <n v="23"/>
    <n v="1"/>
    <n v="69125"/>
    <n v="38"/>
    <n v="9"/>
    <n v="0"/>
    <n v="39"/>
    <n v="2.2000000000000002"/>
    <n v="8.1999999999999993"/>
    <s v="High"/>
    <n v="70.8"/>
  </r>
  <r>
    <s v="EMP0444"/>
    <x v="0"/>
    <s v="Accountant"/>
    <n v="44"/>
    <n v="3"/>
    <n v="43994"/>
    <n v="44"/>
    <n v="10"/>
    <n v="2"/>
    <n v="18"/>
    <n v="4.3"/>
    <n v="6.1"/>
    <s v="Medium"/>
    <n v="66.17"/>
  </r>
  <r>
    <s v="EMP0445"/>
    <x v="0"/>
    <s v="Accountant"/>
    <n v="52"/>
    <n v="5"/>
    <n v="59961"/>
    <n v="42"/>
    <n v="3"/>
    <n v="23"/>
    <n v="25"/>
    <n v="4.4000000000000004"/>
    <n v="8.9"/>
    <s v="High"/>
    <n v="71.599999999999994"/>
  </r>
  <r>
    <s v="EMP0446"/>
    <x v="4"/>
    <s v="Recruiter"/>
    <n v="41"/>
    <n v="11"/>
    <n v="87743"/>
    <n v="35"/>
    <n v="9"/>
    <n v="17"/>
    <n v="9"/>
    <n v="2.4"/>
    <n v="3"/>
    <s v="Low"/>
    <n v="40.200000000000003"/>
  </r>
  <r>
    <s v="EMP0447"/>
    <x v="3"/>
    <s v="Content Specialist"/>
    <n v="27"/>
    <n v="2"/>
    <n v="38766"/>
    <n v="46"/>
    <n v="4"/>
    <n v="13"/>
    <n v="32"/>
    <n v="2.4"/>
    <n v="4.3"/>
    <s v="Low"/>
    <n v="39.67"/>
  </r>
  <r>
    <s v="EMP0448"/>
    <x v="2"/>
    <s v="Software Engineer"/>
    <n v="34"/>
    <n v="1"/>
    <n v="36885"/>
    <n v="53"/>
    <n v="14"/>
    <n v="1"/>
    <n v="35"/>
    <n v="3.4"/>
    <n v="6.8"/>
    <s v="Medium"/>
    <n v="74.33"/>
  </r>
  <r>
    <s v="EMP0449"/>
    <x v="0"/>
    <s v="Financial Analyst"/>
    <n v="38"/>
    <n v="3"/>
    <n v="37937"/>
    <n v="53"/>
    <n v="8"/>
    <n v="10"/>
    <n v="22"/>
    <n v="2.4"/>
    <n v="7.6"/>
    <s v="Medium"/>
    <n v="66.13"/>
  </r>
  <r>
    <s v="EMP0450"/>
    <x v="2"/>
    <s v="Data Analyst"/>
    <n v="26"/>
    <n v="1"/>
    <n v="45826"/>
    <n v="50"/>
    <n v="8"/>
    <n v="10"/>
    <n v="39"/>
    <n v="4"/>
    <n v="7.9"/>
    <s v="Medium"/>
    <n v="72.73"/>
  </r>
  <r>
    <s v="EMP0451"/>
    <x v="1"/>
    <s v="Account Manager"/>
    <n v="45"/>
    <n v="10"/>
    <n v="87826"/>
    <n v="48"/>
    <n v="3"/>
    <n v="0"/>
    <n v="20"/>
    <n v="2.7"/>
    <n v="4.5999999999999996"/>
    <s v="Low"/>
    <n v="40.700000000000003"/>
  </r>
  <r>
    <s v="EMP0452"/>
    <x v="3"/>
    <s v="Marketing Executive"/>
    <n v="39"/>
    <n v="11"/>
    <n v="33801"/>
    <n v="45"/>
    <n v="15"/>
    <n v="15"/>
    <n v="29"/>
    <n v="3.3"/>
    <n v="8.4"/>
    <s v="High"/>
    <n v="85.3"/>
  </r>
  <r>
    <s v="EMP0453"/>
    <x v="1"/>
    <s v="Account Manager"/>
    <n v="28"/>
    <n v="2"/>
    <n v="67306"/>
    <n v="54"/>
    <n v="2"/>
    <n v="8"/>
    <n v="8"/>
    <n v="4.7"/>
    <n v="4.4000000000000004"/>
    <s v="Low"/>
    <n v="43.83"/>
  </r>
  <r>
    <s v="EMP0454"/>
    <x v="0"/>
    <s v="Financial Analyst"/>
    <n v="26"/>
    <n v="0"/>
    <n v="80678"/>
    <n v="51"/>
    <n v="11"/>
    <n v="0"/>
    <n v="37"/>
    <n v="3.7"/>
    <n v="8.4"/>
    <s v="High"/>
    <n v="79.83"/>
  </r>
  <r>
    <s v="EMP0455"/>
    <x v="0"/>
    <s v="Accountant"/>
    <n v="38"/>
    <n v="15"/>
    <n v="67854"/>
    <n v="39"/>
    <n v="6"/>
    <n v="12"/>
    <n v="14"/>
    <n v="4.7"/>
    <n v="7.1"/>
    <s v="Medium"/>
    <n v="66.7"/>
  </r>
  <r>
    <s v="EMP0456"/>
    <x v="4"/>
    <s v="Recruiter"/>
    <n v="51"/>
    <n v="2"/>
    <n v="51003"/>
    <n v="46"/>
    <n v="9"/>
    <n v="0"/>
    <n v="15"/>
    <n v="4.5"/>
    <n v="8.6"/>
    <s v="High"/>
    <n v="80.099999999999994"/>
  </r>
  <r>
    <s v="EMP0457"/>
    <x v="4"/>
    <s v="Recruiter"/>
    <n v="54"/>
    <n v="4"/>
    <n v="54243"/>
    <n v="40"/>
    <n v="3"/>
    <n v="18"/>
    <n v="36"/>
    <n v="4"/>
    <n v="9.8000000000000007"/>
    <s v="High"/>
    <n v="75.8"/>
  </r>
  <r>
    <s v="EMP0458"/>
    <x v="3"/>
    <s v="Marketing Analyst"/>
    <n v="44"/>
    <n v="1"/>
    <n v="39340"/>
    <n v="50"/>
    <n v="4"/>
    <n v="2"/>
    <n v="16"/>
    <n v="3.1"/>
    <n v="3.3"/>
    <s v="Low"/>
    <n v="35.770000000000003"/>
  </r>
  <r>
    <s v="EMP0459"/>
    <x v="1"/>
    <s v="Account Manager"/>
    <n v="45"/>
    <n v="12"/>
    <n v="55780"/>
    <n v="49"/>
    <n v="15"/>
    <n v="1"/>
    <n v="2"/>
    <n v="4.9000000000000004"/>
    <n v="5.3"/>
    <s v="Low"/>
    <n v="71.5"/>
  </r>
  <r>
    <s v="EMP0460"/>
    <x v="1"/>
    <s v="Account Manager"/>
    <n v="39"/>
    <n v="8"/>
    <n v="62921"/>
    <n v="52"/>
    <n v="10"/>
    <n v="5"/>
    <n v="24"/>
    <n v="4"/>
    <n v="5.6"/>
    <s v="Low"/>
    <n v="62.27"/>
  </r>
  <r>
    <s v="EMP0461"/>
    <x v="0"/>
    <s v="Accountant"/>
    <n v="55"/>
    <n v="8"/>
    <n v="49663"/>
    <n v="42"/>
    <n v="9"/>
    <n v="12"/>
    <n v="22"/>
    <n v="4.5"/>
    <n v="5.4"/>
    <s v="Low"/>
    <n v="60.9"/>
  </r>
  <r>
    <s v="EMP0462"/>
    <x v="1"/>
    <s v="Sales Executive"/>
    <n v="22"/>
    <n v="0"/>
    <n v="53829"/>
    <n v="40"/>
    <n v="4"/>
    <n v="2"/>
    <n v="32"/>
    <n v="3.9"/>
    <n v="4.5"/>
    <s v="Low"/>
    <n v="45.37"/>
  </r>
  <r>
    <s v="EMP0463"/>
    <x v="4"/>
    <s v="HR Executive"/>
    <n v="45"/>
    <n v="3"/>
    <n v="68326"/>
    <n v="42"/>
    <n v="7"/>
    <n v="25"/>
    <n v="21"/>
    <n v="4.2"/>
    <n v="6.4"/>
    <s v="Medium"/>
    <n v="62.67"/>
  </r>
  <r>
    <s v="EMP0464"/>
    <x v="3"/>
    <s v="Content Specialist"/>
    <n v="35"/>
    <n v="9"/>
    <n v="35567"/>
    <n v="55"/>
    <n v="14"/>
    <n v="13"/>
    <n v="1"/>
    <n v="2.7"/>
    <n v="3.9"/>
    <s v="Low"/>
    <n v="54.83"/>
  </r>
  <r>
    <s v="EMP0465"/>
    <x v="4"/>
    <s v="HR Executive"/>
    <n v="30"/>
    <n v="8"/>
    <n v="27568"/>
    <n v="53"/>
    <n v="3"/>
    <n v="1"/>
    <n v="10"/>
    <n v="2.8"/>
    <n v="4.3"/>
    <s v="Low"/>
    <n v="39.200000000000003"/>
  </r>
  <r>
    <s v="EMP0466"/>
    <x v="1"/>
    <s v="Sales Analyst"/>
    <n v="23"/>
    <n v="2"/>
    <n v="72708"/>
    <n v="44"/>
    <n v="2"/>
    <n v="6"/>
    <n v="28"/>
    <n v="3.8"/>
    <n v="6.3"/>
    <s v="Medium"/>
    <n v="52.53"/>
  </r>
  <r>
    <s v="EMP0467"/>
    <x v="4"/>
    <s v="HR Analyst"/>
    <n v="36"/>
    <n v="13"/>
    <n v="64376"/>
    <n v="39"/>
    <n v="13"/>
    <n v="18"/>
    <n v="11"/>
    <n v="3.9"/>
    <n v="6.6"/>
    <s v="Medium"/>
    <n v="72.97"/>
  </r>
  <r>
    <s v="EMP0468"/>
    <x v="2"/>
    <s v="IT Executive"/>
    <n v="51"/>
    <n v="2"/>
    <n v="40061"/>
    <n v="47"/>
    <n v="7"/>
    <n v="4"/>
    <n v="6"/>
    <n v="2"/>
    <n v="6.7"/>
    <s v="Medium"/>
    <n v="57.87"/>
  </r>
  <r>
    <s v="EMP0469"/>
    <x v="3"/>
    <s v="Content Specialist"/>
    <n v="31"/>
    <n v="9"/>
    <n v="31311"/>
    <n v="40"/>
    <n v="8"/>
    <n v="19"/>
    <n v="38"/>
    <n v="2.1"/>
    <n v="8.5"/>
    <s v="High"/>
    <n v="70.63"/>
  </r>
  <r>
    <s v="EMP0470"/>
    <x v="0"/>
    <s v="Finance Executive"/>
    <n v="27"/>
    <n v="3"/>
    <n v="68213"/>
    <n v="39"/>
    <n v="15"/>
    <n v="19"/>
    <n v="34"/>
    <n v="4.5"/>
    <n v="9.3000000000000007"/>
    <s v="High"/>
    <n v="94.3"/>
  </r>
  <r>
    <s v="EMP0471"/>
    <x v="3"/>
    <s v="Marketing Executive"/>
    <n v="55"/>
    <n v="13"/>
    <n v="49273"/>
    <n v="36"/>
    <n v="12"/>
    <n v="16"/>
    <n v="27"/>
    <n v="2.7"/>
    <n v="8.6"/>
    <s v="High"/>
    <n v="79.7"/>
  </r>
  <r>
    <s v="EMP0472"/>
    <x v="2"/>
    <s v="IT Executive"/>
    <n v="28"/>
    <n v="6"/>
    <n v="33774"/>
    <n v="43"/>
    <n v="8"/>
    <n v="24"/>
    <n v="14"/>
    <n v="4.7"/>
    <n v="3.6"/>
    <s v="Low"/>
    <n v="49.03"/>
  </r>
  <r>
    <s v="EMP0473"/>
    <x v="1"/>
    <s v="Sales Executive"/>
    <n v="48"/>
    <n v="8"/>
    <n v="37387"/>
    <n v="35"/>
    <n v="12"/>
    <n v="23"/>
    <n v="0"/>
    <n v="3.7"/>
    <n v="3.8"/>
    <s v="Low"/>
    <n v="53.9"/>
  </r>
  <r>
    <s v="EMP0474"/>
    <x v="3"/>
    <s v="Marketing Executive"/>
    <n v="35"/>
    <n v="11"/>
    <n v="77709"/>
    <n v="45"/>
    <n v="7"/>
    <n v="11"/>
    <n v="6"/>
    <n v="2.5"/>
    <n v="7.6"/>
    <s v="Medium"/>
    <n v="64.77"/>
  </r>
  <r>
    <s v="EMP0475"/>
    <x v="2"/>
    <s v="Software Engineer"/>
    <n v="49"/>
    <n v="11"/>
    <n v="65100"/>
    <n v="43"/>
    <n v="11"/>
    <n v="12"/>
    <n v="13"/>
    <n v="3.2"/>
    <n v="8.5"/>
    <s v="High"/>
    <n v="78.930000000000007"/>
  </r>
  <r>
    <s v="EMP0476"/>
    <x v="4"/>
    <s v="Recruiter"/>
    <n v="45"/>
    <n v="15"/>
    <n v="41631"/>
    <n v="44"/>
    <n v="10"/>
    <n v="11"/>
    <n v="25"/>
    <n v="4.2"/>
    <n v="9"/>
    <s v="High"/>
    <n v="83.27"/>
  </r>
  <r>
    <s v="EMP0477"/>
    <x v="0"/>
    <s v="Finance Executive"/>
    <n v="36"/>
    <n v="14"/>
    <n v="76321"/>
    <n v="40"/>
    <n v="2"/>
    <n v="6"/>
    <n v="32"/>
    <n v="3.2"/>
    <n v="5.4"/>
    <s v="Low"/>
    <n v="45.33"/>
  </r>
  <r>
    <s v="EMP0478"/>
    <x v="1"/>
    <s v="Account Manager"/>
    <n v="25"/>
    <n v="1"/>
    <n v="50500"/>
    <n v="55"/>
    <n v="1"/>
    <n v="25"/>
    <n v="5"/>
    <n v="4.5"/>
    <n v="6.3"/>
    <s v="Medium"/>
    <n v="52.97"/>
  </r>
  <r>
    <s v="EMP0479"/>
    <x v="3"/>
    <s v="Marketing Executive"/>
    <n v="27"/>
    <n v="0"/>
    <n v="42241"/>
    <n v="42"/>
    <n v="6"/>
    <n v="2"/>
    <n v="38"/>
    <n v="2.1"/>
    <n v="5.7"/>
    <s v="Low"/>
    <n v="50.5"/>
  </r>
  <r>
    <s v="EMP0480"/>
    <x v="1"/>
    <s v="Sales Executive"/>
    <n v="55"/>
    <n v="9"/>
    <n v="71635"/>
    <n v="54"/>
    <n v="1"/>
    <n v="24"/>
    <n v="11"/>
    <n v="3.9"/>
    <n v="6.1"/>
    <s v="Medium"/>
    <n v="49.97"/>
  </r>
  <r>
    <s v="EMP0481"/>
    <x v="1"/>
    <s v="Sales Analyst"/>
    <n v="40"/>
    <n v="6"/>
    <n v="27202"/>
    <n v="54"/>
    <n v="9"/>
    <n v="16"/>
    <n v="14"/>
    <n v="3.8"/>
    <n v="7.7"/>
    <s v="Medium"/>
    <n v="72.599999999999994"/>
  </r>
  <r>
    <s v="EMP0482"/>
    <x v="4"/>
    <s v="HR Analyst"/>
    <n v="22"/>
    <n v="0"/>
    <n v="30691"/>
    <n v="43"/>
    <n v="13"/>
    <n v="12"/>
    <n v="22"/>
    <n v="4"/>
    <n v="5.8"/>
    <s v="Low"/>
    <n v="68.47"/>
  </r>
  <r>
    <s v="EMP0483"/>
    <x v="1"/>
    <s v="Sales Analyst"/>
    <n v="22"/>
    <n v="0"/>
    <n v="85239"/>
    <n v="37"/>
    <n v="9"/>
    <n v="9"/>
    <n v="35"/>
    <n v="4.7"/>
    <n v="5.4"/>
    <s v="Low"/>
    <n v="61.5"/>
  </r>
  <r>
    <s v="EMP0484"/>
    <x v="4"/>
    <s v="Recruiter"/>
    <n v="34"/>
    <n v="7"/>
    <n v="85929"/>
    <n v="47"/>
    <n v="10"/>
    <n v="0"/>
    <n v="16"/>
    <n v="2.5"/>
    <n v="6.5"/>
    <s v="Medium"/>
    <n v="63.17"/>
  </r>
  <r>
    <s v="EMP0485"/>
    <x v="0"/>
    <s v="Finance Executive"/>
    <n v="54"/>
    <n v="9"/>
    <n v="47280"/>
    <n v="38"/>
    <n v="13"/>
    <n v="16"/>
    <n v="16"/>
    <n v="4.5999999999999996"/>
    <n v="8.6999999999999993"/>
    <s v="High"/>
    <n v="87.67"/>
  </r>
  <r>
    <s v="EMP0486"/>
    <x v="2"/>
    <s v="Software Engineer"/>
    <n v="50"/>
    <n v="12"/>
    <n v="61907"/>
    <n v="50"/>
    <n v="13"/>
    <n v="7"/>
    <n v="21"/>
    <n v="4.9000000000000004"/>
    <n v="6.2"/>
    <s v="Medium"/>
    <n v="73.569999999999993"/>
  </r>
  <r>
    <s v="EMP0487"/>
    <x v="1"/>
    <s v="Account Manager"/>
    <n v="23"/>
    <n v="1"/>
    <n v="32619"/>
    <n v="43"/>
    <n v="2"/>
    <n v="12"/>
    <n v="40"/>
    <n v="4.4000000000000004"/>
    <n v="4.5"/>
    <s v="Low"/>
    <n v="43.53"/>
  </r>
  <r>
    <s v="EMP0488"/>
    <x v="4"/>
    <s v="HR Executive"/>
    <n v="42"/>
    <n v="13"/>
    <n v="87616"/>
    <n v="46"/>
    <n v="9"/>
    <n v="17"/>
    <n v="0"/>
    <n v="4.0999999999999996"/>
    <n v="4.8"/>
    <s v="Low"/>
    <n v="56.1"/>
  </r>
  <r>
    <s v="EMP0489"/>
    <x v="0"/>
    <s v="Finance Executive"/>
    <n v="47"/>
    <n v="10"/>
    <n v="29982"/>
    <n v="52"/>
    <n v="15"/>
    <n v="5"/>
    <n v="30"/>
    <n v="2.9"/>
    <n v="4.5"/>
    <s v="Low"/>
    <n v="60.7"/>
  </r>
  <r>
    <s v="EMP0490"/>
    <x v="2"/>
    <s v="Software Engineer"/>
    <n v="33"/>
    <n v="11"/>
    <n v="69768"/>
    <n v="41"/>
    <n v="8"/>
    <n v="23"/>
    <n v="12"/>
    <n v="2.7"/>
    <n v="4.7"/>
    <s v="Low"/>
    <n v="49.63"/>
  </r>
  <r>
    <s v="EMP0491"/>
    <x v="4"/>
    <s v="HR Analyst"/>
    <n v="36"/>
    <n v="6"/>
    <n v="79718"/>
    <n v="42"/>
    <n v="14"/>
    <n v="19"/>
    <n v="22"/>
    <n v="2.5"/>
    <n v="3.7"/>
    <s v="Low"/>
    <n v="53.03"/>
  </r>
  <r>
    <s v="EMP0492"/>
    <x v="3"/>
    <s v="Content Specialist"/>
    <n v="22"/>
    <n v="0"/>
    <n v="80575"/>
    <n v="50"/>
    <n v="6"/>
    <n v="19"/>
    <n v="20"/>
    <n v="3.5"/>
    <n v="9.9"/>
    <s v="High"/>
    <n v="79.900000000000006"/>
  </r>
  <r>
    <s v="EMP0493"/>
    <x v="2"/>
    <s v="IT Executive"/>
    <n v="53"/>
    <n v="5"/>
    <n v="89513"/>
    <n v="51"/>
    <n v="5"/>
    <n v="12"/>
    <n v="14"/>
    <n v="4.3"/>
    <n v="3.9"/>
    <s v="Low"/>
    <n v="44.63"/>
  </r>
  <r>
    <s v="EMP0494"/>
    <x v="3"/>
    <s v="Content Specialist"/>
    <n v="52"/>
    <n v="1"/>
    <n v="57930"/>
    <n v="46"/>
    <n v="7"/>
    <n v="21"/>
    <n v="11"/>
    <n v="3.4"/>
    <n v="3.8"/>
    <s v="Low"/>
    <n v="44.67"/>
  </r>
  <r>
    <s v="EMP0495"/>
    <x v="3"/>
    <s v="Marketing Executive"/>
    <n v="42"/>
    <n v="0"/>
    <n v="25774"/>
    <n v="41"/>
    <n v="7"/>
    <n v="18"/>
    <n v="6"/>
    <n v="3"/>
    <n v="7.3"/>
    <s v="Medium"/>
    <n v="64.47"/>
  </r>
  <r>
    <s v="EMP0496"/>
    <x v="4"/>
    <s v="HR Executive"/>
    <n v="38"/>
    <n v="7"/>
    <n v="42655"/>
    <n v="50"/>
    <n v="10"/>
    <n v="10"/>
    <n v="23"/>
    <n v="2.6"/>
    <n v="6"/>
    <s v="Medium"/>
    <n v="60.47"/>
  </r>
  <r>
    <s v="EMP0497"/>
    <x v="2"/>
    <s v="Data Analyst"/>
    <n v="45"/>
    <n v="12"/>
    <n v="43325"/>
    <n v="49"/>
    <n v="3"/>
    <n v="18"/>
    <n v="8"/>
    <n v="4.9000000000000004"/>
    <n v="7.8"/>
    <s v="Medium"/>
    <n v="66.5"/>
  </r>
  <r>
    <s v="EMP0498"/>
    <x v="2"/>
    <s v="Software Engineer"/>
    <n v="37"/>
    <n v="13"/>
    <n v="81119"/>
    <n v="47"/>
    <n v="4"/>
    <n v="4"/>
    <n v="9"/>
    <n v="3.4"/>
    <n v="3.1"/>
    <s v="Low"/>
    <n v="35.47"/>
  </r>
  <r>
    <s v="EMP0499"/>
    <x v="3"/>
    <s v="Marketing Analyst"/>
    <n v="30"/>
    <n v="8"/>
    <n v="59995"/>
    <n v="45"/>
    <n v="13"/>
    <n v="15"/>
    <n v="19"/>
    <n v="2.8"/>
    <n v="9"/>
    <s v="High"/>
    <n v="84.07"/>
  </r>
  <r>
    <s v="EMP0500"/>
    <x v="3"/>
    <s v="Content Specialist"/>
    <n v="28"/>
    <n v="2"/>
    <n v="28934"/>
    <n v="41"/>
    <n v="14"/>
    <n v="8"/>
    <n v="30"/>
    <n v="4.5"/>
    <n v="3.7"/>
    <s v="Low"/>
    <n v="59.03"/>
  </r>
  <r>
    <s v="EMP0501"/>
    <x v="2"/>
    <s v="Software Engineer"/>
    <n v="38"/>
    <n v="11"/>
    <n v="48613"/>
    <n v="52"/>
    <n v="9"/>
    <n v="25"/>
    <n v="16"/>
    <n v="3"/>
    <n v="5.9"/>
    <s v="Low"/>
    <n v="59.4"/>
  </r>
  <r>
    <s v="EMP0502"/>
    <x v="1"/>
    <s v="Sales Analyst"/>
    <n v="34"/>
    <n v="9"/>
    <n v="62741"/>
    <n v="55"/>
    <n v="11"/>
    <n v="17"/>
    <n v="11"/>
    <n v="4.9000000000000004"/>
    <n v="5"/>
    <s v="Low"/>
    <n v="63.03"/>
  </r>
  <r>
    <s v="EMP0503"/>
    <x v="1"/>
    <s v="Sales Executive"/>
    <n v="53"/>
    <n v="14"/>
    <n v="83302"/>
    <n v="37"/>
    <n v="7"/>
    <n v="19"/>
    <n v="18"/>
    <n v="3.4"/>
    <n v="9.6999999999999993"/>
    <s v="High"/>
    <n v="80.069999999999993"/>
  </r>
  <r>
    <s v="EMP0504"/>
    <x v="2"/>
    <s v="Software Engineer"/>
    <n v="48"/>
    <n v="12"/>
    <n v="80633"/>
    <n v="37"/>
    <n v="2"/>
    <n v="5"/>
    <n v="21"/>
    <n v="2.7"/>
    <n v="5.2"/>
    <s v="Low"/>
    <n v="42.63"/>
  </r>
  <r>
    <s v="EMP0505"/>
    <x v="2"/>
    <s v="Data Analyst"/>
    <n v="47"/>
    <n v="8"/>
    <n v="83175"/>
    <n v="49"/>
    <n v="13"/>
    <n v="11"/>
    <n v="37"/>
    <n v="3.6"/>
    <n v="6.2"/>
    <s v="Medium"/>
    <n v="69.67"/>
  </r>
  <r>
    <s v="EMP0506"/>
    <x v="4"/>
    <s v="HR Analyst"/>
    <n v="23"/>
    <n v="0"/>
    <n v="72695"/>
    <n v="42"/>
    <n v="11"/>
    <n v="8"/>
    <n v="5"/>
    <n v="2.6"/>
    <n v="5.8"/>
    <s v="Low"/>
    <n v="60.93"/>
  </r>
  <r>
    <s v="EMP0507"/>
    <x v="0"/>
    <s v="Financial Analyst"/>
    <n v="52"/>
    <n v="1"/>
    <n v="26727"/>
    <n v="47"/>
    <n v="9"/>
    <n v="24"/>
    <n v="5"/>
    <n v="2.2999999999999998"/>
    <n v="7.3"/>
    <s v="Medium"/>
    <n v="65.7"/>
  </r>
  <r>
    <s v="EMP0508"/>
    <x v="3"/>
    <s v="Marketing Analyst"/>
    <n v="41"/>
    <n v="7"/>
    <n v="41213"/>
    <n v="44"/>
    <n v="8"/>
    <n v="20"/>
    <n v="8"/>
    <n v="2.4"/>
    <n v="8.9"/>
    <s v="High"/>
    <n v="73.930000000000007"/>
  </r>
  <r>
    <s v="EMP0509"/>
    <x v="0"/>
    <s v="Finance Executive"/>
    <n v="44"/>
    <n v="10"/>
    <n v="81638"/>
    <n v="50"/>
    <n v="8"/>
    <n v="17"/>
    <n v="17"/>
    <n v="3.6"/>
    <n v="3.9"/>
    <s v="Low"/>
    <n v="47.53"/>
  </r>
  <r>
    <s v="EMP0510"/>
    <x v="1"/>
    <s v="Account Manager"/>
    <n v="33"/>
    <n v="9"/>
    <n v="64163"/>
    <n v="49"/>
    <n v="11"/>
    <n v="23"/>
    <n v="40"/>
    <n v="4.5999999999999996"/>
    <n v="6"/>
    <s v="Medium"/>
    <n v="68.13"/>
  </r>
  <r>
    <s v="EMP0511"/>
    <x v="1"/>
    <s v="Sales Analyst"/>
    <n v="41"/>
    <n v="11"/>
    <n v="56565"/>
    <n v="52"/>
    <n v="4"/>
    <n v="25"/>
    <n v="5"/>
    <n v="3.3"/>
    <n v="5.6"/>
    <s v="Low"/>
    <n v="50.17"/>
  </r>
  <r>
    <s v="EMP0512"/>
    <x v="4"/>
    <s v="HR Analyst"/>
    <n v="41"/>
    <n v="0"/>
    <n v="25006"/>
    <n v="51"/>
    <n v="14"/>
    <n v="24"/>
    <n v="8"/>
    <n v="3"/>
    <n v="6.3"/>
    <s v="Medium"/>
    <n v="70.13"/>
  </r>
  <r>
    <s v="EMP0513"/>
    <x v="3"/>
    <s v="Marketing Executive"/>
    <n v="52"/>
    <n v="9"/>
    <n v="25598"/>
    <n v="48"/>
    <n v="13"/>
    <n v="9"/>
    <n v="38"/>
    <n v="2.7"/>
    <n v="3.1"/>
    <s v="Low"/>
    <n v="48.37"/>
  </r>
  <r>
    <s v="EMP0514"/>
    <x v="4"/>
    <s v="HR Analyst"/>
    <n v="48"/>
    <n v="13"/>
    <n v="50870"/>
    <n v="42"/>
    <n v="3"/>
    <n v="22"/>
    <n v="24"/>
    <n v="4.5"/>
    <n v="4.5"/>
    <s v="Low"/>
    <n v="45.5"/>
  </r>
  <r>
    <s v="EMP0515"/>
    <x v="3"/>
    <s v="Marketing Analyst"/>
    <n v="37"/>
    <n v="8"/>
    <n v="43656"/>
    <n v="55"/>
    <n v="12"/>
    <n v="17"/>
    <n v="17"/>
    <n v="3.2"/>
    <n v="9"/>
    <s v="High"/>
    <n v="83.6"/>
  </r>
  <r>
    <s v="EMP0516"/>
    <x v="4"/>
    <s v="HR Executive"/>
    <n v="40"/>
    <n v="3"/>
    <n v="66739"/>
    <n v="49"/>
    <n v="10"/>
    <n v="14"/>
    <n v="17"/>
    <n v="4.0999999999999996"/>
    <n v="6.4"/>
    <s v="Medium"/>
    <n v="67.37"/>
  </r>
  <r>
    <s v="EMP0517"/>
    <x v="0"/>
    <s v="Accountant"/>
    <n v="31"/>
    <n v="0"/>
    <n v="88551"/>
    <n v="52"/>
    <n v="1"/>
    <n v="5"/>
    <n v="6"/>
    <n v="2.8"/>
    <n v="3.9"/>
    <s v="Low"/>
    <n v="33.47"/>
  </r>
  <r>
    <s v="EMP0518"/>
    <x v="0"/>
    <s v="Accountant"/>
    <n v="36"/>
    <n v="2"/>
    <n v="34875"/>
    <n v="35"/>
    <n v="8"/>
    <n v="6"/>
    <n v="21"/>
    <n v="3.3"/>
    <n v="8.5"/>
    <s v="High"/>
    <n v="74.23"/>
  </r>
  <r>
    <s v="EMP0519"/>
    <x v="2"/>
    <s v="Data Analyst"/>
    <n v="51"/>
    <n v="1"/>
    <n v="46643"/>
    <n v="37"/>
    <n v="14"/>
    <n v="24"/>
    <n v="9"/>
    <n v="2.2000000000000002"/>
    <n v="8.4"/>
    <s v="High"/>
    <n v="80.33"/>
  </r>
  <r>
    <s v="EMP0520"/>
    <x v="1"/>
    <s v="Sales Executive"/>
    <n v="52"/>
    <n v="5"/>
    <n v="37595"/>
    <n v="43"/>
    <n v="14"/>
    <n v="12"/>
    <n v="0"/>
    <n v="2.4"/>
    <n v="8.4"/>
    <s v="High"/>
    <n v="80.930000000000007"/>
  </r>
  <r>
    <s v="EMP0521"/>
    <x v="3"/>
    <s v="Marketing Executive"/>
    <n v="50"/>
    <n v="7"/>
    <n v="73340"/>
    <n v="36"/>
    <n v="4"/>
    <n v="14"/>
    <n v="6"/>
    <n v="3.6"/>
    <n v="9.9"/>
    <s v="High"/>
    <n v="76.87"/>
  </r>
  <r>
    <s v="EMP0522"/>
    <x v="3"/>
    <s v="Content Specialist"/>
    <n v="41"/>
    <n v="10"/>
    <n v="35394"/>
    <n v="55"/>
    <n v="12"/>
    <n v="1"/>
    <n v="35"/>
    <n v="3.6"/>
    <n v="4.8"/>
    <s v="Low"/>
    <n v="59.6"/>
  </r>
  <r>
    <s v="EMP0523"/>
    <x v="2"/>
    <s v="Software Engineer"/>
    <n v="34"/>
    <n v="5"/>
    <n v="83164"/>
    <n v="36"/>
    <n v="14"/>
    <n v="21"/>
    <n v="13"/>
    <n v="4.9000000000000004"/>
    <n v="4.7"/>
    <s v="Low"/>
    <n v="66.23"/>
  </r>
  <r>
    <s v="EMP0524"/>
    <x v="2"/>
    <s v="Data Analyst"/>
    <n v="22"/>
    <n v="0"/>
    <n v="77061"/>
    <n v="43"/>
    <n v="10"/>
    <n v="3"/>
    <n v="25"/>
    <n v="4.4000000000000004"/>
    <n v="3.1"/>
    <s v="Low"/>
    <n v="48.47"/>
  </r>
  <r>
    <s v="EMP0525"/>
    <x v="1"/>
    <s v="Account Manager"/>
    <n v="52"/>
    <n v="4"/>
    <n v="49339"/>
    <n v="37"/>
    <n v="4"/>
    <n v="5"/>
    <n v="31"/>
    <n v="2.2999999999999998"/>
    <n v="7.3"/>
    <s v="Medium"/>
    <n v="57.37"/>
  </r>
  <r>
    <s v="EMP0526"/>
    <x v="0"/>
    <s v="Finance Executive"/>
    <n v="25"/>
    <n v="2"/>
    <n v="67242"/>
    <n v="39"/>
    <n v="12"/>
    <n v="17"/>
    <n v="6"/>
    <n v="2.4"/>
    <n v="4.5999999999999996"/>
    <s v="Low"/>
    <n v="54.8"/>
  </r>
  <r>
    <s v="EMP0527"/>
    <x v="2"/>
    <s v="IT Executive"/>
    <n v="50"/>
    <n v="6"/>
    <n v="26399"/>
    <n v="47"/>
    <n v="6"/>
    <n v="23"/>
    <n v="8"/>
    <n v="2.8"/>
    <n v="3.3"/>
    <s v="Low"/>
    <n v="38.200000000000003"/>
  </r>
  <r>
    <s v="EMP0528"/>
    <x v="3"/>
    <s v="Content Specialist"/>
    <n v="40"/>
    <n v="15"/>
    <n v="37437"/>
    <n v="53"/>
    <n v="3"/>
    <n v="17"/>
    <n v="22"/>
    <n v="3"/>
    <n v="6.3"/>
    <s v="Medium"/>
    <n v="51.8"/>
  </r>
  <r>
    <s v="EMP0529"/>
    <x v="1"/>
    <s v="Account Manager"/>
    <n v="32"/>
    <n v="1"/>
    <n v="59808"/>
    <n v="39"/>
    <n v="8"/>
    <n v="9"/>
    <n v="16"/>
    <n v="3.6"/>
    <n v="6.2"/>
    <s v="Medium"/>
    <n v="61.33"/>
  </r>
  <r>
    <s v="EMP0530"/>
    <x v="1"/>
    <s v="Account Manager"/>
    <n v="46"/>
    <n v="5"/>
    <n v="82863"/>
    <n v="35"/>
    <n v="10"/>
    <n v="11"/>
    <n v="39"/>
    <n v="2.7"/>
    <n v="8"/>
    <s v="High"/>
    <n v="72.77"/>
  </r>
  <r>
    <s v="EMP0531"/>
    <x v="1"/>
    <s v="Account Manager"/>
    <n v="46"/>
    <n v="6"/>
    <n v="59345"/>
    <n v="50"/>
    <n v="13"/>
    <n v="17"/>
    <n v="9"/>
    <n v="3.8"/>
    <n v="5.3"/>
    <s v="Low"/>
    <n v="64.87"/>
  </r>
  <r>
    <s v="EMP0532"/>
    <x v="2"/>
    <s v="Software Engineer"/>
    <n v="29"/>
    <n v="1"/>
    <n v="59288"/>
    <n v="37"/>
    <n v="1"/>
    <n v="4"/>
    <n v="11"/>
    <n v="4.5999999999999996"/>
    <n v="4.4000000000000004"/>
    <s v="Low"/>
    <n v="41.87"/>
  </r>
  <r>
    <s v="EMP0533"/>
    <x v="4"/>
    <s v="HR Executive"/>
    <n v="28"/>
    <n v="0"/>
    <n v="62421"/>
    <n v="55"/>
    <n v="14"/>
    <n v="12"/>
    <n v="31"/>
    <n v="3.6"/>
    <n v="7.9"/>
    <s v="Medium"/>
    <n v="81.53"/>
  </r>
  <r>
    <s v="EMP0534"/>
    <x v="0"/>
    <s v="Accountant"/>
    <n v="45"/>
    <n v="7"/>
    <n v="64711"/>
    <n v="37"/>
    <n v="1"/>
    <n v="6"/>
    <n v="31"/>
    <n v="4.8"/>
    <n v="8.8000000000000007"/>
    <s v="High"/>
    <n v="68.87"/>
  </r>
  <r>
    <s v="EMP0535"/>
    <x v="0"/>
    <s v="Financial Analyst"/>
    <n v="45"/>
    <n v="13"/>
    <n v="78872"/>
    <n v="46"/>
    <n v="13"/>
    <n v="22"/>
    <n v="3"/>
    <n v="4.5"/>
    <n v="4.9000000000000004"/>
    <s v="Low"/>
    <n v="64.569999999999993"/>
  </r>
  <r>
    <s v="EMP0536"/>
    <x v="0"/>
    <s v="Financial Analyst"/>
    <n v="41"/>
    <n v="2"/>
    <n v="86905"/>
    <n v="41"/>
    <n v="9"/>
    <n v="3"/>
    <n v="6"/>
    <n v="4.2"/>
    <n v="6.7"/>
    <s v="Medium"/>
    <n v="67.8"/>
  </r>
  <r>
    <s v="EMP0537"/>
    <x v="4"/>
    <s v="Recruiter"/>
    <n v="55"/>
    <n v="7"/>
    <n v="62357"/>
    <n v="55"/>
    <n v="3"/>
    <n v="17"/>
    <n v="35"/>
    <n v="3.2"/>
    <n v="3.7"/>
    <s v="Low"/>
    <n v="36.799999999999997"/>
  </r>
  <r>
    <s v="EMP0538"/>
    <x v="1"/>
    <s v="Account Manager"/>
    <n v="44"/>
    <n v="14"/>
    <n v="71042"/>
    <n v="48"/>
    <n v="15"/>
    <n v="3"/>
    <n v="10"/>
    <n v="4.4000000000000004"/>
    <n v="6.8"/>
    <s v="Medium"/>
    <n v="79"/>
  </r>
  <r>
    <s v="EMP0539"/>
    <x v="2"/>
    <s v="Software Engineer"/>
    <n v="32"/>
    <n v="8"/>
    <n v="64316"/>
    <n v="49"/>
    <n v="15"/>
    <n v="11"/>
    <n v="20"/>
    <n v="3.7"/>
    <n v="10"/>
    <s v="High"/>
    <n v="96.1"/>
  </r>
  <r>
    <s v="EMP0540"/>
    <x v="3"/>
    <s v="Content Specialist"/>
    <n v="49"/>
    <n v="10"/>
    <n v="64872"/>
    <n v="42"/>
    <n v="10"/>
    <n v="17"/>
    <n v="13"/>
    <n v="3.1"/>
    <n v="6.9"/>
    <s v="Medium"/>
    <n v="67.37"/>
  </r>
  <r>
    <s v="EMP0541"/>
    <x v="2"/>
    <s v="IT Executive"/>
    <n v="45"/>
    <n v="14"/>
    <n v="54327"/>
    <n v="47"/>
    <n v="1"/>
    <n v="23"/>
    <n v="2"/>
    <n v="4.9000000000000004"/>
    <n v="7.2"/>
    <s v="Medium"/>
    <n v="59.57"/>
  </r>
  <r>
    <s v="EMP0542"/>
    <x v="4"/>
    <s v="HR Executive"/>
    <n v="41"/>
    <n v="0"/>
    <n v="44682"/>
    <n v="42"/>
    <n v="4"/>
    <n v="10"/>
    <n v="1"/>
    <n v="4.3"/>
    <n v="9.6"/>
    <s v="High"/>
    <n v="77.17"/>
  </r>
  <r>
    <s v="EMP0543"/>
    <x v="1"/>
    <s v="Account Manager"/>
    <n v="54"/>
    <n v="4"/>
    <n v="31179"/>
    <n v="36"/>
    <n v="8"/>
    <n v="11"/>
    <n v="9"/>
    <n v="2.4"/>
    <n v="5.6"/>
    <s v="Low"/>
    <n v="54.13"/>
  </r>
  <r>
    <s v="EMP0544"/>
    <x v="4"/>
    <s v="HR Analyst"/>
    <n v="36"/>
    <n v="8"/>
    <n v="78154"/>
    <n v="44"/>
    <n v="2"/>
    <n v="18"/>
    <n v="25"/>
    <n v="3.7"/>
    <n v="4.5"/>
    <s v="Low"/>
    <n v="41.43"/>
  </r>
  <r>
    <s v="EMP0545"/>
    <x v="2"/>
    <s v="IT Executive"/>
    <n v="52"/>
    <n v="5"/>
    <n v="56999"/>
    <n v="53"/>
    <n v="14"/>
    <n v="3"/>
    <n v="38"/>
    <n v="3.9"/>
    <n v="3.3"/>
    <s v="Low"/>
    <n v="54.83"/>
  </r>
  <r>
    <s v="EMP0546"/>
    <x v="3"/>
    <s v="Marketing Analyst"/>
    <n v="27"/>
    <n v="6"/>
    <n v="28664"/>
    <n v="45"/>
    <n v="6"/>
    <n v="13"/>
    <n v="26"/>
    <n v="4.8"/>
    <n v="3.8"/>
    <s v="Low"/>
    <n v="47.2"/>
  </r>
  <r>
    <s v="EMP0547"/>
    <x v="1"/>
    <s v="Account Manager"/>
    <n v="22"/>
    <n v="1"/>
    <n v="28547"/>
    <n v="44"/>
    <n v="9"/>
    <n v="1"/>
    <n v="20"/>
    <n v="3.6"/>
    <n v="4"/>
    <s v="Low"/>
    <n v="49.8"/>
  </r>
  <r>
    <s v="EMP0548"/>
    <x v="4"/>
    <s v="HR Executive"/>
    <n v="31"/>
    <n v="0"/>
    <n v="69147"/>
    <n v="47"/>
    <n v="8"/>
    <n v="24"/>
    <n v="38"/>
    <n v="3.7"/>
    <n v="3.6"/>
    <s v="Low"/>
    <n v="46.03"/>
  </r>
  <r>
    <s v="EMP0549"/>
    <x v="2"/>
    <s v="Software Engineer"/>
    <n v="47"/>
    <n v="4"/>
    <n v="33663"/>
    <n v="45"/>
    <n v="2"/>
    <n v="15"/>
    <n v="36"/>
    <n v="4.2"/>
    <n v="6.8"/>
    <s v="Medium"/>
    <n v="56.73"/>
  </r>
  <r>
    <s v="EMP0550"/>
    <x v="0"/>
    <s v="Finance Executive"/>
    <n v="47"/>
    <n v="13"/>
    <n v="75713"/>
    <n v="39"/>
    <n v="13"/>
    <n v="4"/>
    <n v="30"/>
    <n v="3.7"/>
    <n v="6.4"/>
    <s v="Medium"/>
    <n v="71.17"/>
  </r>
  <r>
    <s v="EMP0551"/>
    <x v="1"/>
    <s v="Account Manager"/>
    <n v="34"/>
    <n v="8"/>
    <n v="65369"/>
    <n v="51"/>
    <n v="4"/>
    <n v="7"/>
    <n v="4"/>
    <n v="2.8"/>
    <n v="6"/>
    <s v="Medium"/>
    <n v="51.07"/>
  </r>
  <r>
    <s v="EMP0552"/>
    <x v="1"/>
    <s v="Account Manager"/>
    <n v="27"/>
    <n v="0"/>
    <n v="69023"/>
    <n v="48"/>
    <n v="7"/>
    <n v="11"/>
    <n v="22"/>
    <n v="2.6"/>
    <n v="5.4"/>
    <s v="Low"/>
    <n v="51.87"/>
  </r>
  <r>
    <s v="EMP0553"/>
    <x v="0"/>
    <s v="Financial Analyst"/>
    <n v="41"/>
    <n v="5"/>
    <n v="89726"/>
    <n v="46"/>
    <n v="10"/>
    <n v="25"/>
    <n v="28"/>
    <n v="3.9"/>
    <n v="6.1"/>
    <s v="Medium"/>
    <n v="64.97"/>
  </r>
  <r>
    <s v="EMP0554"/>
    <x v="4"/>
    <s v="HR Analyst"/>
    <n v="45"/>
    <n v="4"/>
    <n v="74658"/>
    <n v="37"/>
    <n v="2"/>
    <n v="23"/>
    <n v="3"/>
    <n v="2.7"/>
    <n v="7.3"/>
    <s v="Medium"/>
    <n v="55.23"/>
  </r>
  <r>
    <s v="EMP0555"/>
    <x v="2"/>
    <s v="IT Executive"/>
    <n v="22"/>
    <n v="1"/>
    <n v="70468"/>
    <n v="38"/>
    <n v="5"/>
    <n v="14"/>
    <n v="30"/>
    <n v="2.1"/>
    <n v="4.5"/>
    <s v="Low"/>
    <n v="41.63"/>
  </r>
  <r>
    <s v="EMP0556"/>
    <x v="4"/>
    <s v="Recruiter"/>
    <n v="35"/>
    <n v="8"/>
    <n v="59292"/>
    <n v="43"/>
    <n v="9"/>
    <n v="15"/>
    <n v="39"/>
    <n v="4.2"/>
    <n v="4"/>
    <s v="Low"/>
    <n v="51.6"/>
  </r>
  <r>
    <s v="EMP0557"/>
    <x v="0"/>
    <s v="Financial Analyst"/>
    <n v="46"/>
    <n v="1"/>
    <n v="41741"/>
    <n v="40"/>
    <n v="1"/>
    <n v="9"/>
    <n v="12"/>
    <n v="4.4000000000000004"/>
    <n v="7.3"/>
    <s v="Medium"/>
    <n v="58.67"/>
  </r>
  <r>
    <s v="EMP0558"/>
    <x v="3"/>
    <s v="Content Specialist"/>
    <n v="22"/>
    <n v="0"/>
    <n v="50470"/>
    <n v="43"/>
    <n v="11"/>
    <n v="21"/>
    <n v="23"/>
    <n v="4.5999999999999996"/>
    <n v="3.1"/>
    <s v="Low"/>
    <n v="50.73"/>
  </r>
  <r>
    <s v="EMP0559"/>
    <x v="3"/>
    <s v="Marketing Analyst"/>
    <n v="36"/>
    <n v="12"/>
    <n v="58327"/>
    <n v="38"/>
    <n v="15"/>
    <n v="10"/>
    <n v="31"/>
    <n v="4.5999999999999996"/>
    <n v="6.7"/>
    <s v="Medium"/>
    <n v="79"/>
  </r>
  <r>
    <s v="EMP0560"/>
    <x v="4"/>
    <s v="Recruiter"/>
    <n v="54"/>
    <n v="14"/>
    <n v="61745"/>
    <n v="35"/>
    <n v="1"/>
    <n v="7"/>
    <n v="33"/>
    <n v="2.9"/>
    <n v="6.4"/>
    <s v="Medium"/>
    <n v="48.77"/>
  </r>
  <r>
    <s v="EMP0561"/>
    <x v="4"/>
    <s v="Recruiter"/>
    <n v="23"/>
    <n v="1"/>
    <n v="69847"/>
    <n v="46"/>
    <n v="6"/>
    <n v="20"/>
    <n v="19"/>
    <n v="2.7"/>
    <n v="9.8000000000000007"/>
    <s v="High"/>
    <n v="76.900000000000006"/>
  </r>
  <r>
    <s v="EMP0562"/>
    <x v="2"/>
    <s v="Software Engineer"/>
    <n v="25"/>
    <n v="2"/>
    <n v="82584"/>
    <n v="47"/>
    <n v="15"/>
    <n v="0"/>
    <n v="35"/>
    <n v="4.8"/>
    <n v="4.5999999999999996"/>
    <s v="Low"/>
    <n v="67"/>
  </r>
  <r>
    <s v="EMP0563"/>
    <x v="3"/>
    <s v="Marketing Executive"/>
    <n v="30"/>
    <n v="1"/>
    <n v="72834"/>
    <n v="47"/>
    <n v="9"/>
    <n v="21"/>
    <n v="39"/>
    <n v="4.5999999999999996"/>
    <n v="7.8"/>
    <s v="Medium"/>
    <n v="75.599999999999994"/>
  </r>
  <r>
    <s v="EMP0564"/>
    <x v="4"/>
    <s v="Recruiter"/>
    <n v="31"/>
    <n v="6"/>
    <n v="88605"/>
    <n v="44"/>
    <n v="15"/>
    <n v="19"/>
    <n v="21"/>
    <n v="3.3"/>
    <n v="3.9"/>
    <s v="Low"/>
    <n v="58.3"/>
  </r>
  <r>
    <s v="EMP0565"/>
    <x v="4"/>
    <s v="HR Analyst"/>
    <n v="34"/>
    <n v="13"/>
    <n v="34051"/>
    <n v="44"/>
    <n v="12"/>
    <n v="22"/>
    <n v="33"/>
    <n v="4.7"/>
    <n v="6"/>
    <s v="Medium"/>
    <n v="70.099999999999994"/>
  </r>
  <r>
    <s v="EMP0566"/>
    <x v="1"/>
    <s v="Sales Executive"/>
    <n v="32"/>
    <n v="5"/>
    <n v="29444"/>
    <n v="52"/>
    <n v="9"/>
    <n v="23"/>
    <n v="7"/>
    <n v="2.6"/>
    <n v="8.9"/>
    <s v="High"/>
    <n v="76.2"/>
  </r>
  <r>
    <s v="EMP0567"/>
    <x v="0"/>
    <s v="Financial Analyst"/>
    <n v="42"/>
    <n v="13"/>
    <n v="87992"/>
    <n v="48"/>
    <n v="5"/>
    <n v="14"/>
    <n v="40"/>
    <n v="4.8"/>
    <n v="4.9000000000000004"/>
    <s v="Low"/>
    <n v="52.13"/>
  </r>
  <r>
    <s v="EMP0568"/>
    <x v="0"/>
    <s v="Financial Analyst"/>
    <n v="30"/>
    <n v="2"/>
    <n v="26716"/>
    <n v="54"/>
    <n v="10"/>
    <n v="8"/>
    <n v="38"/>
    <n v="3.7"/>
    <n v="4.5999999999999996"/>
    <s v="Low"/>
    <n v="55.37"/>
  </r>
  <r>
    <s v="EMP0569"/>
    <x v="4"/>
    <s v="HR Analyst"/>
    <n v="23"/>
    <n v="1"/>
    <n v="30208"/>
    <n v="50"/>
    <n v="3"/>
    <n v="16"/>
    <n v="38"/>
    <n v="3.4"/>
    <n v="7.5"/>
    <s v="Medium"/>
    <n v="60.2"/>
  </r>
  <r>
    <s v="EMP0570"/>
    <x v="3"/>
    <s v="Marketing Executive"/>
    <n v="53"/>
    <n v="15"/>
    <n v="34012"/>
    <n v="40"/>
    <n v="4"/>
    <n v="7"/>
    <n v="2"/>
    <n v="3.2"/>
    <n v="9.8000000000000007"/>
    <s v="High"/>
    <n v="75.069999999999993"/>
  </r>
  <r>
    <s v="EMP0571"/>
    <x v="3"/>
    <s v="Marketing Executive"/>
    <n v="36"/>
    <n v="6"/>
    <n v="74661"/>
    <n v="41"/>
    <n v="2"/>
    <n v="5"/>
    <n v="28"/>
    <n v="4.5999999999999996"/>
    <n v="6.4"/>
    <s v="Medium"/>
    <n v="55.53"/>
  </r>
  <r>
    <s v="EMP0572"/>
    <x v="3"/>
    <s v="Content Specialist"/>
    <n v="37"/>
    <n v="13"/>
    <n v="51533"/>
    <n v="36"/>
    <n v="10"/>
    <n v="23"/>
    <n v="24"/>
    <n v="4.2"/>
    <n v="5.8"/>
    <s v="Low"/>
    <n v="64.069999999999993"/>
  </r>
  <r>
    <s v="EMP0573"/>
    <x v="1"/>
    <s v="Account Manager"/>
    <n v="55"/>
    <n v="1"/>
    <n v="59121"/>
    <n v="38"/>
    <n v="8"/>
    <n v="14"/>
    <n v="2"/>
    <n v="4.5999999999999996"/>
    <n v="4.7"/>
    <s v="Low"/>
    <n v="55.33"/>
  </r>
  <r>
    <s v="EMP0574"/>
    <x v="3"/>
    <s v="Marketing Executive"/>
    <n v="24"/>
    <n v="3"/>
    <n v="58824"/>
    <n v="55"/>
    <n v="1"/>
    <n v="6"/>
    <n v="18"/>
    <n v="3.3"/>
    <n v="9.1999999999999993"/>
    <s v="High"/>
    <n v="66.77"/>
  </r>
  <r>
    <s v="EMP0575"/>
    <x v="3"/>
    <s v="Content Specialist"/>
    <n v="32"/>
    <n v="6"/>
    <n v="44295"/>
    <n v="54"/>
    <n v="15"/>
    <n v="1"/>
    <n v="33"/>
    <n v="4.7"/>
    <n v="6.2"/>
    <s v="Medium"/>
    <n v="76.3"/>
  </r>
  <r>
    <s v="EMP0576"/>
    <x v="3"/>
    <s v="Marketing Analyst"/>
    <n v="27"/>
    <n v="5"/>
    <n v="57811"/>
    <n v="38"/>
    <n v="3"/>
    <n v="24"/>
    <n v="37"/>
    <n v="4.8"/>
    <n v="7.9"/>
    <s v="Medium"/>
    <n v="66.8"/>
  </r>
  <r>
    <s v="EMP0577"/>
    <x v="3"/>
    <s v="Marketing Executive"/>
    <n v="48"/>
    <n v="10"/>
    <n v="54549"/>
    <n v="35"/>
    <n v="3"/>
    <n v="14"/>
    <n v="37"/>
    <n v="4.7"/>
    <n v="9.3000000000000007"/>
    <s v="High"/>
    <n v="74.900000000000006"/>
  </r>
  <r>
    <s v="EMP0578"/>
    <x v="0"/>
    <s v="Financial Analyst"/>
    <n v="38"/>
    <n v="10"/>
    <n v="70332"/>
    <n v="55"/>
    <n v="15"/>
    <n v="22"/>
    <n v="10"/>
    <n v="4.2"/>
    <n v="3.9"/>
    <s v="Low"/>
    <n v="61"/>
  </r>
  <r>
    <s v="EMP0579"/>
    <x v="3"/>
    <s v="Content Specialist"/>
    <n v="45"/>
    <n v="2"/>
    <n v="59328"/>
    <n v="47"/>
    <n v="12"/>
    <n v="25"/>
    <n v="32"/>
    <n v="3.8"/>
    <n v="4.0999999999999996"/>
    <s v="Low"/>
    <n v="56"/>
  </r>
  <r>
    <s v="EMP0580"/>
    <x v="3"/>
    <s v="Content Specialist"/>
    <n v="24"/>
    <n v="1"/>
    <n v="84785"/>
    <n v="45"/>
    <n v="10"/>
    <n v="21"/>
    <n v="9"/>
    <n v="2.5"/>
    <n v="4"/>
    <s v="Low"/>
    <n v="48.17"/>
  </r>
  <r>
    <s v="EMP0581"/>
    <x v="0"/>
    <s v="Financial Analyst"/>
    <n v="48"/>
    <n v="9"/>
    <n v="45284"/>
    <n v="49"/>
    <n v="5"/>
    <n v="20"/>
    <n v="11"/>
    <n v="2.4"/>
    <n v="3.9"/>
    <s v="Low"/>
    <n v="38.93"/>
  </r>
  <r>
    <s v="EMP0582"/>
    <x v="0"/>
    <s v="Accountant"/>
    <n v="38"/>
    <n v="0"/>
    <n v="55057"/>
    <n v="50"/>
    <n v="14"/>
    <n v="15"/>
    <n v="34"/>
    <n v="4.4000000000000004"/>
    <n v="7.3"/>
    <s v="Medium"/>
    <n v="80.33"/>
  </r>
  <r>
    <s v="EMP0583"/>
    <x v="4"/>
    <s v="HR Analyst"/>
    <n v="35"/>
    <n v="9"/>
    <n v="68219"/>
    <n v="50"/>
    <n v="8"/>
    <n v="13"/>
    <n v="28"/>
    <n v="2.2000000000000002"/>
    <n v="7.2"/>
    <s v="Medium"/>
    <n v="63.13"/>
  </r>
  <r>
    <s v="EMP0584"/>
    <x v="1"/>
    <s v="Account Manager"/>
    <n v="39"/>
    <n v="6"/>
    <n v="28205"/>
    <n v="40"/>
    <n v="3"/>
    <n v="1"/>
    <n v="22"/>
    <n v="2.1"/>
    <n v="9"/>
    <s v="High"/>
    <n v="65.3"/>
  </r>
  <r>
    <s v="EMP0585"/>
    <x v="1"/>
    <s v="Sales Analyst"/>
    <n v="41"/>
    <n v="10"/>
    <n v="85318"/>
    <n v="37"/>
    <n v="1"/>
    <n v="3"/>
    <n v="26"/>
    <n v="5"/>
    <n v="4.0999999999999996"/>
    <s v="Low"/>
    <n v="41.27"/>
  </r>
  <r>
    <s v="EMP0586"/>
    <x v="1"/>
    <s v="Sales Analyst"/>
    <n v="33"/>
    <n v="7"/>
    <n v="74108"/>
    <n v="53"/>
    <n v="6"/>
    <n v="1"/>
    <n v="5"/>
    <n v="4.3"/>
    <n v="5.3"/>
    <s v="Low"/>
    <n v="54.7"/>
  </r>
  <r>
    <s v="EMP0587"/>
    <x v="0"/>
    <s v="Financial Analyst"/>
    <n v="49"/>
    <n v="2"/>
    <n v="44191"/>
    <n v="50"/>
    <n v="3"/>
    <n v="3"/>
    <n v="17"/>
    <n v="3"/>
    <n v="5.9"/>
    <s v="Low"/>
    <n v="49.4"/>
  </r>
  <r>
    <s v="EMP0588"/>
    <x v="4"/>
    <s v="Recruiter"/>
    <n v="25"/>
    <n v="0"/>
    <n v="62445"/>
    <n v="55"/>
    <n v="9"/>
    <n v="2"/>
    <n v="30"/>
    <n v="4.2"/>
    <n v="7.2"/>
    <s v="Medium"/>
    <n v="70.8"/>
  </r>
  <r>
    <s v="EMP0589"/>
    <x v="2"/>
    <s v="Software Engineer"/>
    <n v="49"/>
    <n v="10"/>
    <n v="42017"/>
    <n v="51"/>
    <n v="10"/>
    <n v="19"/>
    <n v="22"/>
    <n v="4.8"/>
    <n v="7.3"/>
    <s v="Medium"/>
    <n v="74.87"/>
  </r>
  <r>
    <s v="EMP0590"/>
    <x v="1"/>
    <s v="Sales Executive"/>
    <n v="53"/>
    <n v="15"/>
    <n v="77951"/>
    <n v="40"/>
    <n v="15"/>
    <n v="19"/>
    <n v="14"/>
    <n v="4.0999999999999996"/>
    <n v="9.9"/>
    <s v="High"/>
    <n v="96.7"/>
  </r>
  <r>
    <s v="EMP0591"/>
    <x v="0"/>
    <s v="Accountant"/>
    <n v="23"/>
    <n v="1"/>
    <n v="65990"/>
    <n v="38"/>
    <n v="12"/>
    <n v="6"/>
    <n v="39"/>
    <n v="5"/>
    <n v="5.9"/>
    <s v="Low"/>
    <n v="70.400000000000006"/>
  </r>
  <r>
    <s v="EMP0592"/>
    <x v="2"/>
    <s v="IT Executive"/>
    <n v="35"/>
    <n v="0"/>
    <n v="66983"/>
    <n v="41"/>
    <n v="12"/>
    <n v="9"/>
    <n v="16"/>
    <n v="4.4000000000000004"/>
    <n v="5.2"/>
    <s v="Low"/>
    <n v="64.400000000000006"/>
  </r>
  <r>
    <s v="EMP0593"/>
    <x v="1"/>
    <s v="Sales Executive"/>
    <n v="42"/>
    <n v="0"/>
    <n v="32460"/>
    <n v="45"/>
    <n v="6"/>
    <n v="12"/>
    <n v="36"/>
    <n v="3.8"/>
    <n v="3.2"/>
    <s v="Low"/>
    <n v="40.6"/>
  </r>
  <r>
    <s v="EMP0594"/>
    <x v="4"/>
    <s v="Recruiter"/>
    <n v="43"/>
    <n v="10"/>
    <n v="85442"/>
    <n v="50"/>
    <n v="15"/>
    <n v="15"/>
    <n v="2"/>
    <n v="3.9"/>
    <n v="6.4"/>
    <s v="Medium"/>
    <n v="75.099999999999994"/>
  </r>
  <r>
    <s v="EMP0595"/>
    <x v="3"/>
    <s v="Content Specialist"/>
    <n v="43"/>
    <n v="14"/>
    <n v="76379"/>
    <n v="48"/>
    <n v="15"/>
    <n v="23"/>
    <n v="3"/>
    <n v="4.5"/>
    <n v="5.0999999999999996"/>
    <s v="Low"/>
    <n v="69.099999999999994"/>
  </r>
  <r>
    <s v="EMP0596"/>
    <x v="2"/>
    <s v="Data Analyst"/>
    <n v="23"/>
    <n v="0"/>
    <n v="62840"/>
    <n v="45"/>
    <n v="13"/>
    <n v="25"/>
    <n v="22"/>
    <n v="2.2000000000000002"/>
    <n v="4"/>
    <s v="Low"/>
    <n v="52.27"/>
  </r>
  <r>
    <s v="EMP0597"/>
    <x v="2"/>
    <s v="Software Engineer"/>
    <n v="46"/>
    <n v="5"/>
    <n v="62419"/>
    <n v="54"/>
    <n v="7"/>
    <n v="5"/>
    <n v="38"/>
    <n v="2.4"/>
    <n v="8.5"/>
    <s v="High"/>
    <n v="69.87"/>
  </r>
  <r>
    <s v="EMP0598"/>
    <x v="2"/>
    <s v="Data Analyst"/>
    <n v="24"/>
    <n v="2"/>
    <n v="52123"/>
    <n v="37"/>
    <n v="8"/>
    <n v="7"/>
    <n v="23"/>
    <n v="3.4"/>
    <n v="9.6999999999999993"/>
    <s v="High"/>
    <n v="81.73"/>
  </r>
  <r>
    <s v="EMP0599"/>
    <x v="1"/>
    <s v="Sales Executive"/>
    <n v="41"/>
    <n v="5"/>
    <n v="32355"/>
    <n v="46"/>
    <n v="13"/>
    <n v="1"/>
    <n v="12"/>
    <n v="4.7"/>
    <n v="6.1"/>
    <s v="Medium"/>
    <n v="72.37"/>
  </r>
  <r>
    <s v="EMP0600"/>
    <x v="3"/>
    <s v="Marketing Analyst"/>
    <n v="54"/>
    <n v="4"/>
    <n v="37465"/>
    <n v="45"/>
    <n v="15"/>
    <n v="15"/>
    <n v="33"/>
    <n v="2.9"/>
    <n v="5.3"/>
    <s v="Low"/>
    <n v="65.5"/>
  </r>
  <r>
    <s v="EMP0601"/>
    <x v="1"/>
    <s v="Sales Executive"/>
    <n v="30"/>
    <n v="3"/>
    <n v="72485"/>
    <n v="36"/>
    <n v="8"/>
    <n v="12"/>
    <n v="33"/>
    <n v="2.2999999999999998"/>
    <n v="5.2"/>
    <s v="Low"/>
    <n v="51.43"/>
  </r>
  <r>
    <s v="EMP0602"/>
    <x v="1"/>
    <s v="Account Manager"/>
    <n v="27"/>
    <n v="2"/>
    <n v="55597"/>
    <n v="36"/>
    <n v="2"/>
    <n v="16"/>
    <n v="19"/>
    <n v="2.1"/>
    <n v="8.3000000000000007"/>
    <s v="High"/>
    <n v="59.43"/>
  </r>
  <r>
    <s v="EMP0603"/>
    <x v="4"/>
    <s v="HR Executive"/>
    <n v="42"/>
    <n v="6"/>
    <n v="37618"/>
    <n v="44"/>
    <n v="5"/>
    <n v="17"/>
    <n v="20"/>
    <n v="4.3"/>
    <n v="7.7"/>
    <s v="Medium"/>
    <n v="67.430000000000007"/>
  </r>
  <r>
    <s v="EMP0604"/>
    <x v="4"/>
    <s v="Recruiter"/>
    <n v="32"/>
    <n v="4"/>
    <n v="32501"/>
    <n v="35"/>
    <n v="10"/>
    <n v="17"/>
    <n v="32"/>
    <n v="2.2999999999999998"/>
    <n v="6.8"/>
    <s v="Medium"/>
    <n v="64.37"/>
  </r>
  <r>
    <s v="EMP0605"/>
    <x v="2"/>
    <s v="Software Engineer"/>
    <n v="39"/>
    <n v="4"/>
    <n v="86818"/>
    <n v="44"/>
    <n v="10"/>
    <n v="7"/>
    <n v="10"/>
    <n v="2.2000000000000002"/>
    <n v="7.3"/>
    <s v="Medium"/>
    <n v="67.069999999999993"/>
  </r>
  <r>
    <s v="EMP0606"/>
    <x v="1"/>
    <s v="Sales Analyst"/>
    <n v="50"/>
    <n v="1"/>
    <n v="33524"/>
    <n v="35"/>
    <n v="8"/>
    <n v="21"/>
    <n v="3"/>
    <n v="2.2999999999999998"/>
    <n v="3.4"/>
    <s v="Low"/>
    <n v="40.630000000000003"/>
  </r>
  <r>
    <s v="EMP0607"/>
    <x v="3"/>
    <s v="Marketing Analyst"/>
    <n v="33"/>
    <n v="11"/>
    <n v="64067"/>
    <n v="53"/>
    <n v="11"/>
    <n v="22"/>
    <n v="28"/>
    <n v="3.8"/>
    <n v="5.2"/>
    <s v="Low"/>
    <n v="60.93"/>
  </r>
  <r>
    <s v="EMP0608"/>
    <x v="1"/>
    <s v="Sales Analyst"/>
    <n v="27"/>
    <n v="6"/>
    <n v="75097"/>
    <n v="49"/>
    <n v="10"/>
    <n v="4"/>
    <n v="5"/>
    <n v="4.4000000000000004"/>
    <n v="9.4"/>
    <s v="High"/>
    <n v="86.27"/>
  </r>
  <r>
    <s v="EMP0609"/>
    <x v="0"/>
    <s v="Financial Analyst"/>
    <n v="51"/>
    <n v="9"/>
    <n v="69857"/>
    <n v="55"/>
    <n v="12"/>
    <n v="24"/>
    <n v="29"/>
    <n v="3.4"/>
    <n v="9.6"/>
    <s v="High"/>
    <n v="87.8"/>
  </r>
  <r>
    <s v="EMP0610"/>
    <x v="1"/>
    <s v="Sales Analyst"/>
    <n v="38"/>
    <n v="11"/>
    <n v="50695"/>
    <n v="40"/>
    <n v="12"/>
    <n v="21"/>
    <n v="21"/>
    <n v="4.4000000000000004"/>
    <n v="9.1999999999999993"/>
    <s v="High"/>
    <n v="88.4"/>
  </r>
  <r>
    <s v="EMP0611"/>
    <x v="3"/>
    <s v="Marketing Executive"/>
    <n v="23"/>
    <n v="0"/>
    <n v="56151"/>
    <n v="38"/>
    <n v="6"/>
    <n v="15"/>
    <n v="29"/>
    <n v="4.5"/>
    <n v="5"/>
    <s v="Low"/>
    <n v="53.5"/>
  </r>
  <r>
    <s v="EMP0612"/>
    <x v="1"/>
    <s v="Sales Analyst"/>
    <n v="30"/>
    <n v="8"/>
    <n v="31745"/>
    <n v="47"/>
    <n v="14"/>
    <n v="22"/>
    <n v="6"/>
    <n v="3"/>
    <n v="7.5"/>
    <s v="Medium"/>
    <n v="77.33"/>
  </r>
  <r>
    <s v="EMP0613"/>
    <x v="1"/>
    <s v="Sales Analyst"/>
    <n v="51"/>
    <n v="12"/>
    <n v="63701"/>
    <n v="48"/>
    <n v="4"/>
    <n v="19"/>
    <n v="15"/>
    <n v="3.6"/>
    <n v="9.8000000000000007"/>
    <s v="High"/>
    <n v="76.27"/>
  </r>
  <r>
    <s v="EMP0614"/>
    <x v="0"/>
    <s v="Finance Executive"/>
    <n v="43"/>
    <n v="6"/>
    <n v="78340"/>
    <n v="53"/>
    <n v="7"/>
    <n v="25"/>
    <n v="27"/>
    <n v="3.7"/>
    <n v="5.4"/>
    <s v="Low"/>
    <n v="55.17"/>
  </r>
  <r>
    <s v="EMP0615"/>
    <x v="4"/>
    <s v="Recruiter"/>
    <n v="33"/>
    <n v="10"/>
    <n v="68883"/>
    <n v="37"/>
    <n v="12"/>
    <n v="22"/>
    <n v="36"/>
    <n v="4.5"/>
    <n v="3.8"/>
    <s v="Low"/>
    <n v="56.3"/>
  </r>
  <r>
    <s v="EMP0616"/>
    <x v="3"/>
    <s v="Content Specialist"/>
    <n v="42"/>
    <n v="3"/>
    <n v="78872"/>
    <n v="49"/>
    <n v="3"/>
    <n v="9"/>
    <n v="25"/>
    <n v="2.2000000000000002"/>
    <n v="3.8"/>
    <s v="Low"/>
    <n v="34.4"/>
  </r>
  <r>
    <s v="EMP0617"/>
    <x v="3"/>
    <s v="Content Specialist"/>
    <n v="42"/>
    <n v="15"/>
    <n v="67270"/>
    <n v="36"/>
    <n v="2"/>
    <n v="6"/>
    <n v="8"/>
    <n v="4.7"/>
    <n v="9.3000000000000007"/>
    <s v="High"/>
    <n v="73.23"/>
  </r>
  <r>
    <s v="EMP0618"/>
    <x v="0"/>
    <s v="Financial Analyst"/>
    <n v="31"/>
    <n v="10"/>
    <n v="34779"/>
    <n v="49"/>
    <n v="9"/>
    <n v="9"/>
    <n v="24"/>
    <n v="3.8"/>
    <n v="6.1"/>
    <s v="Medium"/>
    <n v="63"/>
  </r>
  <r>
    <s v="EMP0619"/>
    <x v="2"/>
    <s v="IT Executive"/>
    <n v="41"/>
    <n v="9"/>
    <n v="85194"/>
    <n v="48"/>
    <n v="12"/>
    <n v="11"/>
    <n v="5"/>
    <n v="3.7"/>
    <n v="7.3"/>
    <s v="Medium"/>
    <n v="74.900000000000006"/>
  </r>
  <r>
    <s v="EMP0620"/>
    <x v="3"/>
    <s v="Marketing Executive"/>
    <n v="30"/>
    <n v="4"/>
    <n v="29090"/>
    <n v="46"/>
    <n v="15"/>
    <n v="17"/>
    <n v="3"/>
    <n v="2"/>
    <n v="6.9"/>
    <s v="Medium"/>
    <n v="72.400000000000006"/>
  </r>
  <r>
    <s v="EMP0621"/>
    <x v="0"/>
    <s v="Accountant"/>
    <n v="40"/>
    <n v="0"/>
    <n v="40416"/>
    <n v="48"/>
    <n v="12"/>
    <n v="18"/>
    <n v="25"/>
    <n v="3.9"/>
    <n v="8"/>
    <s v="High"/>
    <n v="79.7"/>
  </r>
  <r>
    <s v="EMP0622"/>
    <x v="3"/>
    <s v="Marketing Executive"/>
    <n v="49"/>
    <n v="6"/>
    <n v="68416"/>
    <n v="40"/>
    <n v="8"/>
    <n v="4"/>
    <n v="12"/>
    <n v="3.7"/>
    <n v="8.9"/>
    <s v="High"/>
    <n v="77.83"/>
  </r>
  <r>
    <s v="EMP0623"/>
    <x v="3"/>
    <s v="Marketing Executive"/>
    <n v="31"/>
    <n v="4"/>
    <n v="82195"/>
    <n v="39"/>
    <n v="3"/>
    <n v="0"/>
    <n v="4"/>
    <n v="3.9"/>
    <n v="4"/>
    <s v="Low"/>
    <n v="40.700000000000003"/>
  </r>
  <r>
    <s v="EMP0624"/>
    <x v="3"/>
    <s v="Marketing Executive"/>
    <n v="30"/>
    <n v="1"/>
    <n v="33992"/>
    <n v="55"/>
    <n v="13"/>
    <n v="13"/>
    <n v="29"/>
    <n v="4.7"/>
    <n v="7.9"/>
    <s v="Medium"/>
    <n v="83.17"/>
  </r>
  <r>
    <s v="EMP0625"/>
    <x v="1"/>
    <s v="Account Manager"/>
    <n v="33"/>
    <n v="7"/>
    <n v="58385"/>
    <n v="48"/>
    <n v="9"/>
    <n v="14"/>
    <n v="24"/>
    <n v="3.1"/>
    <n v="4.3"/>
    <s v="Low"/>
    <n v="50.1"/>
  </r>
  <r>
    <s v="EMP0626"/>
    <x v="0"/>
    <s v="Financial Analyst"/>
    <n v="53"/>
    <n v="7"/>
    <n v="71670"/>
    <n v="51"/>
    <n v="5"/>
    <n v="13"/>
    <n v="34"/>
    <n v="3.7"/>
    <n v="3.2"/>
    <s v="Low"/>
    <n v="38.630000000000003"/>
  </r>
  <r>
    <s v="EMP0627"/>
    <x v="1"/>
    <s v="Sales Analyst"/>
    <n v="52"/>
    <n v="11"/>
    <n v="32416"/>
    <n v="53"/>
    <n v="8"/>
    <n v="22"/>
    <n v="5"/>
    <n v="2.4"/>
    <n v="8.1"/>
    <s v="High"/>
    <n v="69.13"/>
  </r>
  <r>
    <s v="EMP0628"/>
    <x v="3"/>
    <s v="Content Specialist"/>
    <n v="55"/>
    <n v="2"/>
    <n v="59298"/>
    <n v="54"/>
    <n v="2"/>
    <n v="7"/>
    <n v="30"/>
    <n v="3.9"/>
    <n v="7.6"/>
    <s v="Medium"/>
    <n v="60.63"/>
  </r>
  <r>
    <s v="EMP0629"/>
    <x v="0"/>
    <s v="Accountant"/>
    <n v="41"/>
    <n v="1"/>
    <n v="84217"/>
    <n v="45"/>
    <n v="9"/>
    <n v="24"/>
    <n v="0"/>
    <n v="3.4"/>
    <n v="6.6"/>
    <s v="Medium"/>
    <n v="64.8"/>
  </r>
  <r>
    <s v="EMP0630"/>
    <x v="1"/>
    <s v="Sales Analyst"/>
    <n v="43"/>
    <n v="13"/>
    <n v="48128"/>
    <n v="44"/>
    <n v="5"/>
    <n v="5"/>
    <n v="2"/>
    <n v="4.0999999999999996"/>
    <n v="7.2"/>
    <s v="Medium"/>
    <n v="63.83"/>
  </r>
  <r>
    <s v="EMP0631"/>
    <x v="1"/>
    <s v="Account Manager"/>
    <n v="38"/>
    <n v="1"/>
    <n v="66241"/>
    <n v="50"/>
    <n v="10"/>
    <n v="5"/>
    <n v="36"/>
    <n v="2.2000000000000002"/>
    <n v="9.9"/>
    <s v="High"/>
    <n v="82.67"/>
  </r>
  <r>
    <s v="EMP0632"/>
    <x v="1"/>
    <s v="Sales Executive"/>
    <n v="23"/>
    <n v="1"/>
    <n v="56769"/>
    <n v="37"/>
    <n v="3"/>
    <n v="16"/>
    <n v="4"/>
    <n v="4.5999999999999996"/>
    <n v="4.9000000000000004"/>
    <s v="Low"/>
    <n v="48.2"/>
  </r>
  <r>
    <s v="EMP0633"/>
    <x v="1"/>
    <s v="Account Manager"/>
    <n v="39"/>
    <n v="8"/>
    <n v="81220"/>
    <n v="43"/>
    <n v="1"/>
    <n v="23"/>
    <n v="7"/>
    <n v="3.8"/>
    <n v="9.4"/>
    <s v="High"/>
    <n v="69.47"/>
  </r>
  <r>
    <s v="EMP0634"/>
    <x v="4"/>
    <s v="HR Analyst"/>
    <n v="50"/>
    <n v="11"/>
    <n v="77942"/>
    <n v="40"/>
    <n v="5"/>
    <n v="25"/>
    <n v="15"/>
    <n v="3.5"/>
    <n v="8.6"/>
    <s v="High"/>
    <n v="70.430000000000007"/>
  </r>
  <r>
    <s v="EMP0635"/>
    <x v="2"/>
    <s v="Software Engineer"/>
    <n v="27"/>
    <n v="1"/>
    <n v="64029"/>
    <n v="39"/>
    <n v="14"/>
    <n v="15"/>
    <n v="26"/>
    <n v="4.3"/>
    <n v="4.7"/>
    <s v="Low"/>
    <n v="64.430000000000007"/>
  </r>
  <r>
    <s v="EMP0636"/>
    <x v="4"/>
    <s v="HR Analyst"/>
    <n v="35"/>
    <n v="9"/>
    <n v="73127"/>
    <n v="46"/>
    <n v="1"/>
    <n v="20"/>
    <n v="16"/>
    <n v="4.3"/>
    <n v="3.8"/>
    <s v="Low"/>
    <n v="37.369999999999997"/>
  </r>
  <r>
    <s v="EMP0637"/>
    <x v="3"/>
    <s v="Marketing Executive"/>
    <n v="47"/>
    <n v="15"/>
    <n v="44750"/>
    <n v="50"/>
    <n v="12"/>
    <n v="24"/>
    <n v="34"/>
    <n v="2.7"/>
    <n v="7.8"/>
    <s v="Medium"/>
    <n v="74.900000000000006"/>
  </r>
  <r>
    <s v="EMP0638"/>
    <x v="3"/>
    <s v="Content Specialist"/>
    <n v="38"/>
    <n v="4"/>
    <n v="59763"/>
    <n v="48"/>
    <n v="1"/>
    <n v="9"/>
    <n v="28"/>
    <n v="3.1"/>
    <n v="5.2"/>
    <s v="Low"/>
    <n v="42.17"/>
  </r>
  <r>
    <s v="EMP0639"/>
    <x v="0"/>
    <s v="Financial Analyst"/>
    <n v="28"/>
    <n v="5"/>
    <n v="87664"/>
    <n v="48"/>
    <n v="10"/>
    <n v="20"/>
    <n v="17"/>
    <n v="3"/>
    <n v="4.9000000000000004"/>
    <s v="Low"/>
    <n v="55.07"/>
  </r>
  <r>
    <s v="EMP0640"/>
    <x v="2"/>
    <s v="IT Executive"/>
    <n v="47"/>
    <n v="14"/>
    <n v="75669"/>
    <n v="42"/>
    <n v="12"/>
    <n v="21"/>
    <n v="37"/>
    <n v="4.3"/>
    <n v="6.6"/>
    <s v="Medium"/>
    <n v="72.5"/>
  </r>
  <r>
    <s v="EMP0641"/>
    <x v="4"/>
    <s v="Recruiter"/>
    <n v="42"/>
    <n v="0"/>
    <n v="69092"/>
    <n v="35"/>
    <n v="14"/>
    <n v="2"/>
    <n v="0"/>
    <n v="3.2"/>
    <n v="6.7"/>
    <s v="Medium"/>
    <n v="73.13"/>
  </r>
  <r>
    <s v="EMP0642"/>
    <x v="3"/>
    <s v="Content Specialist"/>
    <n v="44"/>
    <n v="7"/>
    <n v="72530"/>
    <n v="44"/>
    <n v="5"/>
    <n v="6"/>
    <n v="2"/>
    <n v="2.1"/>
    <n v="3.6"/>
    <s v="Low"/>
    <n v="36.229999999999997"/>
  </r>
  <r>
    <s v="EMP0643"/>
    <x v="4"/>
    <s v="HR Analyst"/>
    <n v="29"/>
    <n v="1"/>
    <n v="30661"/>
    <n v="54"/>
    <n v="3"/>
    <n v="12"/>
    <n v="36"/>
    <n v="4.4000000000000004"/>
    <n v="4.3"/>
    <s v="Low"/>
    <n v="44"/>
  </r>
  <r>
    <s v="EMP0644"/>
    <x v="4"/>
    <s v="Recruiter"/>
    <n v="38"/>
    <n v="9"/>
    <n v="55602"/>
    <n v="37"/>
    <n v="11"/>
    <n v="14"/>
    <n v="17"/>
    <n v="4.3"/>
    <n v="7.8"/>
    <s v="Medium"/>
    <n v="78.03"/>
  </r>
  <r>
    <s v="EMP0645"/>
    <x v="2"/>
    <s v="Data Analyst"/>
    <n v="38"/>
    <n v="5"/>
    <n v="76166"/>
    <n v="37"/>
    <n v="5"/>
    <n v="24"/>
    <n v="3"/>
    <n v="3.1"/>
    <n v="5.3"/>
    <s v="Low"/>
    <n v="49.43"/>
  </r>
  <r>
    <s v="EMP0646"/>
    <x v="2"/>
    <s v="Data Analyst"/>
    <n v="38"/>
    <n v="5"/>
    <n v="53873"/>
    <n v="37"/>
    <n v="8"/>
    <n v="6"/>
    <n v="39"/>
    <n v="3.2"/>
    <n v="7.5"/>
    <s v="Medium"/>
    <n v="67.930000000000007"/>
  </r>
  <r>
    <s v="EMP0647"/>
    <x v="4"/>
    <s v="Recruiter"/>
    <n v="49"/>
    <n v="6"/>
    <n v="65236"/>
    <n v="55"/>
    <n v="2"/>
    <n v="14"/>
    <n v="16"/>
    <n v="2.2999999999999998"/>
    <n v="3.5"/>
    <s v="Low"/>
    <n v="31.23"/>
  </r>
  <r>
    <s v="EMP0648"/>
    <x v="2"/>
    <s v="Software Engineer"/>
    <n v="50"/>
    <n v="0"/>
    <n v="83753"/>
    <n v="50"/>
    <n v="3"/>
    <n v="20"/>
    <n v="40"/>
    <n v="2"/>
    <n v="3.3"/>
    <s v="Low"/>
    <n v="30.8"/>
  </r>
  <r>
    <s v="EMP0649"/>
    <x v="2"/>
    <s v="Software Engineer"/>
    <n v="31"/>
    <n v="5"/>
    <n v="84285"/>
    <n v="47"/>
    <n v="10"/>
    <n v="0"/>
    <n v="32"/>
    <n v="4.0999999999999996"/>
    <n v="8.4"/>
    <s v="High"/>
    <n v="79.37"/>
  </r>
  <r>
    <s v="EMP0650"/>
    <x v="3"/>
    <s v="Marketing Executive"/>
    <n v="47"/>
    <n v="2"/>
    <n v="60397"/>
    <n v="42"/>
    <n v="1"/>
    <n v="12"/>
    <n v="30"/>
    <n v="2.4"/>
    <n v="6.7"/>
    <s v="Medium"/>
    <n v="49.07"/>
  </r>
  <r>
    <s v="EMP0651"/>
    <x v="2"/>
    <s v="Data Analyst"/>
    <n v="41"/>
    <n v="12"/>
    <n v="28617"/>
    <n v="55"/>
    <n v="11"/>
    <n v="2"/>
    <n v="23"/>
    <n v="3.6"/>
    <n v="9.6999999999999993"/>
    <s v="High"/>
    <n v="87.33"/>
  </r>
  <r>
    <s v="EMP0652"/>
    <x v="3"/>
    <s v="Marketing Analyst"/>
    <n v="40"/>
    <n v="6"/>
    <n v="36574"/>
    <n v="52"/>
    <n v="1"/>
    <n v="12"/>
    <n v="12"/>
    <n v="2.9"/>
    <n v="5.7"/>
    <s v="Low"/>
    <n v="44.57"/>
  </r>
  <r>
    <s v="EMP0653"/>
    <x v="2"/>
    <s v="IT Executive"/>
    <n v="53"/>
    <n v="2"/>
    <n v="83013"/>
    <n v="55"/>
    <n v="8"/>
    <n v="23"/>
    <n v="12"/>
    <n v="2.4"/>
    <n v="4.4000000000000004"/>
    <s v="Low"/>
    <n v="46.93"/>
  </r>
  <r>
    <s v="EMP0654"/>
    <x v="1"/>
    <s v="Sales Analyst"/>
    <n v="37"/>
    <n v="15"/>
    <n v="50478"/>
    <n v="37"/>
    <n v="13"/>
    <n v="17"/>
    <n v="19"/>
    <n v="3.5"/>
    <n v="9.8000000000000007"/>
    <s v="High"/>
    <n v="90.97"/>
  </r>
  <r>
    <s v="EMP0655"/>
    <x v="0"/>
    <s v="Finance Executive"/>
    <n v="24"/>
    <n v="2"/>
    <n v="28673"/>
    <n v="45"/>
    <n v="13"/>
    <n v="23"/>
    <n v="2"/>
    <n v="3.2"/>
    <n v="4.5"/>
    <s v="Low"/>
    <n v="58.27"/>
  </r>
  <r>
    <s v="EMP0656"/>
    <x v="1"/>
    <s v="Sales Executive"/>
    <n v="51"/>
    <n v="4"/>
    <n v="73565"/>
    <n v="53"/>
    <n v="4"/>
    <n v="2"/>
    <n v="2"/>
    <n v="4.2"/>
    <n v="6.4"/>
    <s v="Medium"/>
    <n v="57.67"/>
  </r>
  <r>
    <s v="EMP0657"/>
    <x v="3"/>
    <s v="Marketing Analyst"/>
    <n v="24"/>
    <n v="1"/>
    <n v="70960"/>
    <n v="55"/>
    <n v="3"/>
    <n v="0"/>
    <n v="11"/>
    <n v="3.9"/>
    <n v="9.3000000000000007"/>
    <s v="High"/>
    <n v="72.5"/>
  </r>
  <r>
    <s v="EMP0658"/>
    <x v="3"/>
    <s v="Marketing Analyst"/>
    <n v="32"/>
    <n v="9"/>
    <n v="29191"/>
    <n v="38"/>
    <n v="2"/>
    <n v="15"/>
    <n v="38"/>
    <n v="4.4000000000000004"/>
    <n v="4.5"/>
    <s v="Low"/>
    <n v="43.53"/>
  </r>
  <r>
    <s v="EMP0659"/>
    <x v="3"/>
    <s v="Marketing Analyst"/>
    <n v="43"/>
    <n v="12"/>
    <n v="46249"/>
    <n v="38"/>
    <n v="11"/>
    <n v="18"/>
    <n v="34"/>
    <n v="2.4"/>
    <n v="8.9"/>
    <s v="High"/>
    <n v="78.930000000000007"/>
  </r>
  <r>
    <s v="EMP0660"/>
    <x v="0"/>
    <s v="Financial Analyst"/>
    <n v="33"/>
    <n v="5"/>
    <n v="29143"/>
    <n v="38"/>
    <n v="5"/>
    <n v="4"/>
    <n v="26"/>
    <n v="2.5"/>
    <n v="5.6"/>
    <s v="Low"/>
    <n v="49.43"/>
  </r>
  <r>
    <s v="EMP0661"/>
    <x v="3"/>
    <s v="Marketing Executive"/>
    <n v="37"/>
    <n v="1"/>
    <n v="33740"/>
    <n v="38"/>
    <n v="13"/>
    <n v="20"/>
    <n v="39"/>
    <n v="3.1"/>
    <n v="4.0999999999999996"/>
    <s v="Low"/>
    <n v="55.57"/>
  </r>
  <r>
    <s v="EMP0662"/>
    <x v="0"/>
    <s v="Accountant"/>
    <n v="22"/>
    <n v="0"/>
    <n v="36758"/>
    <n v="37"/>
    <n v="12"/>
    <n v="20"/>
    <n v="37"/>
    <n v="4.7"/>
    <n v="5.9"/>
    <s v="Low"/>
    <n v="69.5"/>
  </r>
  <r>
    <s v="EMP0663"/>
    <x v="4"/>
    <s v="Recruiter"/>
    <n v="35"/>
    <n v="2"/>
    <n v="66931"/>
    <n v="43"/>
    <n v="9"/>
    <n v="14"/>
    <n v="26"/>
    <n v="2.7"/>
    <n v="4.2"/>
    <s v="Low"/>
    <n v="48.3"/>
  </r>
  <r>
    <s v="EMP0664"/>
    <x v="0"/>
    <s v="Financial Analyst"/>
    <n v="33"/>
    <n v="11"/>
    <n v="57760"/>
    <n v="54"/>
    <n v="2"/>
    <n v="20"/>
    <n v="19"/>
    <n v="3"/>
    <n v="3"/>
    <s v="Low"/>
    <n v="30.33"/>
  </r>
  <r>
    <s v="EMP0665"/>
    <x v="4"/>
    <s v="Recruiter"/>
    <n v="29"/>
    <n v="8"/>
    <n v="89015"/>
    <n v="38"/>
    <n v="10"/>
    <n v="11"/>
    <n v="34"/>
    <n v="3.5"/>
    <n v="6.2"/>
    <s v="Medium"/>
    <n v="64.37"/>
  </r>
  <r>
    <s v="EMP0666"/>
    <x v="4"/>
    <s v="HR Analyst"/>
    <n v="39"/>
    <n v="1"/>
    <n v="37695"/>
    <n v="38"/>
    <n v="13"/>
    <n v="4"/>
    <n v="30"/>
    <n v="3.5"/>
    <n v="4.0999999999999996"/>
    <s v="Low"/>
    <n v="56.77"/>
  </r>
  <r>
    <s v="EMP0667"/>
    <x v="0"/>
    <s v="Financial Analyst"/>
    <n v="45"/>
    <n v="9"/>
    <n v="38735"/>
    <n v="48"/>
    <n v="5"/>
    <n v="10"/>
    <n v="39"/>
    <n v="4.4000000000000004"/>
    <n v="8.3000000000000007"/>
    <s v="High"/>
    <n v="71.33"/>
  </r>
  <r>
    <s v="EMP0668"/>
    <x v="0"/>
    <s v="Financial Analyst"/>
    <n v="25"/>
    <n v="4"/>
    <n v="36526"/>
    <n v="40"/>
    <n v="13"/>
    <n v="0"/>
    <n v="31"/>
    <n v="3.5"/>
    <n v="3.5"/>
    <s v="Low"/>
    <n v="53.17"/>
  </r>
  <r>
    <s v="EMP0669"/>
    <x v="3"/>
    <s v="Content Specialist"/>
    <n v="42"/>
    <n v="13"/>
    <n v="38025"/>
    <n v="45"/>
    <n v="4"/>
    <n v="24"/>
    <n v="7"/>
    <n v="3"/>
    <n v="3.7"/>
    <s v="Low"/>
    <n v="37.869999999999997"/>
  </r>
  <r>
    <s v="EMP0670"/>
    <x v="3"/>
    <s v="Marketing Analyst"/>
    <n v="34"/>
    <n v="6"/>
    <n v="83416"/>
    <n v="42"/>
    <n v="2"/>
    <n v="15"/>
    <n v="37"/>
    <n v="3.5"/>
    <n v="9.1999999999999993"/>
    <s v="High"/>
    <n v="69.03"/>
  </r>
  <r>
    <s v="EMP0671"/>
    <x v="4"/>
    <s v="HR Analyst"/>
    <n v="51"/>
    <n v="5"/>
    <n v="50384"/>
    <n v="46"/>
    <n v="3"/>
    <n v="14"/>
    <n v="12"/>
    <n v="3.9"/>
    <n v="9.8000000000000007"/>
    <s v="High"/>
    <n v="75.5"/>
  </r>
  <r>
    <s v="EMP0672"/>
    <x v="2"/>
    <s v="Software Engineer"/>
    <n v="30"/>
    <n v="0"/>
    <n v="70364"/>
    <n v="53"/>
    <n v="1"/>
    <n v="8"/>
    <n v="8"/>
    <n v="2.2999999999999998"/>
    <n v="6.3"/>
    <s v="Medium"/>
    <n v="46.37"/>
  </r>
  <r>
    <s v="EMP0673"/>
    <x v="4"/>
    <s v="Recruiter"/>
    <n v="43"/>
    <n v="7"/>
    <n v="83091"/>
    <n v="44"/>
    <n v="10"/>
    <n v="5"/>
    <n v="40"/>
    <n v="4.9000000000000004"/>
    <n v="9.3000000000000007"/>
    <s v="High"/>
    <n v="87.17"/>
  </r>
  <r>
    <s v="EMP0674"/>
    <x v="1"/>
    <s v="Sales Executive"/>
    <n v="36"/>
    <n v="2"/>
    <n v="51980"/>
    <n v="51"/>
    <n v="8"/>
    <n v="6"/>
    <n v="37"/>
    <n v="3.4"/>
    <n v="6.2"/>
    <s v="Medium"/>
    <n v="60.73"/>
  </r>
  <r>
    <s v="EMP0675"/>
    <x v="3"/>
    <s v="Marketing Analyst"/>
    <n v="37"/>
    <n v="7"/>
    <n v="46449"/>
    <n v="48"/>
    <n v="10"/>
    <n v="7"/>
    <n v="37"/>
    <n v="4.8"/>
    <n v="9.4"/>
    <s v="High"/>
    <n v="87.47"/>
  </r>
  <r>
    <s v="EMP0676"/>
    <x v="3"/>
    <s v="Marketing Executive"/>
    <n v="24"/>
    <n v="0"/>
    <n v="89964"/>
    <n v="50"/>
    <n v="12"/>
    <n v="24"/>
    <n v="32"/>
    <n v="2.1"/>
    <n v="6.7"/>
    <s v="Medium"/>
    <n v="66.5"/>
  </r>
  <r>
    <s v="EMP0677"/>
    <x v="0"/>
    <s v="Financial Analyst"/>
    <n v="50"/>
    <n v="15"/>
    <n v="40762"/>
    <n v="37"/>
    <n v="9"/>
    <n v="24"/>
    <n v="0"/>
    <n v="4.0999999999999996"/>
    <n v="5.8"/>
    <s v="Low"/>
    <n v="62.1"/>
  </r>
  <r>
    <s v="EMP0678"/>
    <x v="4"/>
    <s v="HR Executive"/>
    <n v="44"/>
    <n v="9"/>
    <n v="40667"/>
    <n v="55"/>
    <n v="2"/>
    <n v="0"/>
    <n v="30"/>
    <n v="4"/>
    <n v="4.0999999999999996"/>
    <s v="Low"/>
    <n v="39.93"/>
  </r>
  <r>
    <s v="EMP0679"/>
    <x v="1"/>
    <s v="Account Manager"/>
    <n v="23"/>
    <n v="1"/>
    <n v="55393"/>
    <n v="39"/>
    <n v="14"/>
    <n v="22"/>
    <n v="25"/>
    <n v="2.6"/>
    <n v="9.1"/>
    <s v="High"/>
    <n v="85.73"/>
  </r>
  <r>
    <s v="EMP0680"/>
    <x v="3"/>
    <s v="Content Specialist"/>
    <n v="22"/>
    <n v="0"/>
    <n v="50223"/>
    <n v="45"/>
    <n v="9"/>
    <n v="1"/>
    <n v="18"/>
    <n v="3.3"/>
    <n v="4.9000000000000004"/>
    <s v="Low"/>
    <n v="54.3"/>
  </r>
  <r>
    <s v="EMP0681"/>
    <x v="1"/>
    <s v="Sales Analyst"/>
    <n v="35"/>
    <n v="12"/>
    <n v="69870"/>
    <n v="37"/>
    <n v="10"/>
    <n v="10"/>
    <n v="3"/>
    <n v="3.5"/>
    <n v="9.4"/>
    <s v="High"/>
    <n v="83.57"/>
  </r>
  <r>
    <s v="EMP0682"/>
    <x v="0"/>
    <s v="Finance Executive"/>
    <n v="29"/>
    <n v="6"/>
    <n v="48959"/>
    <n v="49"/>
    <n v="10"/>
    <n v="1"/>
    <n v="23"/>
    <n v="3.1"/>
    <n v="7.5"/>
    <s v="Medium"/>
    <n v="70.97"/>
  </r>
  <r>
    <s v="EMP0683"/>
    <x v="0"/>
    <s v="Finance Executive"/>
    <n v="35"/>
    <n v="2"/>
    <n v="89307"/>
    <n v="45"/>
    <n v="4"/>
    <n v="17"/>
    <n v="7"/>
    <n v="3.9"/>
    <n v="8.1999999999999993"/>
    <s v="High"/>
    <n v="67.569999999999993"/>
  </r>
  <r>
    <s v="EMP0684"/>
    <x v="4"/>
    <s v="HR Executive"/>
    <n v="36"/>
    <n v="10"/>
    <n v="48115"/>
    <n v="43"/>
    <n v="9"/>
    <n v="21"/>
    <n v="27"/>
    <n v="2.8"/>
    <n v="3.4"/>
    <s v="Low"/>
    <n v="43.8"/>
  </r>
  <r>
    <s v="EMP0685"/>
    <x v="3"/>
    <s v="Content Specialist"/>
    <n v="53"/>
    <n v="3"/>
    <n v="55812"/>
    <n v="52"/>
    <n v="11"/>
    <n v="17"/>
    <n v="18"/>
    <n v="3.4"/>
    <n v="5.6"/>
    <s v="Low"/>
    <n v="62.13"/>
  </r>
  <r>
    <s v="EMP0686"/>
    <x v="0"/>
    <s v="Financial Analyst"/>
    <n v="34"/>
    <n v="7"/>
    <n v="30721"/>
    <n v="37"/>
    <n v="7"/>
    <n v="5"/>
    <n v="18"/>
    <n v="4.9000000000000004"/>
    <n v="3.5"/>
    <s v="Low"/>
    <n v="47.37"/>
  </r>
  <r>
    <s v="EMP0687"/>
    <x v="2"/>
    <s v="Software Engineer"/>
    <n v="29"/>
    <n v="2"/>
    <n v="57527"/>
    <n v="39"/>
    <n v="14"/>
    <n v="6"/>
    <n v="33"/>
    <n v="4.9000000000000004"/>
    <n v="3.2"/>
    <s v="Low"/>
    <n v="57.23"/>
  </r>
  <r>
    <s v="EMP0688"/>
    <x v="1"/>
    <s v="Sales Executive"/>
    <n v="30"/>
    <n v="7"/>
    <n v="47721"/>
    <n v="48"/>
    <n v="8"/>
    <n v="23"/>
    <n v="1"/>
    <n v="2.9"/>
    <n v="3.4"/>
    <s v="Low"/>
    <n v="42.43"/>
  </r>
  <r>
    <s v="EMP0689"/>
    <x v="1"/>
    <s v="Account Manager"/>
    <n v="43"/>
    <n v="13"/>
    <n v="62925"/>
    <n v="45"/>
    <n v="11"/>
    <n v="20"/>
    <n v="20"/>
    <n v="3.5"/>
    <n v="7.7"/>
    <s v="Medium"/>
    <n v="75.03"/>
  </r>
  <r>
    <s v="EMP0690"/>
    <x v="1"/>
    <s v="Sales Analyst"/>
    <n v="50"/>
    <n v="14"/>
    <n v="44928"/>
    <n v="53"/>
    <n v="3"/>
    <n v="25"/>
    <n v="19"/>
    <n v="2.5"/>
    <n v="4.8"/>
    <s v="Low"/>
    <n v="41.3"/>
  </r>
  <r>
    <s v="EMP0691"/>
    <x v="2"/>
    <s v="IT Executive"/>
    <n v="40"/>
    <n v="1"/>
    <n v="34721"/>
    <n v="46"/>
    <n v="5"/>
    <n v="14"/>
    <n v="10"/>
    <n v="3.9"/>
    <n v="4.0999999999999996"/>
    <s v="Low"/>
    <n v="44.63"/>
  </r>
  <r>
    <s v="EMP0692"/>
    <x v="2"/>
    <s v="Data Analyst"/>
    <n v="33"/>
    <n v="2"/>
    <n v="80006"/>
    <n v="39"/>
    <n v="3"/>
    <n v="7"/>
    <n v="7"/>
    <n v="2.1"/>
    <n v="5.2"/>
    <s v="Low"/>
    <n v="42.5"/>
  </r>
  <r>
    <s v="EMP0693"/>
    <x v="3"/>
    <s v="Marketing Analyst"/>
    <n v="38"/>
    <n v="11"/>
    <n v="37091"/>
    <n v="41"/>
    <n v="9"/>
    <n v="22"/>
    <n v="2"/>
    <n v="4"/>
    <n v="9.8000000000000007"/>
    <s v="High"/>
    <n v="85.8"/>
  </r>
  <r>
    <s v="EMP0694"/>
    <x v="2"/>
    <s v="Software Engineer"/>
    <n v="50"/>
    <n v="5"/>
    <n v="59972"/>
    <n v="44"/>
    <n v="2"/>
    <n v="0"/>
    <n v="25"/>
    <n v="4.8"/>
    <n v="8.4"/>
    <s v="High"/>
    <n v="68.13"/>
  </r>
  <r>
    <s v="EMP0695"/>
    <x v="2"/>
    <s v="IT Executive"/>
    <n v="31"/>
    <n v="0"/>
    <n v="88579"/>
    <n v="52"/>
    <n v="9"/>
    <n v="10"/>
    <n v="18"/>
    <n v="3.4"/>
    <n v="5"/>
    <s v="Low"/>
    <n v="55.2"/>
  </r>
  <r>
    <s v="EMP0696"/>
    <x v="4"/>
    <s v="HR Executive"/>
    <n v="50"/>
    <n v="10"/>
    <n v="70163"/>
    <n v="38"/>
    <n v="12"/>
    <n v="15"/>
    <n v="2"/>
    <n v="2.4"/>
    <n v="6.9"/>
    <s v="Medium"/>
    <n v="68.599999999999994"/>
  </r>
  <r>
    <s v="EMP0697"/>
    <x v="0"/>
    <s v="Finance Executive"/>
    <n v="47"/>
    <n v="7"/>
    <n v="54227"/>
    <n v="46"/>
    <n v="2"/>
    <n v="10"/>
    <n v="3"/>
    <n v="3.8"/>
    <n v="4.4000000000000004"/>
    <s v="Low"/>
    <n v="41.13"/>
  </r>
  <r>
    <s v="EMP0698"/>
    <x v="4"/>
    <s v="HR Executive"/>
    <n v="39"/>
    <n v="6"/>
    <n v="26477"/>
    <n v="37"/>
    <n v="9"/>
    <n v="14"/>
    <n v="5"/>
    <n v="4.9000000000000004"/>
    <n v="5.8"/>
    <s v="Low"/>
    <n v="64.5"/>
  </r>
  <r>
    <s v="EMP0699"/>
    <x v="2"/>
    <s v="Software Engineer"/>
    <n v="54"/>
    <n v="1"/>
    <n v="84535"/>
    <n v="46"/>
    <n v="7"/>
    <n v="4"/>
    <n v="27"/>
    <n v="3.1"/>
    <n v="5.6"/>
    <s v="Low"/>
    <n v="54.57"/>
  </r>
  <r>
    <s v="EMP0700"/>
    <x v="2"/>
    <s v="IT Executive"/>
    <n v="44"/>
    <n v="9"/>
    <n v="89062"/>
    <n v="49"/>
    <n v="14"/>
    <n v="17"/>
    <n v="5"/>
    <n v="2.6"/>
    <n v="9.1999999999999993"/>
    <s v="High"/>
    <n v="86.33"/>
  </r>
  <r>
    <s v="EMP0701"/>
    <x v="3"/>
    <s v="Marketing Analyst"/>
    <n v="50"/>
    <n v="9"/>
    <n v="35734"/>
    <n v="48"/>
    <n v="12"/>
    <n v="13"/>
    <n v="8"/>
    <n v="4.5"/>
    <n v="7.2"/>
    <s v="Medium"/>
    <n v="76.7"/>
  </r>
  <r>
    <s v="EMP0702"/>
    <x v="4"/>
    <s v="HR Executive"/>
    <n v="41"/>
    <n v="15"/>
    <n v="89774"/>
    <n v="51"/>
    <n v="6"/>
    <n v="2"/>
    <n v="37"/>
    <n v="4.3"/>
    <n v="3.6"/>
    <s v="Low"/>
    <n v="44.5"/>
  </r>
  <r>
    <s v="EMP0703"/>
    <x v="2"/>
    <s v="Software Engineer"/>
    <n v="48"/>
    <n v="5"/>
    <n v="61425"/>
    <n v="49"/>
    <n v="12"/>
    <n v="18"/>
    <n v="8"/>
    <n v="2.6"/>
    <n v="8.8000000000000007"/>
    <s v="High"/>
    <n v="80.599999999999994"/>
  </r>
  <r>
    <s v="EMP0704"/>
    <x v="1"/>
    <s v="Sales Executive"/>
    <n v="53"/>
    <n v="1"/>
    <n v="78922"/>
    <n v="44"/>
    <n v="14"/>
    <n v="18"/>
    <n v="19"/>
    <n v="3.5"/>
    <n v="8.1999999999999993"/>
    <s v="High"/>
    <n v="83.03"/>
  </r>
  <r>
    <s v="EMP0705"/>
    <x v="0"/>
    <s v="Accountant"/>
    <n v="22"/>
    <n v="0"/>
    <n v="42214"/>
    <n v="44"/>
    <n v="11"/>
    <n v="20"/>
    <n v="30"/>
    <n v="2.4"/>
    <n v="7.7"/>
    <s v="Medium"/>
    <n v="71.73"/>
  </r>
  <r>
    <s v="EMP0706"/>
    <x v="3"/>
    <s v="Marketing Analyst"/>
    <n v="33"/>
    <n v="7"/>
    <n v="84427"/>
    <n v="55"/>
    <n v="4"/>
    <n v="0"/>
    <n v="7"/>
    <n v="4.3"/>
    <n v="6.5"/>
    <s v="Medium"/>
    <n v="58.57"/>
  </r>
  <r>
    <s v="EMP0707"/>
    <x v="1"/>
    <s v="Sales Executive"/>
    <n v="45"/>
    <n v="15"/>
    <n v="62065"/>
    <n v="48"/>
    <n v="14"/>
    <n v="8"/>
    <n v="40"/>
    <n v="4.0999999999999996"/>
    <n v="9.8000000000000007"/>
    <s v="High"/>
    <n v="94.43"/>
  </r>
  <r>
    <s v="EMP0708"/>
    <x v="2"/>
    <s v="IT Executive"/>
    <n v="54"/>
    <n v="0"/>
    <n v="80396"/>
    <n v="43"/>
    <n v="3"/>
    <n v="18"/>
    <n v="3"/>
    <n v="2.4"/>
    <n v="6.2"/>
    <s v="Medium"/>
    <n v="49.4"/>
  </r>
  <r>
    <s v="EMP0709"/>
    <x v="4"/>
    <s v="HR Executive"/>
    <n v="44"/>
    <n v="5"/>
    <n v="28466"/>
    <n v="43"/>
    <n v="6"/>
    <n v="13"/>
    <n v="40"/>
    <n v="4.7"/>
    <n v="5.5"/>
    <s v="Low"/>
    <n v="57.1"/>
  </r>
  <r>
    <s v="EMP0710"/>
    <x v="2"/>
    <s v="Data Analyst"/>
    <n v="55"/>
    <n v="2"/>
    <n v="58676"/>
    <n v="41"/>
    <n v="13"/>
    <n v="20"/>
    <n v="11"/>
    <n v="4.3"/>
    <n v="7.2"/>
    <s v="Medium"/>
    <n v="77.77"/>
  </r>
  <r>
    <s v="EMP0711"/>
    <x v="1"/>
    <s v="Sales Executive"/>
    <n v="42"/>
    <n v="10"/>
    <n v="79186"/>
    <n v="44"/>
    <n v="5"/>
    <n v="21"/>
    <n v="23"/>
    <n v="2.2999999999999998"/>
    <n v="7.1"/>
    <s v="Medium"/>
    <n v="57.83"/>
  </r>
  <r>
    <s v="EMP0712"/>
    <x v="0"/>
    <s v="Financial Analyst"/>
    <n v="30"/>
    <n v="8"/>
    <n v="43442"/>
    <n v="46"/>
    <n v="13"/>
    <n v="15"/>
    <n v="26"/>
    <n v="3"/>
    <n v="9.4"/>
    <s v="High"/>
    <n v="87.07"/>
  </r>
  <r>
    <s v="EMP0713"/>
    <x v="4"/>
    <s v="Recruiter"/>
    <n v="31"/>
    <n v="8"/>
    <n v="39490"/>
    <n v="41"/>
    <n v="13"/>
    <n v="17"/>
    <n v="39"/>
    <n v="4.0999999999999996"/>
    <n v="9.6999999999999993"/>
    <s v="High"/>
    <n v="92.17"/>
  </r>
  <r>
    <s v="EMP0714"/>
    <x v="1"/>
    <s v="Sales Analyst"/>
    <n v="29"/>
    <n v="6"/>
    <n v="55178"/>
    <n v="37"/>
    <n v="2"/>
    <n v="4"/>
    <n v="1"/>
    <n v="3.4"/>
    <n v="5.2"/>
    <s v="Low"/>
    <n v="44.73"/>
  </r>
  <r>
    <s v="EMP0715"/>
    <x v="4"/>
    <s v="HR Analyst"/>
    <n v="50"/>
    <n v="10"/>
    <n v="36285"/>
    <n v="44"/>
    <n v="1"/>
    <n v="23"/>
    <n v="7"/>
    <n v="2.7"/>
    <n v="9"/>
    <s v="High"/>
    <n v="63.77"/>
  </r>
  <r>
    <s v="EMP0716"/>
    <x v="4"/>
    <s v="HR Executive"/>
    <n v="41"/>
    <n v="4"/>
    <n v="38752"/>
    <n v="39"/>
    <n v="2"/>
    <n v="13"/>
    <n v="7"/>
    <n v="2.2000000000000002"/>
    <n v="8.4"/>
    <s v="High"/>
    <n v="60.33"/>
  </r>
  <r>
    <s v="EMP0717"/>
    <x v="0"/>
    <s v="Financial Analyst"/>
    <n v="34"/>
    <n v="1"/>
    <n v="27149"/>
    <n v="51"/>
    <n v="10"/>
    <n v="1"/>
    <n v="30"/>
    <n v="2.4"/>
    <n v="4.8"/>
    <s v="Low"/>
    <n v="52.67"/>
  </r>
  <r>
    <s v="EMP0718"/>
    <x v="2"/>
    <s v="IT Executive"/>
    <n v="22"/>
    <n v="0"/>
    <n v="76273"/>
    <n v="38"/>
    <n v="15"/>
    <n v="19"/>
    <n v="13"/>
    <n v="3.8"/>
    <n v="4.4000000000000004"/>
    <s v="Low"/>
    <n v="62.8"/>
  </r>
  <r>
    <s v="EMP0719"/>
    <x v="2"/>
    <s v="IT Executive"/>
    <n v="23"/>
    <n v="0"/>
    <n v="34539"/>
    <n v="43"/>
    <n v="10"/>
    <n v="11"/>
    <n v="22"/>
    <n v="2.5"/>
    <n v="6.5"/>
    <s v="Medium"/>
    <n v="63.17"/>
  </r>
  <r>
    <s v="EMP0720"/>
    <x v="1"/>
    <s v="Sales Analyst"/>
    <n v="37"/>
    <n v="2"/>
    <n v="31494"/>
    <n v="53"/>
    <n v="13"/>
    <n v="0"/>
    <n v="33"/>
    <n v="2.7"/>
    <n v="4.3"/>
    <s v="Low"/>
    <n v="55.57"/>
  </r>
  <r>
    <s v="EMP0721"/>
    <x v="4"/>
    <s v="HR Executive"/>
    <n v="22"/>
    <n v="0"/>
    <n v="85570"/>
    <n v="41"/>
    <n v="15"/>
    <n v="16"/>
    <n v="30"/>
    <n v="3.1"/>
    <n v="7.1"/>
    <s v="Medium"/>
    <n v="76.900000000000006"/>
  </r>
  <r>
    <s v="EMP0722"/>
    <x v="0"/>
    <s v="Accountant"/>
    <n v="33"/>
    <n v="5"/>
    <n v="89310"/>
    <n v="47"/>
    <n v="7"/>
    <n v="6"/>
    <n v="32"/>
    <n v="2.7"/>
    <n v="3.8"/>
    <s v="Low"/>
    <n v="42.57"/>
  </r>
  <r>
    <s v="EMP0723"/>
    <x v="0"/>
    <s v="Financial Analyst"/>
    <n v="51"/>
    <n v="3"/>
    <n v="59060"/>
    <n v="39"/>
    <n v="8"/>
    <n v="24"/>
    <n v="23"/>
    <n v="4.0999999999999996"/>
    <n v="6.9"/>
    <s v="Medium"/>
    <n v="67.03"/>
  </r>
  <r>
    <s v="EMP0724"/>
    <x v="0"/>
    <s v="Accountant"/>
    <n v="42"/>
    <n v="15"/>
    <n v="32583"/>
    <n v="47"/>
    <n v="5"/>
    <n v="14"/>
    <n v="38"/>
    <n v="4.2"/>
    <n v="7.8"/>
    <s v="Medium"/>
    <n v="67.73"/>
  </r>
  <r>
    <s v="EMP0725"/>
    <x v="4"/>
    <s v="HR Analyst"/>
    <n v="48"/>
    <n v="9"/>
    <n v="89550"/>
    <n v="48"/>
    <n v="4"/>
    <n v="2"/>
    <n v="30"/>
    <n v="4.8"/>
    <n v="5.6"/>
    <s v="Low"/>
    <n v="54.67"/>
  </r>
  <r>
    <s v="EMP0726"/>
    <x v="3"/>
    <s v="Content Specialist"/>
    <n v="28"/>
    <n v="6"/>
    <n v="53708"/>
    <n v="51"/>
    <n v="11"/>
    <n v="21"/>
    <n v="5"/>
    <n v="2.4"/>
    <n v="5.8"/>
    <s v="Low"/>
    <n v="60.33"/>
  </r>
  <r>
    <s v="EMP0727"/>
    <x v="1"/>
    <s v="Sales Executive"/>
    <n v="28"/>
    <n v="2"/>
    <n v="29240"/>
    <n v="46"/>
    <n v="4"/>
    <n v="10"/>
    <n v="12"/>
    <n v="3.8"/>
    <n v="9.9"/>
    <s v="High"/>
    <n v="77.47"/>
  </r>
  <r>
    <s v="EMP0728"/>
    <x v="4"/>
    <s v="HR Executive"/>
    <n v="49"/>
    <n v="15"/>
    <n v="43252"/>
    <n v="53"/>
    <n v="10"/>
    <n v="8"/>
    <n v="25"/>
    <n v="3.1"/>
    <n v="7.7"/>
    <s v="Medium"/>
    <n v="72.17"/>
  </r>
  <r>
    <s v="EMP0729"/>
    <x v="3"/>
    <s v="Marketing Analyst"/>
    <n v="54"/>
    <n v="8"/>
    <n v="34658"/>
    <n v="49"/>
    <n v="2"/>
    <n v="3"/>
    <n v="16"/>
    <n v="3.5"/>
    <n v="4.5999999999999996"/>
    <s v="Low"/>
    <n v="41.43"/>
  </r>
  <r>
    <s v="EMP0730"/>
    <x v="0"/>
    <s v="Finance Executive"/>
    <n v="28"/>
    <n v="0"/>
    <n v="79415"/>
    <n v="37"/>
    <n v="8"/>
    <n v="21"/>
    <n v="1"/>
    <n v="4.9000000000000004"/>
    <n v="5.7"/>
    <s v="Low"/>
    <n v="62.23"/>
  </r>
  <r>
    <s v="EMP0731"/>
    <x v="2"/>
    <s v="Software Engineer"/>
    <n v="31"/>
    <n v="4"/>
    <n v="65761"/>
    <n v="54"/>
    <n v="2"/>
    <n v="24"/>
    <n v="4"/>
    <n v="4"/>
    <n v="6.6"/>
    <s v="Medium"/>
    <n v="54.93"/>
  </r>
  <r>
    <s v="EMP0732"/>
    <x v="3"/>
    <s v="Content Specialist"/>
    <n v="34"/>
    <n v="4"/>
    <n v="68390"/>
    <n v="50"/>
    <n v="8"/>
    <n v="16"/>
    <n v="16"/>
    <n v="3.6"/>
    <n v="8.6999999999999993"/>
    <s v="High"/>
    <n v="76.33"/>
  </r>
  <r>
    <s v="EMP0733"/>
    <x v="1"/>
    <s v="Sales Analyst"/>
    <n v="23"/>
    <n v="0"/>
    <n v="89927"/>
    <n v="48"/>
    <n v="15"/>
    <n v="3"/>
    <n v="24"/>
    <n v="3.4"/>
    <n v="9"/>
    <s v="High"/>
    <n v="89.2"/>
  </r>
  <r>
    <s v="EMP0734"/>
    <x v="3"/>
    <s v="Marketing Executive"/>
    <n v="24"/>
    <n v="0"/>
    <n v="36591"/>
    <n v="52"/>
    <n v="11"/>
    <n v="24"/>
    <n v="19"/>
    <n v="4.7"/>
    <n v="4.0999999999999996"/>
    <s v="Low"/>
    <n v="57.03"/>
  </r>
  <r>
    <s v="EMP0735"/>
    <x v="4"/>
    <s v="Recruiter"/>
    <n v="41"/>
    <n v="12"/>
    <n v="56945"/>
    <n v="38"/>
    <n v="10"/>
    <n v="21"/>
    <n v="31"/>
    <n v="4"/>
    <n v="7.8"/>
    <s v="Medium"/>
    <n v="75.47"/>
  </r>
  <r>
    <s v="EMP0736"/>
    <x v="3"/>
    <s v="Content Specialist"/>
    <n v="52"/>
    <n v="5"/>
    <n v="58206"/>
    <n v="36"/>
    <n v="7"/>
    <n v="8"/>
    <n v="31"/>
    <n v="3.8"/>
    <n v="5.6"/>
    <s v="Low"/>
    <n v="56.67"/>
  </r>
  <r>
    <s v="EMP0737"/>
    <x v="2"/>
    <s v="IT Executive"/>
    <n v="40"/>
    <n v="10"/>
    <n v="29025"/>
    <n v="35"/>
    <n v="10"/>
    <n v="1"/>
    <n v="8"/>
    <n v="4.5"/>
    <n v="5.4"/>
    <s v="Low"/>
    <n v="62.57"/>
  </r>
  <r>
    <s v="EMP0738"/>
    <x v="1"/>
    <s v="Sales Executive"/>
    <n v="23"/>
    <n v="2"/>
    <n v="47364"/>
    <n v="47"/>
    <n v="2"/>
    <n v="13"/>
    <n v="22"/>
    <n v="5"/>
    <n v="5.9"/>
    <s v="Low"/>
    <n v="53.73"/>
  </r>
  <r>
    <s v="EMP0739"/>
    <x v="4"/>
    <s v="HR Analyst"/>
    <n v="37"/>
    <n v="7"/>
    <n v="67472"/>
    <n v="44"/>
    <n v="10"/>
    <n v="2"/>
    <n v="4"/>
    <n v="4.5999999999999996"/>
    <n v="3.8"/>
    <s v="Low"/>
    <n v="53.27"/>
  </r>
  <r>
    <s v="EMP0740"/>
    <x v="0"/>
    <s v="Finance Executive"/>
    <n v="42"/>
    <n v="1"/>
    <n v="55206"/>
    <n v="48"/>
    <n v="10"/>
    <n v="16"/>
    <n v="26"/>
    <n v="2.8"/>
    <n v="7.9"/>
    <s v="Medium"/>
    <n v="72.47"/>
  </r>
  <r>
    <s v="EMP0741"/>
    <x v="0"/>
    <s v="Finance Executive"/>
    <n v="42"/>
    <n v="12"/>
    <n v="62378"/>
    <n v="47"/>
    <n v="6"/>
    <n v="18"/>
    <n v="6"/>
    <n v="4.4000000000000004"/>
    <n v="3.7"/>
    <s v="Low"/>
    <n v="45.4"/>
  </r>
  <r>
    <s v="EMP0742"/>
    <x v="4"/>
    <s v="HR Executive"/>
    <n v="43"/>
    <n v="15"/>
    <n v="57949"/>
    <n v="45"/>
    <n v="3"/>
    <n v="19"/>
    <n v="19"/>
    <n v="3.1"/>
    <n v="6.1"/>
    <s v="Medium"/>
    <n v="50.9"/>
  </r>
  <r>
    <s v="EMP0743"/>
    <x v="0"/>
    <s v="Financial Analyst"/>
    <n v="35"/>
    <n v="4"/>
    <n v="42377"/>
    <n v="36"/>
    <n v="5"/>
    <n v="18"/>
    <n v="25"/>
    <n v="4.4000000000000004"/>
    <n v="7.4"/>
    <s v="Medium"/>
    <n v="65.930000000000007"/>
  </r>
  <r>
    <s v="EMP0744"/>
    <x v="1"/>
    <s v="Sales Executive"/>
    <n v="28"/>
    <n v="5"/>
    <n v="42915"/>
    <n v="37"/>
    <n v="10"/>
    <n v="25"/>
    <n v="33"/>
    <n v="3.4"/>
    <n v="4.5"/>
    <s v="Low"/>
    <n v="53.87"/>
  </r>
  <r>
    <s v="EMP0745"/>
    <x v="2"/>
    <s v="Software Engineer"/>
    <n v="54"/>
    <n v="9"/>
    <n v="53371"/>
    <n v="52"/>
    <n v="6"/>
    <n v="6"/>
    <n v="26"/>
    <n v="3.2"/>
    <n v="7.4"/>
    <s v="Medium"/>
    <n v="64"/>
  </r>
  <r>
    <s v="EMP0746"/>
    <x v="1"/>
    <s v="Account Manager"/>
    <n v="33"/>
    <n v="0"/>
    <n v="66146"/>
    <n v="51"/>
    <n v="14"/>
    <n v="5"/>
    <n v="36"/>
    <n v="3.5"/>
    <n v="7.6"/>
    <s v="Medium"/>
    <n v="79.430000000000007"/>
  </r>
  <r>
    <s v="EMP0747"/>
    <x v="3"/>
    <s v="Marketing Analyst"/>
    <n v="39"/>
    <n v="13"/>
    <n v="86252"/>
    <n v="53"/>
    <n v="12"/>
    <n v="20"/>
    <n v="3"/>
    <n v="3.6"/>
    <n v="5.5"/>
    <s v="Low"/>
    <n v="63.8"/>
  </r>
  <r>
    <s v="EMP0748"/>
    <x v="4"/>
    <s v="HR Analyst"/>
    <n v="31"/>
    <n v="10"/>
    <n v="75169"/>
    <n v="44"/>
    <n v="14"/>
    <n v="13"/>
    <n v="26"/>
    <n v="3"/>
    <n v="8.8000000000000007"/>
    <s v="High"/>
    <n v="85.13"/>
  </r>
  <r>
    <s v="EMP0749"/>
    <x v="4"/>
    <s v="HR Analyst"/>
    <n v="48"/>
    <n v="8"/>
    <n v="78982"/>
    <n v="44"/>
    <n v="11"/>
    <n v="5"/>
    <n v="16"/>
    <n v="4.0999999999999996"/>
    <n v="4.7"/>
    <s v="Low"/>
    <n v="58.83"/>
  </r>
  <r>
    <s v="EMP0750"/>
    <x v="0"/>
    <s v="Accountant"/>
    <n v="31"/>
    <n v="3"/>
    <n v="26815"/>
    <n v="42"/>
    <n v="13"/>
    <n v="9"/>
    <n v="29"/>
    <n v="3.5"/>
    <n v="9.9"/>
    <s v="High"/>
    <n v="91.57"/>
  </r>
  <r>
    <s v="EMP0751"/>
    <x v="0"/>
    <s v="Financial Analyst"/>
    <n v="34"/>
    <n v="2"/>
    <n v="42872"/>
    <n v="39"/>
    <n v="1"/>
    <n v="8"/>
    <n v="17"/>
    <n v="4"/>
    <n v="4.2"/>
    <s v="Low"/>
    <n v="38.869999999999997"/>
  </r>
  <r>
    <s v="EMP0752"/>
    <x v="3"/>
    <s v="Marketing Executive"/>
    <n v="23"/>
    <n v="0"/>
    <n v="81333"/>
    <n v="37"/>
    <n v="6"/>
    <n v="19"/>
    <n v="19"/>
    <n v="4.5999999999999996"/>
    <n v="9.3000000000000007"/>
    <s v="High"/>
    <n v="79.599999999999994"/>
  </r>
  <r>
    <s v="EMP0753"/>
    <x v="2"/>
    <s v="IT Executive"/>
    <n v="27"/>
    <n v="3"/>
    <n v="86811"/>
    <n v="39"/>
    <n v="4"/>
    <n v="3"/>
    <n v="36"/>
    <n v="4.2"/>
    <n v="9.5"/>
    <s v="High"/>
    <n v="76.27"/>
  </r>
  <r>
    <s v="EMP0754"/>
    <x v="1"/>
    <s v="Account Manager"/>
    <n v="55"/>
    <n v="8"/>
    <n v="57535"/>
    <n v="37"/>
    <n v="4"/>
    <n v="19"/>
    <n v="7"/>
    <n v="4.3"/>
    <n v="5.2"/>
    <s v="Low"/>
    <n v="50.77"/>
  </r>
  <r>
    <s v="EMP0755"/>
    <x v="3"/>
    <s v="Marketing Executive"/>
    <n v="37"/>
    <n v="13"/>
    <n v="39287"/>
    <n v="39"/>
    <n v="2"/>
    <n v="5"/>
    <n v="13"/>
    <n v="4.9000000000000004"/>
    <n v="6.1"/>
    <s v="Medium"/>
    <n v="54.63"/>
  </r>
  <r>
    <s v="EMP0756"/>
    <x v="1"/>
    <s v="Sales Executive"/>
    <n v="25"/>
    <n v="3"/>
    <n v="59961"/>
    <n v="46"/>
    <n v="12"/>
    <n v="3"/>
    <n v="20"/>
    <n v="3.6"/>
    <n v="6.3"/>
    <s v="Medium"/>
    <n v="68.599999999999994"/>
  </r>
  <r>
    <s v="EMP0757"/>
    <x v="2"/>
    <s v="Data Analyst"/>
    <n v="31"/>
    <n v="5"/>
    <n v="56144"/>
    <n v="46"/>
    <n v="14"/>
    <n v="9"/>
    <n v="1"/>
    <n v="3.9"/>
    <n v="9.3000000000000007"/>
    <s v="High"/>
    <n v="90.83"/>
  </r>
  <r>
    <s v="EMP0758"/>
    <x v="0"/>
    <s v="Finance Executive"/>
    <n v="37"/>
    <n v="8"/>
    <n v="61223"/>
    <n v="47"/>
    <n v="5"/>
    <n v="20"/>
    <n v="23"/>
    <n v="4.7"/>
    <n v="7.8"/>
    <s v="Medium"/>
    <n v="69.23"/>
  </r>
  <r>
    <s v="EMP0759"/>
    <x v="4"/>
    <s v="HR Analyst"/>
    <n v="50"/>
    <n v="12"/>
    <n v="25515"/>
    <n v="47"/>
    <n v="15"/>
    <n v="8"/>
    <n v="19"/>
    <n v="2.2999999999999998"/>
    <n v="8.8000000000000007"/>
    <s v="High"/>
    <n v="84.7"/>
  </r>
  <r>
    <s v="EMP0760"/>
    <x v="2"/>
    <s v="IT Executive"/>
    <n v="35"/>
    <n v="13"/>
    <n v="83343"/>
    <n v="40"/>
    <n v="15"/>
    <n v="14"/>
    <n v="40"/>
    <n v="3"/>
    <n v="8.6999999999999993"/>
    <s v="High"/>
    <n v="86.2"/>
  </r>
  <r>
    <s v="EMP0761"/>
    <x v="3"/>
    <s v="Marketing Executive"/>
    <n v="24"/>
    <n v="2"/>
    <n v="81783"/>
    <n v="37"/>
    <n v="14"/>
    <n v="24"/>
    <n v="31"/>
    <n v="3.4"/>
    <n v="5.9"/>
    <s v="Low"/>
    <n v="68.930000000000007"/>
  </r>
  <r>
    <s v="EMP0762"/>
    <x v="3"/>
    <s v="Content Specialist"/>
    <n v="28"/>
    <n v="2"/>
    <n v="70775"/>
    <n v="43"/>
    <n v="9"/>
    <n v="2"/>
    <n v="22"/>
    <n v="3.3"/>
    <n v="8.1"/>
    <s v="High"/>
    <n v="73.5"/>
  </r>
  <r>
    <s v="EMP0763"/>
    <x v="2"/>
    <s v="Data Analyst"/>
    <n v="51"/>
    <n v="0"/>
    <n v="74936"/>
    <n v="36"/>
    <n v="11"/>
    <n v="20"/>
    <n v="11"/>
    <n v="3.9"/>
    <n v="8.5"/>
    <s v="High"/>
    <n v="81.03"/>
  </r>
  <r>
    <s v="EMP0764"/>
    <x v="0"/>
    <s v="Finance Executive"/>
    <n v="47"/>
    <n v="6"/>
    <n v="66176"/>
    <n v="44"/>
    <n v="6"/>
    <n v="18"/>
    <n v="5"/>
    <n v="2.2999999999999998"/>
    <n v="4.7"/>
    <s v="Low"/>
    <n v="45.1"/>
  </r>
  <r>
    <s v="EMP0765"/>
    <x v="4"/>
    <s v="HR Executive"/>
    <n v="48"/>
    <n v="10"/>
    <n v="54588"/>
    <n v="50"/>
    <n v="14"/>
    <n v="23"/>
    <n v="8"/>
    <n v="2.8"/>
    <n v="7.8"/>
    <s v="Medium"/>
    <n v="78.53"/>
  </r>
  <r>
    <s v="EMP0766"/>
    <x v="2"/>
    <s v="Data Analyst"/>
    <n v="34"/>
    <n v="1"/>
    <n v="52164"/>
    <n v="46"/>
    <n v="3"/>
    <n v="12"/>
    <n v="24"/>
    <n v="4.8"/>
    <n v="9.1999999999999993"/>
    <s v="High"/>
    <n v="74.599999999999994"/>
  </r>
  <r>
    <s v="EMP0767"/>
    <x v="0"/>
    <s v="Finance Executive"/>
    <n v="23"/>
    <n v="2"/>
    <n v="67408"/>
    <n v="54"/>
    <n v="11"/>
    <n v="7"/>
    <n v="5"/>
    <n v="4.9000000000000004"/>
    <n v="4.4000000000000004"/>
    <s v="Low"/>
    <n v="59.43"/>
  </r>
  <r>
    <s v="EMP0768"/>
    <x v="4"/>
    <s v="Recruiter"/>
    <n v="25"/>
    <n v="3"/>
    <n v="65501"/>
    <n v="48"/>
    <n v="10"/>
    <n v="8"/>
    <n v="9"/>
    <n v="2.2999999999999998"/>
    <n v="5.6"/>
    <s v="Low"/>
    <n v="57.17"/>
  </r>
  <r>
    <s v="EMP0769"/>
    <x v="0"/>
    <s v="Financial Analyst"/>
    <n v="22"/>
    <n v="1"/>
    <n v="75682"/>
    <n v="49"/>
    <n v="14"/>
    <n v="21"/>
    <n v="31"/>
    <n v="2.4"/>
    <n v="8"/>
    <s v="High"/>
    <n v="78.53"/>
  </r>
  <r>
    <s v="EMP0770"/>
    <x v="2"/>
    <s v="IT Executive"/>
    <n v="40"/>
    <n v="15"/>
    <n v="50039"/>
    <n v="39"/>
    <n v="7"/>
    <n v="6"/>
    <n v="38"/>
    <n v="2.6"/>
    <n v="8.8000000000000007"/>
    <s v="High"/>
    <n v="72.27"/>
  </r>
  <r>
    <s v="EMP0771"/>
    <x v="4"/>
    <s v="HR Analyst"/>
    <n v="48"/>
    <n v="5"/>
    <n v="51773"/>
    <n v="39"/>
    <n v="1"/>
    <n v="9"/>
    <n v="16"/>
    <n v="2.7"/>
    <n v="6.2"/>
    <s v="Medium"/>
    <n v="46.97"/>
  </r>
  <r>
    <s v="EMP0772"/>
    <x v="2"/>
    <s v="IT Executive"/>
    <n v="51"/>
    <n v="2"/>
    <n v="25676"/>
    <n v="50"/>
    <n v="3"/>
    <n v="10"/>
    <n v="25"/>
    <n v="4.0999999999999996"/>
    <n v="8"/>
    <s v="High"/>
    <n v="65.3"/>
  </r>
  <r>
    <s v="EMP0773"/>
    <x v="3"/>
    <s v="Marketing Executive"/>
    <n v="38"/>
    <n v="2"/>
    <n v="31244"/>
    <n v="52"/>
    <n v="1"/>
    <n v="1"/>
    <n v="21"/>
    <n v="4.8"/>
    <n v="6.3"/>
    <s v="Medium"/>
    <n v="53.87"/>
  </r>
  <r>
    <s v="EMP0774"/>
    <x v="1"/>
    <s v="Sales Executive"/>
    <n v="24"/>
    <n v="0"/>
    <n v="41623"/>
    <n v="51"/>
    <n v="10"/>
    <n v="12"/>
    <n v="19"/>
    <n v="4.9000000000000004"/>
    <n v="7.7"/>
    <s v="Medium"/>
    <n v="77.569999999999993"/>
  </r>
  <r>
    <s v="EMP0775"/>
    <x v="1"/>
    <s v="Sales Analyst"/>
    <n v="24"/>
    <n v="1"/>
    <n v="42058"/>
    <n v="40"/>
    <n v="9"/>
    <n v="15"/>
    <n v="21"/>
    <n v="4.5999999999999996"/>
    <n v="3.9"/>
    <s v="Low"/>
    <n v="52.2"/>
  </r>
  <r>
    <s v="EMP0776"/>
    <x v="1"/>
    <s v="Sales Analyst"/>
    <n v="49"/>
    <n v="4"/>
    <n v="42065"/>
    <n v="38"/>
    <n v="6"/>
    <n v="1"/>
    <n v="8"/>
    <n v="3.5"/>
    <n v="9.8000000000000007"/>
    <s v="High"/>
    <n v="79.3"/>
  </r>
  <r>
    <s v="EMP0777"/>
    <x v="2"/>
    <s v="Data Analyst"/>
    <n v="49"/>
    <n v="9"/>
    <n v="84165"/>
    <n v="43"/>
    <n v="10"/>
    <n v="24"/>
    <n v="16"/>
    <n v="3.6"/>
    <n v="6.1"/>
    <s v="Medium"/>
    <n v="64.069999999999993"/>
  </r>
  <r>
    <s v="EMP0778"/>
    <x v="2"/>
    <s v="Data Analyst"/>
    <n v="53"/>
    <n v="4"/>
    <n v="61416"/>
    <n v="55"/>
    <n v="13"/>
    <n v="14"/>
    <n v="3"/>
    <n v="2.6"/>
    <n v="3.4"/>
    <s v="Low"/>
    <n v="49.87"/>
  </r>
  <r>
    <s v="EMP0779"/>
    <x v="0"/>
    <s v="Finance Executive"/>
    <n v="52"/>
    <n v="8"/>
    <n v="35718"/>
    <n v="49"/>
    <n v="7"/>
    <n v="3"/>
    <n v="31"/>
    <n v="2.1"/>
    <n v="5.5"/>
    <s v="Low"/>
    <n v="50.97"/>
  </r>
  <r>
    <s v="EMP0780"/>
    <x v="1"/>
    <s v="Sales Analyst"/>
    <n v="53"/>
    <n v="14"/>
    <n v="57308"/>
    <n v="38"/>
    <n v="14"/>
    <n v="23"/>
    <n v="9"/>
    <n v="2.4"/>
    <n v="3.7"/>
    <s v="Low"/>
    <n v="52.73"/>
  </r>
  <r>
    <s v="EMP0781"/>
    <x v="4"/>
    <s v="HR Analyst"/>
    <n v="32"/>
    <n v="11"/>
    <n v="58340"/>
    <n v="43"/>
    <n v="10"/>
    <n v="21"/>
    <n v="37"/>
    <n v="2.6"/>
    <n v="10"/>
    <s v="High"/>
    <n v="84.47"/>
  </r>
  <r>
    <s v="EMP0782"/>
    <x v="1"/>
    <s v="Sales Executive"/>
    <n v="33"/>
    <n v="6"/>
    <n v="85320"/>
    <n v="37"/>
    <n v="4"/>
    <n v="24"/>
    <n v="31"/>
    <n v="4"/>
    <n v="9.1999999999999993"/>
    <s v="High"/>
    <n v="73.87"/>
  </r>
  <r>
    <s v="EMP0783"/>
    <x v="2"/>
    <s v="IT Executive"/>
    <n v="29"/>
    <n v="6"/>
    <n v="49481"/>
    <n v="53"/>
    <n v="15"/>
    <n v="3"/>
    <n v="20"/>
    <n v="2.5"/>
    <n v="3.6"/>
    <s v="Low"/>
    <n v="54.1"/>
  </r>
  <r>
    <s v="EMP0784"/>
    <x v="3"/>
    <s v="Content Specialist"/>
    <n v="51"/>
    <n v="8"/>
    <n v="63941"/>
    <n v="35"/>
    <n v="6"/>
    <n v="1"/>
    <n v="39"/>
    <n v="4.9000000000000004"/>
    <n v="5.3"/>
    <s v="Low"/>
    <n v="56.5"/>
  </r>
  <r>
    <s v="EMP0785"/>
    <x v="1"/>
    <s v="Sales Executive"/>
    <n v="30"/>
    <n v="3"/>
    <n v="81575"/>
    <n v="36"/>
    <n v="13"/>
    <n v="20"/>
    <n v="18"/>
    <n v="3"/>
    <n v="3.4"/>
    <s v="Low"/>
    <n v="51.07"/>
  </r>
  <r>
    <s v="EMP0786"/>
    <x v="1"/>
    <s v="Sales Executive"/>
    <n v="46"/>
    <n v="2"/>
    <n v="51139"/>
    <n v="43"/>
    <n v="3"/>
    <n v="7"/>
    <n v="25"/>
    <n v="2.2999999999999998"/>
    <n v="9"/>
    <s v="High"/>
    <n v="65.900000000000006"/>
  </r>
  <r>
    <s v="EMP0787"/>
    <x v="3"/>
    <s v="Marketing Executive"/>
    <n v="47"/>
    <n v="9"/>
    <n v="67412"/>
    <n v="55"/>
    <n v="3"/>
    <n v="3"/>
    <n v="19"/>
    <n v="3.5"/>
    <n v="6"/>
    <s v="Medium"/>
    <n v="51.5"/>
  </r>
  <r>
    <s v="EMP0788"/>
    <x v="1"/>
    <s v="Sales Analyst"/>
    <n v="30"/>
    <n v="5"/>
    <n v="68615"/>
    <n v="38"/>
    <n v="14"/>
    <n v="11"/>
    <n v="32"/>
    <n v="2.6"/>
    <n v="6.1"/>
    <s v="Medium"/>
    <n v="67.73"/>
  </r>
  <r>
    <s v="EMP0789"/>
    <x v="3"/>
    <s v="Marketing Analyst"/>
    <n v="39"/>
    <n v="13"/>
    <n v="30912"/>
    <n v="48"/>
    <n v="13"/>
    <n v="11"/>
    <n v="39"/>
    <n v="2.6"/>
    <n v="7.4"/>
    <s v="Medium"/>
    <n v="73.87"/>
  </r>
  <r>
    <s v="EMP0790"/>
    <x v="0"/>
    <s v="Finance Executive"/>
    <n v="54"/>
    <n v="10"/>
    <n v="88784"/>
    <n v="49"/>
    <n v="11"/>
    <n v="7"/>
    <n v="9"/>
    <n v="4.8"/>
    <n v="6.7"/>
    <s v="Medium"/>
    <n v="72.930000000000007"/>
  </r>
  <r>
    <s v="EMP0791"/>
    <x v="1"/>
    <s v="Account Manager"/>
    <n v="27"/>
    <n v="2"/>
    <n v="55685"/>
    <n v="48"/>
    <n v="2"/>
    <n v="25"/>
    <n v="30"/>
    <n v="2.9"/>
    <n v="9.9"/>
    <s v="High"/>
    <n v="71.430000000000007"/>
  </r>
  <r>
    <s v="EMP0792"/>
    <x v="2"/>
    <s v="IT Executive"/>
    <n v="37"/>
    <n v="13"/>
    <n v="44364"/>
    <n v="53"/>
    <n v="1"/>
    <n v="17"/>
    <n v="4"/>
    <n v="4.8"/>
    <n v="6.6"/>
    <s v="Medium"/>
    <n v="55.67"/>
  </r>
  <r>
    <s v="EMP0793"/>
    <x v="3"/>
    <s v="Content Specialist"/>
    <n v="48"/>
    <n v="3"/>
    <n v="55451"/>
    <n v="53"/>
    <n v="14"/>
    <n v="8"/>
    <n v="22"/>
    <n v="2.8"/>
    <n v="3.6"/>
    <s v="Low"/>
    <n v="53.33"/>
  </r>
  <r>
    <s v="EMP0794"/>
    <x v="0"/>
    <s v="Accountant"/>
    <n v="29"/>
    <n v="7"/>
    <n v="36767"/>
    <n v="40"/>
    <n v="14"/>
    <n v="12"/>
    <n v="2"/>
    <n v="2.2000000000000002"/>
    <n v="9.1"/>
    <s v="High"/>
    <n v="84.53"/>
  </r>
  <r>
    <s v="EMP0795"/>
    <x v="2"/>
    <s v="IT Executive"/>
    <n v="51"/>
    <n v="14"/>
    <n v="65882"/>
    <n v="43"/>
    <n v="6"/>
    <n v="25"/>
    <n v="11"/>
    <n v="2.6"/>
    <n v="3.5"/>
    <s v="Low"/>
    <n v="38.799999999999997"/>
  </r>
  <r>
    <s v="EMP0796"/>
    <x v="2"/>
    <s v="Software Engineer"/>
    <n v="28"/>
    <n v="6"/>
    <n v="60020"/>
    <n v="35"/>
    <n v="1"/>
    <n v="12"/>
    <n v="7"/>
    <n v="2"/>
    <n v="7.6"/>
    <s v="Medium"/>
    <n v="53.27"/>
  </r>
  <r>
    <s v="EMP0797"/>
    <x v="3"/>
    <s v="Marketing Analyst"/>
    <n v="53"/>
    <n v="9"/>
    <n v="65533"/>
    <n v="54"/>
    <n v="6"/>
    <n v="22"/>
    <n v="25"/>
    <n v="4.4000000000000004"/>
    <n v="3.6"/>
    <s v="Low"/>
    <n v="44.8"/>
  </r>
  <r>
    <s v="EMP0798"/>
    <x v="0"/>
    <s v="Finance Executive"/>
    <n v="34"/>
    <n v="1"/>
    <n v="78475"/>
    <n v="35"/>
    <n v="12"/>
    <n v="6"/>
    <n v="1"/>
    <n v="2.6"/>
    <n v="7.5"/>
    <s v="Medium"/>
    <n v="72.8"/>
  </r>
  <r>
    <s v="EMP0799"/>
    <x v="4"/>
    <s v="HR Analyst"/>
    <n v="49"/>
    <n v="6"/>
    <n v="30642"/>
    <n v="44"/>
    <n v="13"/>
    <n v="14"/>
    <n v="9"/>
    <n v="3.4"/>
    <n v="3.2"/>
    <s v="Low"/>
    <n v="51.07"/>
  </r>
  <r>
    <s v="EMP0800"/>
    <x v="4"/>
    <s v="HR Executive"/>
    <n v="50"/>
    <n v="15"/>
    <n v="55899"/>
    <n v="35"/>
    <n v="14"/>
    <n v="14"/>
    <n v="37"/>
    <n v="2.7"/>
    <n v="5.0999999999999996"/>
    <s v="Low"/>
    <n v="62.03"/>
  </r>
  <r>
    <s v="EMP0801"/>
    <x v="0"/>
    <s v="Finance Executive"/>
    <n v="43"/>
    <n v="0"/>
    <n v="31728"/>
    <n v="55"/>
    <n v="14"/>
    <n v="22"/>
    <n v="27"/>
    <n v="4.9000000000000004"/>
    <n v="8.9"/>
    <s v="High"/>
    <n v="91.43"/>
  </r>
  <r>
    <s v="EMP0802"/>
    <x v="1"/>
    <s v="Sales Analyst"/>
    <n v="40"/>
    <n v="1"/>
    <n v="56948"/>
    <n v="47"/>
    <n v="8"/>
    <n v="16"/>
    <n v="37"/>
    <n v="4.2"/>
    <n v="9.5"/>
    <s v="High"/>
    <n v="82.93"/>
  </r>
  <r>
    <s v="EMP0803"/>
    <x v="4"/>
    <s v="HR Executive"/>
    <n v="25"/>
    <n v="4"/>
    <n v="26246"/>
    <n v="48"/>
    <n v="10"/>
    <n v="10"/>
    <n v="35"/>
    <n v="2.2000000000000002"/>
    <n v="9.3000000000000007"/>
    <s v="High"/>
    <n v="79.069999999999993"/>
  </r>
  <r>
    <s v="EMP0804"/>
    <x v="3"/>
    <s v="Marketing Analyst"/>
    <n v="29"/>
    <n v="7"/>
    <n v="65809"/>
    <n v="55"/>
    <n v="6"/>
    <n v="14"/>
    <n v="27"/>
    <n v="2.1"/>
    <n v="5"/>
    <s v="Low"/>
    <n v="46.3"/>
  </r>
  <r>
    <s v="EMP0805"/>
    <x v="3"/>
    <s v="Content Specialist"/>
    <n v="44"/>
    <n v="14"/>
    <n v="40211"/>
    <n v="51"/>
    <n v="4"/>
    <n v="18"/>
    <n v="21"/>
    <n v="4.8"/>
    <n v="9"/>
    <s v="High"/>
    <n v="75.069999999999993"/>
  </r>
  <r>
    <s v="EMP0806"/>
    <x v="3"/>
    <s v="Marketing Analyst"/>
    <n v="30"/>
    <n v="4"/>
    <n v="72382"/>
    <n v="47"/>
    <n v="7"/>
    <n v="21"/>
    <n v="23"/>
    <n v="4.4000000000000004"/>
    <n v="8.6"/>
    <s v="High"/>
    <n v="76.47"/>
  </r>
  <r>
    <s v="EMP0807"/>
    <x v="1"/>
    <s v="Sales Analyst"/>
    <n v="35"/>
    <n v="4"/>
    <n v="70265"/>
    <n v="37"/>
    <n v="11"/>
    <n v="15"/>
    <n v="8"/>
    <n v="2.5"/>
    <n v="4.0999999999999996"/>
    <s v="Low"/>
    <n v="50.43"/>
  </r>
  <r>
    <s v="EMP0808"/>
    <x v="0"/>
    <s v="Accountant"/>
    <n v="48"/>
    <n v="15"/>
    <n v="44900"/>
    <n v="42"/>
    <n v="4"/>
    <n v="17"/>
    <n v="3"/>
    <n v="5"/>
    <n v="5.5"/>
    <s v="Low"/>
    <n v="54.67"/>
  </r>
  <r>
    <s v="EMP0809"/>
    <x v="2"/>
    <s v="Data Analyst"/>
    <n v="32"/>
    <n v="2"/>
    <n v="79260"/>
    <n v="51"/>
    <n v="1"/>
    <n v="25"/>
    <n v="4"/>
    <n v="3"/>
    <n v="3.8"/>
    <s v="Low"/>
    <n v="33.47"/>
  </r>
  <r>
    <s v="EMP0810"/>
    <x v="0"/>
    <s v="Financial Analyst"/>
    <n v="36"/>
    <n v="15"/>
    <n v="41896"/>
    <n v="45"/>
    <n v="13"/>
    <n v="11"/>
    <n v="2"/>
    <n v="4.3"/>
    <n v="6.9"/>
    <s v="Medium"/>
    <n v="75.97"/>
  </r>
  <r>
    <s v="EMP0811"/>
    <x v="1"/>
    <s v="Account Manager"/>
    <n v="28"/>
    <n v="0"/>
    <n v="85727"/>
    <n v="49"/>
    <n v="13"/>
    <n v="14"/>
    <n v="7"/>
    <n v="4.9000000000000004"/>
    <n v="8.5"/>
    <s v="High"/>
    <n v="87.37"/>
  </r>
  <r>
    <s v="EMP0812"/>
    <x v="0"/>
    <s v="Accountant"/>
    <n v="24"/>
    <n v="0"/>
    <n v="35947"/>
    <n v="55"/>
    <n v="2"/>
    <n v="6"/>
    <n v="23"/>
    <n v="2.5"/>
    <n v="5"/>
    <s v="Low"/>
    <n v="40.83"/>
  </r>
  <r>
    <s v="EMP0813"/>
    <x v="1"/>
    <s v="Sales Analyst"/>
    <n v="53"/>
    <n v="3"/>
    <n v="35111"/>
    <n v="55"/>
    <n v="6"/>
    <n v="10"/>
    <n v="8"/>
    <n v="2.4"/>
    <n v="4.4000000000000004"/>
    <s v="Low"/>
    <n v="43.6"/>
  </r>
  <r>
    <s v="EMP0814"/>
    <x v="0"/>
    <s v="Accountant"/>
    <n v="37"/>
    <n v="15"/>
    <n v="47368"/>
    <n v="44"/>
    <n v="9"/>
    <n v="5"/>
    <n v="5"/>
    <n v="2.8"/>
    <n v="8"/>
    <s v="High"/>
    <n v="71.400000000000006"/>
  </r>
  <r>
    <s v="EMP0815"/>
    <x v="2"/>
    <s v="Software Engineer"/>
    <n v="37"/>
    <n v="4"/>
    <n v="74362"/>
    <n v="51"/>
    <n v="7"/>
    <n v="25"/>
    <n v="14"/>
    <n v="2.4"/>
    <n v="6"/>
    <s v="Medium"/>
    <n v="54.87"/>
  </r>
  <r>
    <s v="EMP0816"/>
    <x v="3"/>
    <s v="Marketing Analyst"/>
    <n v="55"/>
    <n v="11"/>
    <n v="86848"/>
    <n v="35"/>
    <n v="8"/>
    <n v="4"/>
    <n v="0"/>
    <n v="4.2"/>
    <n v="6.6"/>
    <s v="Medium"/>
    <n v="65.53"/>
  </r>
  <r>
    <s v="EMP0817"/>
    <x v="0"/>
    <s v="Finance Executive"/>
    <n v="43"/>
    <n v="10"/>
    <n v="51322"/>
    <n v="40"/>
    <n v="7"/>
    <n v="1"/>
    <n v="25"/>
    <n v="4.3"/>
    <n v="7.6"/>
    <s v="Medium"/>
    <n v="70.17"/>
  </r>
  <r>
    <s v="EMP0818"/>
    <x v="4"/>
    <s v="HR Executive"/>
    <n v="25"/>
    <n v="4"/>
    <n v="88744"/>
    <n v="44"/>
    <n v="7"/>
    <n v="12"/>
    <n v="35"/>
    <n v="4.5999999999999996"/>
    <n v="8.1"/>
    <s v="High"/>
    <n v="74.069999999999993"/>
  </r>
  <r>
    <s v="EMP0819"/>
    <x v="2"/>
    <s v="IT Executive"/>
    <n v="22"/>
    <n v="1"/>
    <n v="83996"/>
    <n v="51"/>
    <n v="10"/>
    <n v="4"/>
    <n v="25"/>
    <n v="3.3"/>
    <n v="4.4000000000000004"/>
    <s v="Low"/>
    <n v="52.97"/>
  </r>
  <r>
    <s v="EMP0820"/>
    <x v="1"/>
    <s v="Account Manager"/>
    <n v="50"/>
    <n v="11"/>
    <n v="83174"/>
    <n v="55"/>
    <n v="7"/>
    <n v="24"/>
    <n v="12"/>
    <n v="4.5999999999999996"/>
    <n v="3.6"/>
    <s v="Low"/>
    <n v="47.07"/>
  </r>
  <r>
    <s v="EMP0821"/>
    <x v="2"/>
    <s v="Software Engineer"/>
    <n v="46"/>
    <n v="4"/>
    <n v="59109"/>
    <n v="52"/>
    <n v="5"/>
    <n v="6"/>
    <n v="5"/>
    <n v="3.5"/>
    <n v="5.2"/>
    <s v="Low"/>
    <n v="50.03"/>
  </r>
  <r>
    <s v="EMP0822"/>
    <x v="4"/>
    <s v="HR Executive"/>
    <n v="23"/>
    <n v="0"/>
    <n v="83347"/>
    <n v="52"/>
    <n v="10"/>
    <n v="8"/>
    <n v="15"/>
    <n v="4.5"/>
    <n v="5.0999999999999996"/>
    <s v="Low"/>
    <n v="60.77"/>
  </r>
  <r>
    <s v="EMP0823"/>
    <x v="1"/>
    <s v="Account Manager"/>
    <n v="29"/>
    <n v="0"/>
    <n v="80154"/>
    <n v="46"/>
    <n v="5"/>
    <n v="20"/>
    <n v="32"/>
    <n v="3.1"/>
    <n v="3.3"/>
    <s v="Low"/>
    <n v="37.43"/>
  </r>
  <r>
    <s v="EMP0824"/>
    <x v="0"/>
    <s v="Finance Executive"/>
    <n v="50"/>
    <n v="9"/>
    <n v="62515"/>
    <n v="35"/>
    <n v="8"/>
    <n v="10"/>
    <n v="15"/>
    <n v="4.4000000000000004"/>
    <n v="9.9"/>
    <s v="High"/>
    <n v="85.93"/>
  </r>
  <r>
    <s v="EMP0825"/>
    <x v="1"/>
    <s v="Account Manager"/>
    <n v="36"/>
    <n v="11"/>
    <n v="44608"/>
    <n v="44"/>
    <n v="11"/>
    <n v="25"/>
    <n v="36"/>
    <n v="4"/>
    <n v="8"/>
    <s v="High"/>
    <n v="78.33"/>
  </r>
  <r>
    <s v="EMP0826"/>
    <x v="4"/>
    <s v="HR Executive"/>
    <n v="28"/>
    <n v="5"/>
    <n v="58846"/>
    <n v="53"/>
    <n v="4"/>
    <n v="24"/>
    <n v="23"/>
    <n v="3.4"/>
    <n v="4"/>
    <s v="Low"/>
    <n v="40.869999999999997"/>
  </r>
  <r>
    <s v="EMP0827"/>
    <x v="3"/>
    <s v="Content Specialist"/>
    <n v="27"/>
    <n v="0"/>
    <n v="29075"/>
    <n v="48"/>
    <n v="15"/>
    <n v="4"/>
    <n v="30"/>
    <n v="2.6"/>
    <n v="3.5"/>
    <s v="Low"/>
    <n v="53.8"/>
  </r>
  <r>
    <s v="EMP0828"/>
    <x v="1"/>
    <s v="Sales Analyst"/>
    <n v="47"/>
    <n v="12"/>
    <n v="82148"/>
    <n v="43"/>
    <n v="10"/>
    <n v="15"/>
    <n v="40"/>
    <n v="3.3"/>
    <n v="6.1"/>
    <s v="Medium"/>
    <n v="63.17"/>
  </r>
  <r>
    <s v="EMP0829"/>
    <x v="3"/>
    <s v="Content Specialist"/>
    <n v="32"/>
    <n v="2"/>
    <n v="58147"/>
    <n v="39"/>
    <n v="8"/>
    <n v="22"/>
    <n v="29"/>
    <n v="2.4"/>
    <n v="7.9"/>
    <s v="Medium"/>
    <n v="67.930000000000007"/>
  </r>
  <r>
    <s v="EMP0830"/>
    <x v="0"/>
    <s v="Finance Executive"/>
    <n v="35"/>
    <n v="7"/>
    <n v="56021"/>
    <n v="36"/>
    <n v="12"/>
    <n v="5"/>
    <n v="35"/>
    <n v="3.1"/>
    <n v="9.6999999999999993"/>
    <s v="High"/>
    <n v="87.5"/>
  </r>
  <r>
    <s v="EMP0831"/>
    <x v="3"/>
    <s v="Marketing Executive"/>
    <n v="29"/>
    <n v="1"/>
    <n v="49221"/>
    <n v="53"/>
    <n v="5"/>
    <n v="1"/>
    <n v="33"/>
    <n v="2.5"/>
    <n v="5.6"/>
    <s v="Low"/>
    <n v="49.43"/>
  </r>
  <r>
    <s v="EMP0832"/>
    <x v="2"/>
    <s v="Software Engineer"/>
    <n v="40"/>
    <n v="15"/>
    <n v="26833"/>
    <n v="39"/>
    <n v="3"/>
    <n v="25"/>
    <n v="37"/>
    <n v="3.3"/>
    <n v="9.6"/>
    <s v="High"/>
    <n v="72.5"/>
  </r>
  <r>
    <s v="EMP0833"/>
    <x v="2"/>
    <s v="Software Engineer"/>
    <n v="35"/>
    <n v="2"/>
    <n v="78682"/>
    <n v="50"/>
    <n v="1"/>
    <n v="3"/>
    <n v="35"/>
    <n v="3"/>
    <n v="9.1"/>
    <s v="High"/>
    <n v="65.27"/>
  </r>
  <r>
    <s v="EMP0834"/>
    <x v="3"/>
    <s v="Marketing Analyst"/>
    <n v="41"/>
    <n v="14"/>
    <n v="84001"/>
    <n v="45"/>
    <n v="13"/>
    <n v="12"/>
    <n v="30"/>
    <n v="4.5"/>
    <n v="8.8000000000000007"/>
    <s v="High"/>
    <n v="87.97"/>
  </r>
  <r>
    <s v="EMP0835"/>
    <x v="4"/>
    <s v="Recruiter"/>
    <n v="54"/>
    <n v="14"/>
    <n v="74917"/>
    <n v="49"/>
    <n v="11"/>
    <n v="14"/>
    <n v="9"/>
    <n v="4.5999999999999996"/>
    <n v="5.3"/>
    <s v="Low"/>
    <n v="63.93"/>
  </r>
  <r>
    <s v="EMP0836"/>
    <x v="1"/>
    <s v="Account Manager"/>
    <n v="48"/>
    <n v="12"/>
    <n v="40258"/>
    <n v="47"/>
    <n v="6"/>
    <n v="17"/>
    <n v="2"/>
    <n v="4.9000000000000004"/>
    <n v="9.1999999999999993"/>
    <s v="High"/>
    <n v="79.900000000000006"/>
  </r>
  <r>
    <s v="EMP0837"/>
    <x v="2"/>
    <s v="IT Executive"/>
    <n v="27"/>
    <n v="6"/>
    <n v="35853"/>
    <n v="35"/>
    <n v="10"/>
    <n v="20"/>
    <n v="19"/>
    <n v="3.7"/>
    <n v="3.9"/>
    <s v="Low"/>
    <n v="51.17"/>
  </r>
  <r>
    <s v="EMP0838"/>
    <x v="0"/>
    <s v="Finance Executive"/>
    <n v="34"/>
    <n v="9"/>
    <n v="60509"/>
    <n v="53"/>
    <n v="13"/>
    <n v="1"/>
    <n v="36"/>
    <n v="3.6"/>
    <n v="8.3000000000000007"/>
    <s v="High"/>
    <n v="82.27"/>
  </r>
  <r>
    <s v="EMP0839"/>
    <x v="0"/>
    <s v="Finance Executive"/>
    <n v="29"/>
    <n v="8"/>
    <n v="36779"/>
    <n v="35"/>
    <n v="5"/>
    <n v="25"/>
    <n v="13"/>
    <n v="2.7"/>
    <n v="7.9"/>
    <s v="Medium"/>
    <n v="63.83"/>
  </r>
  <r>
    <s v="EMP0840"/>
    <x v="3"/>
    <s v="Marketing Analyst"/>
    <n v="27"/>
    <n v="6"/>
    <n v="59966"/>
    <n v="54"/>
    <n v="6"/>
    <n v="12"/>
    <n v="37"/>
    <n v="2.1"/>
    <n v="9"/>
    <s v="High"/>
    <n v="70.3"/>
  </r>
  <r>
    <s v="EMP0841"/>
    <x v="2"/>
    <s v="Data Analyst"/>
    <n v="49"/>
    <n v="5"/>
    <n v="52193"/>
    <n v="35"/>
    <n v="14"/>
    <n v="16"/>
    <n v="20"/>
    <n v="3.1"/>
    <n v="3.6"/>
    <s v="Low"/>
    <n v="54.23"/>
  </r>
  <r>
    <s v="EMP0842"/>
    <x v="1"/>
    <s v="Account Manager"/>
    <n v="32"/>
    <n v="4"/>
    <n v="34439"/>
    <n v="40"/>
    <n v="5"/>
    <n v="24"/>
    <n v="5"/>
    <n v="2.5"/>
    <n v="9.6999999999999993"/>
    <s v="High"/>
    <n v="74.03"/>
  </r>
  <r>
    <s v="EMP0843"/>
    <x v="4"/>
    <s v="HR Analyst"/>
    <n v="25"/>
    <n v="4"/>
    <n v="87988"/>
    <n v="45"/>
    <n v="3"/>
    <n v="0"/>
    <n v="3"/>
    <n v="2.9"/>
    <n v="3.7"/>
    <s v="Low"/>
    <n v="35.9"/>
  </r>
  <r>
    <s v="EMP0844"/>
    <x v="3"/>
    <s v="Marketing Executive"/>
    <n v="42"/>
    <n v="8"/>
    <n v="49609"/>
    <n v="38"/>
    <n v="1"/>
    <n v="6"/>
    <n v="15"/>
    <n v="4.3"/>
    <n v="7.1"/>
    <s v="Medium"/>
    <n v="57.17"/>
  </r>
  <r>
    <s v="EMP0845"/>
    <x v="1"/>
    <s v="Sales Analyst"/>
    <n v="54"/>
    <n v="12"/>
    <n v="87217"/>
    <n v="38"/>
    <n v="5"/>
    <n v="1"/>
    <n v="20"/>
    <n v="3.4"/>
    <n v="5.8"/>
    <s v="Low"/>
    <n v="53.33"/>
  </r>
  <r>
    <s v="EMP0846"/>
    <x v="0"/>
    <s v="Finance Executive"/>
    <n v="48"/>
    <n v="7"/>
    <n v="84882"/>
    <n v="35"/>
    <n v="5"/>
    <n v="17"/>
    <n v="37"/>
    <n v="4"/>
    <n v="4.7"/>
    <s v="Low"/>
    <n v="48.53"/>
  </r>
  <r>
    <s v="EMP0847"/>
    <x v="4"/>
    <s v="HR Executive"/>
    <n v="41"/>
    <n v="13"/>
    <n v="54227"/>
    <n v="37"/>
    <n v="14"/>
    <n v="20"/>
    <n v="32"/>
    <n v="2.6"/>
    <n v="9.8000000000000007"/>
    <s v="High"/>
    <n v="89.93"/>
  </r>
  <r>
    <s v="EMP0848"/>
    <x v="1"/>
    <s v="Account Manager"/>
    <n v="32"/>
    <n v="3"/>
    <n v="60227"/>
    <n v="48"/>
    <n v="15"/>
    <n v="17"/>
    <n v="28"/>
    <n v="2.1"/>
    <n v="8.6999999999999993"/>
    <s v="High"/>
    <n v="83.5"/>
  </r>
  <r>
    <s v="EMP0849"/>
    <x v="2"/>
    <s v="Software Engineer"/>
    <n v="32"/>
    <n v="0"/>
    <n v="28943"/>
    <n v="50"/>
    <n v="5"/>
    <n v="19"/>
    <n v="16"/>
    <n v="4.5"/>
    <n v="5.7"/>
    <s v="Low"/>
    <n v="56.03"/>
  </r>
  <r>
    <s v="EMP0850"/>
    <x v="4"/>
    <s v="Recruiter"/>
    <n v="54"/>
    <n v="9"/>
    <n v="27980"/>
    <n v="40"/>
    <n v="12"/>
    <n v="17"/>
    <n v="36"/>
    <n v="2.2000000000000002"/>
    <n v="3.6"/>
    <s v="Low"/>
    <n v="48.2"/>
  </r>
  <r>
    <s v="EMP0851"/>
    <x v="0"/>
    <s v="Finance Executive"/>
    <n v="30"/>
    <n v="8"/>
    <n v="43314"/>
    <n v="48"/>
    <n v="4"/>
    <n v="19"/>
    <n v="32"/>
    <n v="4.9000000000000004"/>
    <n v="5.2"/>
    <s v="Low"/>
    <n v="52.57"/>
  </r>
  <r>
    <s v="EMP0852"/>
    <x v="2"/>
    <s v="Software Engineer"/>
    <n v="38"/>
    <n v="14"/>
    <n v="42892"/>
    <n v="42"/>
    <n v="11"/>
    <n v="10"/>
    <n v="21"/>
    <n v="2.6"/>
    <n v="9.6999999999999993"/>
    <s v="High"/>
    <n v="84.33"/>
  </r>
  <r>
    <s v="EMP0853"/>
    <x v="0"/>
    <s v="Finance Executive"/>
    <n v="30"/>
    <n v="0"/>
    <n v="64897"/>
    <n v="50"/>
    <n v="1"/>
    <n v="0"/>
    <n v="11"/>
    <n v="3.2"/>
    <n v="9.3000000000000007"/>
    <s v="High"/>
    <n v="67.069999999999993"/>
  </r>
  <r>
    <s v="EMP0854"/>
    <x v="3"/>
    <s v="Content Specialist"/>
    <n v="47"/>
    <n v="2"/>
    <n v="76596"/>
    <n v="55"/>
    <n v="11"/>
    <n v="2"/>
    <n v="34"/>
    <n v="2.1"/>
    <n v="8.8000000000000007"/>
    <s v="High"/>
    <n v="77.430000000000007"/>
  </r>
  <r>
    <s v="EMP0855"/>
    <x v="3"/>
    <s v="Content Specialist"/>
    <n v="29"/>
    <n v="5"/>
    <n v="88703"/>
    <n v="47"/>
    <n v="14"/>
    <n v="19"/>
    <n v="22"/>
    <n v="3.2"/>
    <n v="8.9"/>
    <s v="High"/>
    <n v="86.33"/>
  </r>
  <r>
    <s v="EMP0856"/>
    <x v="0"/>
    <s v="Finance Executive"/>
    <n v="29"/>
    <n v="7"/>
    <n v="49279"/>
    <n v="41"/>
    <n v="8"/>
    <n v="0"/>
    <n v="14"/>
    <n v="4.2"/>
    <n v="8.3000000000000007"/>
    <s v="High"/>
    <n v="75.73"/>
  </r>
  <r>
    <s v="EMP0857"/>
    <x v="2"/>
    <s v="Software Engineer"/>
    <n v="34"/>
    <n v="1"/>
    <n v="78495"/>
    <n v="54"/>
    <n v="11"/>
    <n v="9"/>
    <n v="14"/>
    <n v="2.7"/>
    <n v="6.5"/>
    <s v="Medium"/>
    <n v="65.430000000000007"/>
  </r>
  <r>
    <s v="EMP0858"/>
    <x v="0"/>
    <s v="Financial Analyst"/>
    <n v="39"/>
    <n v="15"/>
    <n v="84277"/>
    <n v="54"/>
    <n v="4"/>
    <n v="0"/>
    <n v="12"/>
    <n v="5"/>
    <n v="7.5"/>
    <s v="Medium"/>
    <n v="66.67"/>
  </r>
  <r>
    <s v="EMP0859"/>
    <x v="2"/>
    <s v="Data Analyst"/>
    <n v="54"/>
    <n v="15"/>
    <n v="36172"/>
    <n v="52"/>
    <n v="4"/>
    <n v="21"/>
    <n v="36"/>
    <n v="4"/>
    <n v="7.2"/>
    <s v="Medium"/>
    <n v="61.87"/>
  </r>
  <r>
    <s v="EMP0860"/>
    <x v="0"/>
    <s v="Accountant"/>
    <n v="30"/>
    <n v="1"/>
    <n v="33351"/>
    <n v="43"/>
    <n v="15"/>
    <n v="18"/>
    <n v="14"/>
    <n v="4.5999999999999996"/>
    <n v="8.1"/>
    <s v="High"/>
    <n v="87.4"/>
  </r>
  <r>
    <s v="EMP0861"/>
    <x v="4"/>
    <s v="HR Executive"/>
    <n v="23"/>
    <n v="2"/>
    <n v="69416"/>
    <n v="52"/>
    <n v="10"/>
    <n v="8"/>
    <n v="35"/>
    <n v="4.5999999999999996"/>
    <n v="3"/>
    <s v="Low"/>
    <n v="48.47"/>
  </r>
  <r>
    <s v="EMP0862"/>
    <x v="0"/>
    <s v="Financial Analyst"/>
    <n v="42"/>
    <n v="13"/>
    <n v="80334"/>
    <n v="48"/>
    <n v="5"/>
    <n v="3"/>
    <n v="33"/>
    <n v="3.4"/>
    <n v="5.5"/>
    <s v="Low"/>
    <n v="51.53"/>
  </r>
  <r>
    <s v="EMP0863"/>
    <x v="4"/>
    <s v="HR Analyst"/>
    <n v="25"/>
    <n v="2"/>
    <n v="85187"/>
    <n v="48"/>
    <n v="9"/>
    <n v="14"/>
    <n v="20"/>
    <n v="2"/>
    <n v="4.4000000000000004"/>
    <s v="Low"/>
    <n v="47.4"/>
  </r>
  <r>
    <s v="EMP0864"/>
    <x v="1"/>
    <s v="Account Manager"/>
    <n v="23"/>
    <n v="2"/>
    <n v="39786"/>
    <n v="48"/>
    <n v="2"/>
    <n v="7"/>
    <n v="12"/>
    <n v="2.5"/>
    <n v="5.2"/>
    <s v="Low"/>
    <n v="42.03"/>
  </r>
  <r>
    <s v="EMP0865"/>
    <x v="0"/>
    <s v="Financial Analyst"/>
    <n v="23"/>
    <n v="1"/>
    <n v="53308"/>
    <n v="35"/>
    <n v="10"/>
    <n v="25"/>
    <n v="40"/>
    <n v="4.8"/>
    <n v="8.9"/>
    <s v="High"/>
    <n v="84.47"/>
  </r>
  <r>
    <s v="EMP0866"/>
    <x v="0"/>
    <s v="Financial Analyst"/>
    <n v="52"/>
    <n v="7"/>
    <n v="87836"/>
    <n v="45"/>
    <n v="14"/>
    <n v="1"/>
    <n v="21"/>
    <n v="3.6"/>
    <n v="4.7"/>
    <s v="Low"/>
    <n v="62.33"/>
  </r>
  <r>
    <s v="EMP0867"/>
    <x v="1"/>
    <s v="Sales Analyst"/>
    <n v="50"/>
    <n v="3"/>
    <n v="65982"/>
    <n v="49"/>
    <n v="10"/>
    <n v="3"/>
    <n v="5"/>
    <n v="4.9000000000000004"/>
    <n v="9.4"/>
    <s v="High"/>
    <n v="87.77"/>
  </r>
  <r>
    <s v="EMP0868"/>
    <x v="2"/>
    <s v="IT Executive"/>
    <n v="26"/>
    <n v="1"/>
    <n v="29063"/>
    <n v="49"/>
    <n v="1"/>
    <n v="9"/>
    <n v="39"/>
    <n v="3.9"/>
    <n v="3.5"/>
    <s v="Low"/>
    <n v="34.369999999999997"/>
  </r>
  <r>
    <s v="EMP0869"/>
    <x v="0"/>
    <s v="Finance Executive"/>
    <n v="25"/>
    <n v="2"/>
    <n v="80700"/>
    <n v="47"/>
    <n v="7"/>
    <n v="3"/>
    <n v="39"/>
    <n v="4.3"/>
    <n v="4.5999999999999996"/>
    <s v="Low"/>
    <n v="52.17"/>
  </r>
  <r>
    <s v="EMP0870"/>
    <x v="1"/>
    <s v="Account Manager"/>
    <n v="22"/>
    <n v="1"/>
    <n v="50160"/>
    <n v="49"/>
    <n v="13"/>
    <n v="13"/>
    <n v="39"/>
    <n v="3.9"/>
    <n v="5.4"/>
    <s v="Low"/>
    <n v="65.77"/>
  </r>
  <r>
    <s v="EMP0871"/>
    <x v="0"/>
    <s v="Financial Analyst"/>
    <n v="51"/>
    <n v="10"/>
    <n v="63522"/>
    <n v="41"/>
    <n v="2"/>
    <n v="3"/>
    <n v="0"/>
    <n v="3.8"/>
    <n v="3.5"/>
    <s v="Low"/>
    <n v="35.729999999999997"/>
  </r>
  <r>
    <s v="EMP0872"/>
    <x v="1"/>
    <s v="Sales Executive"/>
    <n v="30"/>
    <n v="8"/>
    <n v="41795"/>
    <n v="46"/>
    <n v="7"/>
    <n v="15"/>
    <n v="39"/>
    <n v="3.3"/>
    <n v="4.7"/>
    <s v="Low"/>
    <n v="49.77"/>
  </r>
  <r>
    <s v="EMP0873"/>
    <x v="0"/>
    <s v="Financial Analyst"/>
    <n v="30"/>
    <n v="4"/>
    <n v="63307"/>
    <n v="48"/>
    <n v="9"/>
    <n v="20"/>
    <n v="22"/>
    <n v="2.9"/>
    <n v="9.1999999999999993"/>
    <s v="High"/>
    <n v="78.900000000000006"/>
  </r>
  <r>
    <s v="EMP0874"/>
    <x v="4"/>
    <s v="HR Analyst"/>
    <n v="52"/>
    <n v="9"/>
    <n v="64539"/>
    <n v="45"/>
    <n v="5"/>
    <n v="11"/>
    <n v="0"/>
    <n v="3.6"/>
    <n v="7.6"/>
    <s v="Medium"/>
    <n v="64.73"/>
  </r>
  <r>
    <s v="EMP0875"/>
    <x v="0"/>
    <s v="Accountant"/>
    <n v="37"/>
    <n v="1"/>
    <n v="52660"/>
    <n v="46"/>
    <n v="4"/>
    <n v="6"/>
    <n v="40"/>
    <n v="4.7"/>
    <n v="8.5"/>
    <s v="High"/>
    <n v="71.77"/>
  </r>
  <r>
    <s v="EMP0876"/>
    <x v="4"/>
    <s v="HR Executive"/>
    <n v="52"/>
    <n v="14"/>
    <n v="64306"/>
    <n v="45"/>
    <n v="14"/>
    <n v="18"/>
    <n v="36"/>
    <n v="4.9000000000000004"/>
    <n v="7.3"/>
    <s v="Medium"/>
    <n v="81.83"/>
  </r>
  <r>
    <s v="EMP0877"/>
    <x v="2"/>
    <s v="Software Engineer"/>
    <n v="32"/>
    <n v="1"/>
    <n v="54773"/>
    <n v="36"/>
    <n v="8"/>
    <n v="7"/>
    <n v="0"/>
    <n v="3.9"/>
    <n v="7.9"/>
    <s v="Medium"/>
    <n v="72.430000000000007"/>
  </r>
  <r>
    <s v="EMP0878"/>
    <x v="1"/>
    <s v="Sales Executive"/>
    <n v="35"/>
    <n v="3"/>
    <n v="56506"/>
    <n v="45"/>
    <n v="13"/>
    <n v="23"/>
    <n v="24"/>
    <n v="2.6"/>
    <n v="4.3"/>
    <s v="Low"/>
    <n v="55.27"/>
  </r>
  <r>
    <s v="EMP0879"/>
    <x v="2"/>
    <s v="IT Executive"/>
    <n v="22"/>
    <n v="0"/>
    <n v="48454"/>
    <n v="35"/>
    <n v="9"/>
    <n v="3"/>
    <n v="9"/>
    <n v="2.9"/>
    <n v="4.4000000000000004"/>
    <s v="Low"/>
    <n v="50.1"/>
  </r>
  <r>
    <s v="EMP0880"/>
    <x v="2"/>
    <s v="Software Engineer"/>
    <n v="24"/>
    <n v="0"/>
    <n v="38049"/>
    <n v="41"/>
    <n v="5"/>
    <n v="5"/>
    <n v="14"/>
    <n v="4.7"/>
    <n v="8"/>
    <s v="High"/>
    <n v="70.430000000000007"/>
  </r>
  <r>
    <s v="EMP0881"/>
    <x v="1"/>
    <s v="Sales Analyst"/>
    <n v="37"/>
    <n v="5"/>
    <n v="37844"/>
    <n v="35"/>
    <n v="3"/>
    <n v="8"/>
    <n v="6"/>
    <n v="2.1"/>
    <n v="7.7"/>
    <s v="Medium"/>
    <n v="57.5"/>
  </r>
  <r>
    <s v="EMP0882"/>
    <x v="0"/>
    <s v="Finance Executive"/>
    <n v="43"/>
    <n v="6"/>
    <n v="44993"/>
    <n v="49"/>
    <n v="4"/>
    <n v="11"/>
    <n v="23"/>
    <n v="4"/>
    <n v="9.6"/>
    <s v="High"/>
    <n v="76.27"/>
  </r>
  <r>
    <s v="EMP0883"/>
    <x v="3"/>
    <s v="Marketing Executive"/>
    <n v="26"/>
    <n v="0"/>
    <n v="34465"/>
    <n v="39"/>
    <n v="13"/>
    <n v="6"/>
    <n v="12"/>
    <n v="3.6"/>
    <n v="7.9"/>
    <s v="Medium"/>
    <n v="79.87"/>
  </r>
  <r>
    <s v="EMP0884"/>
    <x v="1"/>
    <s v="Sales Executive"/>
    <n v="49"/>
    <n v="7"/>
    <n v="85359"/>
    <n v="36"/>
    <n v="13"/>
    <n v="19"/>
    <n v="37"/>
    <n v="2.6"/>
    <n v="6.7"/>
    <s v="Medium"/>
    <n v="69.67"/>
  </r>
  <r>
    <s v="EMP0885"/>
    <x v="2"/>
    <s v="Data Analyst"/>
    <n v="37"/>
    <n v="1"/>
    <n v="66252"/>
    <n v="43"/>
    <n v="14"/>
    <n v="4"/>
    <n v="32"/>
    <n v="4.9000000000000004"/>
    <n v="9.1999999999999993"/>
    <s v="High"/>
    <n v="93.23"/>
  </r>
  <r>
    <s v="EMP0886"/>
    <x v="0"/>
    <s v="Financial Analyst"/>
    <n v="52"/>
    <n v="2"/>
    <n v="35972"/>
    <n v="51"/>
    <n v="7"/>
    <n v="24"/>
    <n v="32"/>
    <n v="3.1"/>
    <n v="6.6"/>
    <s v="Medium"/>
    <n v="60.57"/>
  </r>
  <r>
    <s v="EMP0887"/>
    <x v="2"/>
    <s v="IT Executive"/>
    <n v="45"/>
    <n v="15"/>
    <n v="71900"/>
    <n v="50"/>
    <n v="8"/>
    <n v="8"/>
    <n v="37"/>
    <n v="3.2"/>
    <n v="9.4"/>
    <s v="High"/>
    <n v="79.33"/>
  </r>
  <r>
    <s v="EMP0888"/>
    <x v="0"/>
    <s v="Accountant"/>
    <n v="35"/>
    <n v="3"/>
    <n v="83647"/>
    <n v="41"/>
    <n v="8"/>
    <n v="7"/>
    <n v="25"/>
    <n v="2.7"/>
    <n v="6"/>
    <s v="Medium"/>
    <n v="57.43"/>
  </r>
  <r>
    <s v="EMP0889"/>
    <x v="1"/>
    <s v="Sales Executive"/>
    <n v="32"/>
    <n v="5"/>
    <n v="41680"/>
    <n v="52"/>
    <n v="2"/>
    <n v="4"/>
    <n v="5"/>
    <n v="2.9"/>
    <n v="6.6"/>
    <s v="Medium"/>
    <n v="51.63"/>
  </r>
  <r>
    <s v="EMP0890"/>
    <x v="1"/>
    <s v="Sales Analyst"/>
    <n v="24"/>
    <n v="3"/>
    <n v="58571"/>
    <n v="54"/>
    <n v="6"/>
    <n v="13"/>
    <n v="28"/>
    <n v="3.4"/>
    <n v="5.9"/>
    <s v="Low"/>
    <n v="55.6"/>
  </r>
  <r>
    <s v="EMP0891"/>
    <x v="2"/>
    <s v="Data Analyst"/>
    <n v="39"/>
    <n v="12"/>
    <n v="26619"/>
    <n v="40"/>
    <n v="8"/>
    <n v="7"/>
    <n v="16"/>
    <n v="3.9"/>
    <n v="5.5"/>
    <s v="Low"/>
    <n v="58.03"/>
  </r>
  <r>
    <s v="EMP0892"/>
    <x v="2"/>
    <s v="IT Executive"/>
    <n v="54"/>
    <n v="2"/>
    <n v="76502"/>
    <n v="43"/>
    <n v="15"/>
    <n v="7"/>
    <n v="6"/>
    <n v="2.4"/>
    <n v="5.5"/>
    <s v="Low"/>
    <n v="65.2"/>
  </r>
  <r>
    <s v="EMP0893"/>
    <x v="4"/>
    <s v="HR Analyst"/>
    <n v="43"/>
    <n v="6"/>
    <n v="69243"/>
    <n v="45"/>
    <n v="5"/>
    <n v="9"/>
    <n v="17"/>
    <n v="2.6"/>
    <n v="7.2"/>
    <s v="Medium"/>
    <n v="59.33"/>
  </r>
  <r>
    <s v="EMP0894"/>
    <x v="1"/>
    <s v="Account Manager"/>
    <n v="38"/>
    <n v="0"/>
    <n v="75467"/>
    <n v="44"/>
    <n v="5"/>
    <n v="11"/>
    <n v="25"/>
    <n v="4.8"/>
    <n v="8.8000000000000007"/>
    <s v="High"/>
    <n v="75.53"/>
  </r>
  <r>
    <s v="EMP0895"/>
    <x v="0"/>
    <s v="Finance Executive"/>
    <n v="52"/>
    <n v="4"/>
    <n v="81719"/>
    <n v="47"/>
    <n v="4"/>
    <n v="7"/>
    <n v="13"/>
    <n v="3.4"/>
    <n v="6.6"/>
    <s v="Medium"/>
    <n v="56.47"/>
  </r>
  <r>
    <s v="EMP0896"/>
    <x v="3"/>
    <s v="Marketing Analyst"/>
    <n v="51"/>
    <n v="10"/>
    <n v="76898"/>
    <n v="37"/>
    <n v="6"/>
    <n v="6"/>
    <n v="27"/>
    <n v="4.3"/>
    <n v="7.9"/>
    <s v="Medium"/>
    <n v="70.3"/>
  </r>
  <r>
    <s v="EMP0897"/>
    <x v="3"/>
    <s v="Content Specialist"/>
    <n v="50"/>
    <n v="0"/>
    <n v="49556"/>
    <n v="39"/>
    <n v="10"/>
    <n v="4"/>
    <n v="19"/>
    <n v="4.8"/>
    <n v="3.1"/>
    <s v="Low"/>
    <n v="49.67"/>
  </r>
  <r>
    <s v="EMP0898"/>
    <x v="2"/>
    <s v="Software Engineer"/>
    <n v="43"/>
    <n v="7"/>
    <n v="52469"/>
    <n v="48"/>
    <n v="11"/>
    <n v="24"/>
    <n v="25"/>
    <n v="4.3"/>
    <n v="7.8"/>
    <s v="Medium"/>
    <n v="78.03"/>
  </r>
  <r>
    <s v="EMP0899"/>
    <x v="2"/>
    <s v="IT Executive"/>
    <n v="23"/>
    <n v="2"/>
    <n v="76469"/>
    <n v="36"/>
    <n v="15"/>
    <n v="4"/>
    <n v="9"/>
    <n v="4.9000000000000004"/>
    <n v="10"/>
    <s v="High"/>
    <n v="99.7"/>
  </r>
  <r>
    <s v="EMP0900"/>
    <x v="1"/>
    <s v="Account Manager"/>
    <n v="47"/>
    <n v="12"/>
    <n v="38382"/>
    <n v="47"/>
    <n v="2"/>
    <n v="17"/>
    <n v="24"/>
    <n v="2.6"/>
    <n v="3.8"/>
    <s v="Low"/>
    <n v="33.93"/>
  </r>
  <r>
    <s v="EMP0901"/>
    <x v="3"/>
    <s v="Marketing Executive"/>
    <n v="41"/>
    <n v="2"/>
    <n v="36234"/>
    <n v="38"/>
    <n v="11"/>
    <n v="17"/>
    <n v="11"/>
    <n v="2.1"/>
    <n v="7.8"/>
    <s v="Medium"/>
    <n v="71.430000000000007"/>
  </r>
  <r>
    <s v="EMP0902"/>
    <x v="0"/>
    <s v="Accountant"/>
    <n v="33"/>
    <n v="3"/>
    <n v="29554"/>
    <n v="47"/>
    <n v="5"/>
    <n v="6"/>
    <n v="14"/>
    <n v="2.9"/>
    <n v="6.7"/>
    <s v="Medium"/>
    <n v="57.23"/>
  </r>
  <r>
    <s v="EMP0903"/>
    <x v="0"/>
    <s v="Finance Executive"/>
    <n v="45"/>
    <n v="0"/>
    <n v="36260"/>
    <n v="45"/>
    <n v="14"/>
    <n v="13"/>
    <n v="25"/>
    <n v="2.5"/>
    <n v="3.8"/>
    <s v="Low"/>
    <n v="53.63"/>
  </r>
  <r>
    <s v="EMP0904"/>
    <x v="3"/>
    <s v="Marketing Executive"/>
    <n v="52"/>
    <n v="2"/>
    <n v="50493"/>
    <n v="41"/>
    <n v="3"/>
    <n v="6"/>
    <n v="19"/>
    <n v="3.3"/>
    <n v="8"/>
    <s v="High"/>
    <n v="62.9"/>
  </r>
  <r>
    <s v="EMP0905"/>
    <x v="4"/>
    <s v="HR Executive"/>
    <n v="41"/>
    <n v="6"/>
    <n v="57930"/>
    <n v="49"/>
    <n v="5"/>
    <n v="6"/>
    <n v="0"/>
    <n v="5"/>
    <n v="6.1"/>
    <s v="Medium"/>
    <n v="59.93"/>
  </r>
  <r>
    <s v="EMP0906"/>
    <x v="1"/>
    <s v="Sales Executive"/>
    <n v="37"/>
    <n v="10"/>
    <n v="84657"/>
    <n v="53"/>
    <n v="15"/>
    <n v="15"/>
    <n v="29"/>
    <n v="3.4"/>
    <n v="3.3"/>
    <s v="Low"/>
    <n v="55"/>
  </r>
  <r>
    <s v="EMP0907"/>
    <x v="2"/>
    <s v="IT Executive"/>
    <n v="51"/>
    <n v="11"/>
    <n v="70895"/>
    <n v="44"/>
    <n v="7"/>
    <n v="19"/>
    <n v="11"/>
    <n v="3.2"/>
    <n v="4.3"/>
    <s v="Low"/>
    <n v="47.07"/>
  </r>
  <r>
    <s v="EMP0908"/>
    <x v="3"/>
    <s v="Marketing Analyst"/>
    <n v="51"/>
    <n v="12"/>
    <n v="84692"/>
    <n v="40"/>
    <n v="12"/>
    <n v="18"/>
    <n v="6"/>
    <n v="3.2"/>
    <n v="9.6"/>
    <s v="High"/>
    <n v="87.2"/>
  </r>
  <r>
    <s v="EMP0909"/>
    <x v="4"/>
    <s v="Recruiter"/>
    <n v="39"/>
    <n v="9"/>
    <n v="68690"/>
    <n v="37"/>
    <n v="12"/>
    <n v="23"/>
    <n v="13"/>
    <n v="4.7"/>
    <n v="5.9"/>
    <s v="Low"/>
    <n v="69.5"/>
  </r>
  <r>
    <s v="EMP0910"/>
    <x v="0"/>
    <s v="Financial Analyst"/>
    <n v="45"/>
    <n v="2"/>
    <n v="74505"/>
    <n v="38"/>
    <n v="9"/>
    <n v="24"/>
    <n v="20"/>
    <n v="3.2"/>
    <n v="4.2"/>
    <s v="Low"/>
    <n v="49.8"/>
  </r>
  <r>
    <s v="EMP0911"/>
    <x v="1"/>
    <s v="Sales Executive"/>
    <n v="24"/>
    <n v="3"/>
    <n v="26750"/>
    <n v="37"/>
    <n v="11"/>
    <n v="22"/>
    <n v="29"/>
    <n v="3.1"/>
    <n v="8.1999999999999993"/>
    <s v="High"/>
    <n v="76.83"/>
  </r>
  <r>
    <s v="EMP0912"/>
    <x v="3"/>
    <s v="Marketing Executive"/>
    <n v="24"/>
    <n v="0"/>
    <n v="41423"/>
    <n v="38"/>
    <n v="12"/>
    <n v="4"/>
    <n v="20"/>
    <n v="4"/>
    <n v="6.2"/>
    <s v="Medium"/>
    <n v="69.2"/>
  </r>
  <r>
    <s v="EMP0913"/>
    <x v="0"/>
    <s v="Financial Analyst"/>
    <n v="27"/>
    <n v="4"/>
    <n v="68058"/>
    <n v="42"/>
    <n v="12"/>
    <n v="14"/>
    <n v="8"/>
    <n v="3.4"/>
    <n v="5"/>
    <s v="Low"/>
    <n v="60.2"/>
  </r>
  <r>
    <s v="EMP0914"/>
    <x v="4"/>
    <s v="Recruiter"/>
    <n v="23"/>
    <n v="2"/>
    <n v="31587"/>
    <n v="40"/>
    <n v="5"/>
    <n v="3"/>
    <n v="34"/>
    <n v="4.2"/>
    <n v="4.2"/>
    <s v="Low"/>
    <n v="46.13"/>
  </r>
  <r>
    <s v="EMP0915"/>
    <x v="0"/>
    <s v="Accountant"/>
    <n v="39"/>
    <n v="4"/>
    <n v="53878"/>
    <n v="46"/>
    <n v="3"/>
    <n v="6"/>
    <n v="2"/>
    <n v="4.7"/>
    <n v="6.7"/>
    <s v="Medium"/>
    <n v="59.3"/>
  </r>
  <r>
    <s v="EMP0916"/>
    <x v="0"/>
    <s v="Financial Analyst"/>
    <n v="55"/>
    <n v="3"/>
    <n v="50599"/>
    <n v="44"/>
    <n v="8"/>
    <n v="1"/>
    <n v="38"/>
    <n v="2"/>
    <n v="8.4"/>
    <s v="High"/>
    <n v="69.73"/>
  </r>
  <r>
    <s v="EMP0917"/>
    <x v="4"/>
    <s v="HR Analyst"/>
    <n v="45"/>
    <n v="7"/>
    <n v="38106"/>
    <n v="37"/>
    <n v="1"/>
    <n v="13"/>
    <n v="1"/>
    <n v="5"/>
    <n v="5.4"/>
    <s v="Low"/>
    <n v="49.07"/>
  </r>
  <r>
    <s v="EMP0918"/>
    <x v="0"/>
    <s v="Accountant"/>
    <n v="36"/>
    <n v="3"/>
    <n v="77227"/>
    <n v="40"/>
    <n v="12"/>
    <n v="5"/>
    <n v="2"/>
    <n v="3.2"/>
    <n v="3.8"/>
    <s v="Low"/>
    <n v="52.4"/>
  </r>
  <r>
    <s v="EMP0919"/>
    <x v="2"/>
    <s v="Software Engineer"/>
    <n v="34"/>
    <n v="9"/>
    <n v="38573"/>
    <n v="52"/>
    <n v="7"/>
    <n v="13"/>
    <n v="7"/>
    <n v="2.7"/>
    <n v="3.7"/>
    <s v="Low"/>
    <n v="41.97"/>
  </r>
  <r>
    <s v="EMP0920"/>
    <x v="4"/>
    <s v="HR Executive"/>
    <n v="22"/>
    <n v="1"/>
    <n v="67860"/>
    <n v="45"/>
    <n v="1"/>
    <n v="12"/>
    <n v="13"/>
    <n v="3.4"/>
    <n v="3.5"/>
    <s v="Low"/>
    <n v="32.869999999999997"/>
  </r>
  <r>
    <s v="EMP0921"/>
    <x v="1"/>
    <s v="Account Manager"/>
    <n v="45"/>
    <n v="1"/>
    <n v="29412"/>
    <n v="41"/>
    <n v="7"/>
    <n v="9"/>
    <n v="38"/>
    <n v="3.5"/>
    <n v="9.9"/>
    <s v="High"/>
    <n v="81.569999999999993"/>
  </r>
  <r>
    <s v="EMP0922"/>
    <x v="1"/>
    <s v="Account Manager"/>
    <n v="32"/>
    <n v="4"/>
    <n v="87851"/>
    <n v="38"/>
    <n v="10"/>
    <n v="10"/>
    <n v="40"/>
    <n v="4.0999999999999996"/>
    <n v="7.7"/>
    <s v="Medium"/>
    <n v="75.17"/>
  </r>
  <r>
    <s v="EMP0923"/>
    <x v="4"/>
    <s v="Recruiter"/>
    <n v="43"/>
    <n v="5"/>
    <n v="66638"/>
    <n v="45"/>
    <n v="14"/>
    <n v="21"/>
    <n v="30"/>
    <n v="2.2000000000000002"/>
    <n v="3.1"/>
    <s v="Low"/>
    <n v="48.53"/>
  </r>
  <r>
    <s v="EMP0924"/>
    <x v="3"/>
    <s v="Marketing Analyst"/>
    <n v="46"/>
    <n v="7"/>
    <n v="57992"/>
    <n v="53"/>
    <n v="12"/>
    <n v="0"/>
    <n v="14"/>
    <n v="2.1"/>
    <n v="8.3000000000000007"/>
    <s v="High"/>
    <n v="76.099999999999994"/>
  </r>
  <r>
    <s v="EMP0925"/>
    <x v="2"/>
    <s v="Data Analyst"/>
    <n v="37"/>
    <n v="13"/>
    <n v="74626"/>
    <n v="42"/>
    <n v="10"/>
    <n v="2"/>
    <n v="3"/>
    <n v="2.4"/>
    <n v="6.5"/>
    <s v="Medium"/>
    <n v="62.87"/>
  </r>
  <r>
    <s v="EMP0926"/>
    <x v="4"/>
    <s v="HR Executive"/>
    <n v="46"/>
    <n v="6"/>
    <n v="67076"/>
    <n v="36"/>
    <n v="4"/>
    <n v="23"/>
    <n v="38"/>
    <n v="5"/>
    <n v="6.1"/>
    <s v="Medium"/>
    <n v="58.27"/>
  </r>
  <r>
    <s v="EMP0927"/>
    <x v="4"/>
    <s v="HR Analyst"/>
    <n v="39"/>
    <n v="10"/>
    <n v="67179"/>
    <n v="36"/>
    <n v="9"/>
    <n v="25"/>
    <n v="26"/>
    <n v="3.9"/>
    <n v="5"/>
    <s v="Low"/>
    <n v="56.7"/>
  </r>
  <r>
    <s v="EMP0928"/>
    <x v="4"/>
    <s v="HR Analyst"/>
    <n v="43"/>
    <n v="10"/>
    <n v="40876"/>
    <n v="41"/>
    <n v="9"/>
    <n v="1"/>
    <n v="15"/>
    <n v="4.4000000000000004"/>
    <n v="7.9"/>
    <s v="Medium"/>
    <n v="75.599999999999994"/>
  </r>
  <r>
    <s v="EMP0929"/>
    <x v="1"/>
    <s v="Sales Executive"/>
    <n v="46"/>
    <n v="10"/>
    <n v="37028"/>
    <n v="49"/>
    <n v="11"/>
    <n v="0"/>
    <n v="4"/>
    <n v="4.5999999999999996"/>
    <n v="3.5"/>
    <s v="Low"/>
    <n v="53.13"/>
  </r>
  <r>
    <s v="EMP0930"/>
    <x v="0"/>
    <s v="Financial Analyst"/>
    <n v="31"/>
    <n v="3"/>
    <n v="33228"/>
    <n v="37"/>
    <n v="3"/>
    <n v="18"/>
    <n v="35"/>
    <n v="4.5"/>
    <n v="9.5"/>
    <s v="High"/>
    <n v="75.5"/>
  </r>
  <r>
    <s v="EMP0931"/>
    <x v="1"/>
    <s v="Sales Executive"/>
    <n v="27"/>
    <n v="3"/>
    <n v="72512"/>
    <n v="49"/>
    <n v="5"/>
    <n v="5"/>
    <n v="12"/>
    <n v="2.7"/>
    <n v="4.2"/>
    <s v="Low"/>
    <n v="41.63"/>
  </r>
  <r>
    <s v="EMP0932"/>
    <x v="2"/>
    <s v="Software Engineer"/>
    <n v="40"/>
    <n v="14"/>
    <n v="88420"/>
    <n v="55"/>
    <n v="4"/>
    <n v="8"/>
    <n v="30"/>
    <n v="2.2000000000000002"/>
    <n v="9.8000000000000007"/>
    <s v="High"/>
    <n v="72.069999999999993"/>
  </r>
  <r>
    <s v="EMP0933"/>
    <x v="3"/>
    <s v="Marketing Executive"/>
    <n v="32"/>
    <n v="7"/>
    <n v="53926"/>
    <n v="48"/>
    <n v="9"/>
    <n v="19"/>
    <n v="27"/>
    <n v="4.3"/>
    <n v="8.6999999999999993"/>
    <s v="High"/>
    <n v="80.099999999999994"/>
  </r>
  <r>
    <s v="EMP0934"/>
    <x v="0"/>
    <s v="Financial Analyst"/>
    <n v="46"/>
    <n v="13"/>
    <n v="80970"/>
    <n v="37"/>
    <n v="13"/>
    <n v="9"/>
    <n v="38"/>
    <n v="3.6"/>
    <n v="6.9"/>
    <s v="Medium"/>
    <n v="73.87"/>
  </r>
  <r>
    <s v="EMP0935"/>
    <x v="2"/>
    <s v="Data Analyst"/>
    <n v="46"/>
    <n v="14"/>
    <n v="45044"/>
    <n v="49"/>
    <n v="5"/>
    <n v="12"/>
    <n v="35"/>
    <n v="3.8"/>
    <n v="3.5"/>
    <s v="Low"/>
    <n v="40.729999999999997"/>
  </r>
  <r>
    <s v="EMP0936"/>
    <x v="3"/>
    <s v="Marketing Executive"/>
    <n v="34"/>
    <n v="2"/>
    <n v="85039"/>
    <n v="41"/>
    <n v="1"/>
    <n v="0"/>
    <n v="32"/>
    <n v="4.2"/>
    <n v="5.6"/>
    <s v="Low"/>
    <n v="47.87"/>
  </r>
  <r>
    <s v="EMP0937"/>
    <x v="3"/>
    <s v="Marketing Analyst"/>
    <n v="47"/>
    <n v="11"/>
    <n v="50168"/>
    <n v="50"/>
    <n v="5"/>
    <n v="20"/>
    <n v="37"/>
    <n v="2.2000000000000002"/>
    <n v="9.1999999999999993"/>
    <s v="High"/>
    <n v="70.13"/>
  </r>
  <r>
    <s v="EMP0938"/>
    <x v="3"/>
    <s v="Content Specialist"/>
    <n v="32"/>
    <n v="3"/>
    <n v="75000"/>
    <n v="48"/>
    <n v="5"/>
    <n v="24"/>
    <n v="22"/>
    <n v="3.5"/>
    <n v="6.4"/>
    <s v="Medium"/>
    <n v="57.23"/>
  </r>
  <r>
    <s v="EMP0939"/>
    <x v="2"/>
    <s v="Software Engineer"/>
    <n v="25"/>
    <n v="3"/>
    <n v="85720"/>
    <n v="48"/>
    <n v="12"/>
    <n v="7"/>
    <n v="15"/>
    <n v="3.4"/>
    <n v="9.5"/>
    <s v="High"/>
    <n v="87.2"/>
  </r>
  <r>
    <s v="EMP0940"/>
    <x v="0"/>
    <s v="Finance Executive"/>
    <n v="31"/>
    <n v="4"/>
    <n v="64677"/>
    <n v="49"/>
    <n v="11"/>
    <n v="4"/>
    <n v="16"/>
    <n v="2.7"/>
    <n v="7"/>
    <s v="Medium"/>
    <n v="68.430000000000007"/>
  </r>
  <r>
    <s v="EMP0941"/>
    <x v="4"/>
    <s v="HR Analyst"/>
    <n v="22"/>
    <n v="0"/>
    <n v="75526"/>
    <n v="37"/>
    <n v="11"/>
    <n v="22"/>
    <n v="24"/>
    <n v="3.2"/>
    <n v="7.1"/>
    <s v="Medium"/>
    <n v="70.53"/>
  </r>
  <r>
    <s v="EMP0942"/>
    <x v="1"/>
    <s v="Sales Analyst"/>
    <n v="34"/>
    <n v="6"/>
    <n v="35867"/>
    <n v="48"/>
    <n v="5"/>
    <n v="22"/>
    <n v="19"/>
    <n v="3.5"/>
    <n v="6.7"/>
    <s v="Medium"/>
    <n v="59.03"/>
  </r>
  <r>
    <s v="EMP0943"/>
    <x v="1"/>
    <s v="Sales Executive"/>
    <n v="41"/>
    <n v="13"/>
    <n v="74313"/>
    <n v="37"/>
    <n v="2"/>
    <n v="20"/>
    <n v="36"/>
    <n v="4.3"/>
    <n v="5.4"/>
    <s v="Low"/>
    <n v="48.63"/>
  </r>
  <r>
    <s v="EMP0944"/>
    <x v="2"/>
    <s v="Data Analyst"/>
    <n v="35"/>
    <n v="14"/>
    <n v="74039"/>
    <n v="47"/>
    <n v="12"/>
    <n v="9"/>
    <n v="0"/>
    <n v="5"/>
    <n v="8.6999999999999993"/>
    <s v="High"/>
    <n v="87.2"/>
  </r>
  <r>
    <s v="EMP0945"/>
    <x v="0"/>
    <s v="Accountant"/>
    <n v="26"/>
    <n v="5"/>
    <n v="52383"/>
    <n v="51"/>
    <n v="7"/>
    <n v="20"/>
    <n v="18"/>
    <n v="4.2"/>
    <n v="4.2"/>
    <s v="Low"/>
    <n v="49.47"/>
  </r>
  <r>
    <s v="EMP0946"/>
    <x v="4"/>
    <s v="HR Analyst"/>
    <n v="30"/>
    <n v="3"/>
    <n v="56881"/>
    <n v="40"/>
    <n v="9"/>
    <n v="3"/>
    <n v="28"/>
    <n v="3.7"/>
    <n v="4.5"/>
    <s v="Low"/>
    <n v="53.1"/>
  </r>
  <r>
    <s v="EMP0947"/>
    <x v="0"/>
    <s v="Finance Executive"/>
    <n v="33"/>
    <n v="12"/>
    <n v="74752"/>
    <n v="41"/>
    <n v="5"/>
    <n v="13"/>
    <n v="28"/>
    <n v="3.9"/>
    <n v="7.4"/>
    <s v="Medium"/>
    <n v="64.430000000000007"/>
  </r>
  <r>
    <s v="EMP0948"/>
    <x v="4"/>
    <s v="HR Executive"/>
    <n v="27"/>
    <n v="2"/>
    <n v="30616"/>
    <n v="47"/>
    <n v="2"/>
    <n v="8"/>
    <n v="4"/>
    <n v="3"/>
    <n v="7.1"/>
    <s v="Medium"/>
    <n v="54.93"/>
  </r>
  <r>
    <s v="EMP0949"/>
    <x v="3"/>
    <s v="Marketing Analyst"/>
    <n v="28"/>
    <n v="0"/>
    <n v="29001"/>
    <n v="43"/>
    <n v="13"/>
    <n v="0"/>
    <n v="37"/>
    <n v="4.4000000000000004"/>
    <n v="3.3"/>
    <s v="Low"/>
    <n v="54.67"/>
  </r>
  <r>
    <s v="EMP0950"/>
    <x v="1"/>
    <s v="Sales Analyst"/>
    <n v="22"/>
    <n v="1"/>
    <n v="64517"/>
    <n v="51"/>
    <n v="13"/>
    <n v="8"/>
    <n v="31"/>
    <n v="3.4"/>
    <n v="5.4"/>
    <s v="Low"/>
    <n v="64.27"/>
  </r>
  <r>
    <s v="EMP0951"/>
    <x v="2"/>
    <s v="Software Engineer"/>
    <n v="45"/>
    <n v="10"/>
    <n v="45658"/>
    <n v="42"/>
    <n v="6"/>
    <n v="21"/>
    <n v="25"/>
    <n v="3.1"/>
    <n v="3.4"/>
    <s v="Low"/>
    <n v="39.700000000000003"/>
  </r>
  <r>
    <s v="EMP0952"/>
    <x v="2"/>
    <s v="Software Engineer"/>
    <n v="28"/>
    <n v="0"/>
    <n v="54944"/>
    <n v="47"/>
    <n v="12"/>
    <n v="4"/>
    <n v="1"/>
    <n v="3.8"/>
    <n v="9.1"/>
    <s v="High"/>
    <n v="86"/>
  </r>
  <r>
    <s v="EMP0953"/>
    <x v="4"/>
    <s v="HR Executive"/>
    <n v="45"/>
    <n v="14"/>
    <n v="65524"/>
    <n v="50"/>
    <n v="9"/>
    <n v="13"/>
    <n v="12"/>
    <n v="2"/>
    <n v="7.5"/>
    <s v="Medium"/>
    <n v="66"/>
  </r>
  <r>
    <s v="EMP0954"/>
    <x v="0"/>
    <s v="Finance Executive"/>
    <n v="45"/>
    <n v="1"/>
    <n v="88543"/>
    <n v="45"/>
    <n v="11"/>
    <n v="14"/>
    <n v="14"/>
    <n v="3.8"/>
    <n v="5.8"/>
    <s v="Low"/>
    <n v="64.53"/>
  </r>
  <r>
    <s v="EMP0955"/>
    <x v="0"/>
    <s v="Financial Analyst"/>
    <n v="44"/>
    <n v="13"/>
    <n v="86543"/>
    <n v="50"/>
    <n v="11"/>
    <n v="22"/>
    <n v="6"/>
    <n v="4.2"/>
    <n v="5.0999999999999996"/>
    <s v="Low"/>
    <n v="61.53"/>
  </r>
  <r>
    <s v="EMP0956"/>
    <x v="4"/>
    <s v="HR Executive"/>
    <n v="55"/>
    <n v="1"/>
    <n v="33379"/>
    <n v="50"/>
    <n v="13"/>
    <n v="2"/>
    <n v="19"/>
    <n v="4.5"/>
    <n v="10"/>
    <s v="High"/>
    <n v="95.17"/>
  </r>
  <r>
    <s v="EMP0957"/>
    <x v="4"/>
    <s v="Recruiter"/>
    <n v="50"/>
    <n v="3"/>
    <n v="56599"/>
    <n v="52"/>
    <n v="4"/>
    <n v="7"/>
    <n v="13"/>
    <n v="2.5"/>
    <n v="9.6"/>
    <s v="High"/>
    <n v="71.77"/>
  </r>
  <r>
    <s v="EMP0958"/>
    <x v="0"/>
    <s v="Accountant"/>
    <n v="28"/>
    <n v="6"/>
    <n v="71908"/>
    <n v="35"/>
    <n v="3"/>
    <n v="10"/>
    <n v="24"/>
    <n v="4.3"/>
    <n v="4.5"/>
    <s v="Low"/>
    <n v="44.9"/>
  </r>
  <r>
    <s v="EMP0959"/>
    <x v="3"/>
    <s v="Marketing Analyst"/>
    <n v="29"/>
    <n v="2"/>
    <n v="85472"/>
    <n v="52"/>
    <n v="11"/>
    <n v="23"/>
    <n v="31"/>
    <n v="2.2999999999999998"/>
    <n v="7.8"/>
    <s v="Medium"/>
    <n v="72.03"/>
  </r>
  <r>
    <s v="EMP0960"/>
    <x v="1"/>
    <s v="Sales Analyst"/>
    <n v="26"/>
    <n v="5"/>
    <n v="47493"/>
    <n v="47"/>
    <n v="15"/>
    <n v="22"/>
    <n v="24"/>
    <n v="4"/>
    <n v="8.5"/>
    <s v="High"/>
    <n v="88"/>
  </r>
  <r>
    <s v="EMP0961"/>
    <x v="4"/>
    <s v="HR Analyst"/>
    <n v="36"/>
    <n v="8"/>
    <n v="32581"/>
    <n v="44"/>
    <n v="2"/>
    <n v="3"/>
    <n v="5"/>
    <n v="3"/>
    <n v="7.1"/>
    <s v="Medium"/>
    <n v="54.93"/>
  </r>
  <r>
    <s v="EMP0962"/>
    <x v="0"/>
    <s v="Financial Analyst"/>
    <n v="45"/>
    <n v="4"/>
    <n v="80923"/>
    <n v="45"/>
    <n v="7"/>
    <n v="18"/>
    <n v="0"/>
    <n v="2.9"/>
    <n v="7.1"/>
    <s v="Medium"/>
    <n v="62.97"/>
  </r>
  <r>
    <s v="EMP0963"/>
    <x v="3"/>
    <s v="Marketing Analyst"/>
    <n v="49"/>
    <n v="10"/>
    <n v="75546"/>
    <n v="46"/>
    <n v="13"/>
    <n v="21"/>
    <n v="8"/>
    <n v="3.6"/>
    <n v="7.2"/>
    <s v="Medium"/>
    <n v="75.67"/>
  </r>
  <r>
    <s v="EMP0964"/>
    <x v="0"/>
    <s v="Accountant"/>
    <n v="47"/>
    <n v="0"/>
    <n v="60277"/>
    <n v="49"/>
    <n v="6"/>
    <n v="4"/>
    <n v="18"/>
    <n v="4.5"/>
    <n v="6.5"/>
    <s v="Medium"/>
    <n v="62.5"/>
  </r>
  <r>
    <s v="EMP0965"/>
    <x v="4"/>
    <s v="HR Executive"/>
    <n v="40"/>
    <n v="4"/>
    <n v="73959"/>
    <n v="36"/>
    <n v="10"/>
    <n v="10"/>
    <n v="19"/>
    <n v="3.5"/>
    <n v="7.8"/>
    <s v="Medium"/>
    <n v="73.97"/>
  </r>
  <r>
    <s v="EMP0966"/>
    <x v="1"/>
    <s v="Account Manager"/>
    <n v="52"/>
    <n v="6"/>
    <n v="57441"/>
    <n v="44"/>
    <n v="12"/>
    <n v="12"/>
    <n v="3"/>
    <n v="4.9000000000000004"/>
    <n v="5.3"/>
    <s v="Low"/>
    <n v="66.5"/>
  </r>
  <r>
    <s v="EMP0967"/>
    <x v="4"/>
    <s v="HR Analyst"/>
    <n v="36"/>
    <n v="1"/>
    <n v="85500"/>
    <n v="40"/>
    <n v="14"/>
    <n v="15"/>
    <n v="25"/>
    <n v="2.9"/>
    <n v="8.6999999999999993"/>
    <s v="High"/>
    <n v="84.23"/>
  </r>
  <r>
    <s v="EMP0968"/>
    <x v="0"/>
    <s v="Accountant"/>
    <n v="47"/>
    <n v="10"/>
    <n v="52684"/>
    <n v="50"/>
    <n v="6"/>
    <n v="24"/>
    <n v="25"/>
    <n v="3.2"/>
    <n v="6.7"/>
    <s v="Medium"/>
    <n v="59.8"/>
  </r>
  <r>
    <s v="EMP0969"/>
    <x v="2"/>
    <s v="Data Analyst"/>
    <n v="34"/>
    <n v="11"/>
    <n v="81115"/>
    <n v="52"/>
    <n v="7"/>
    <n v="3"/>
    <n v="8"/>
    <n v="3"/>
    <n v="8.5"/>
    <s v="High"/>
    <n v="71.67"/>
  </r>
  <r>
    <s v="EMP0970"/>
    <x v="2"/>
    <s v="Data Analyst"/>
    <n v="51"/>
    <n v="5"/>
    <n v="62824"/>
    <n v="39"/>
    <n v="8"/>
    <n v="22"/>
    <n v="30"/>
    <n v="2.9"/>
    <n v="4"/>
    <s v="Low"/>
    <n v="46.03"/>
  </r>
  <r>
    <s v="EMP0971"/>
    <x v="4"/>
    <s v="Recruiter"/>
    <n v="22"/>
    <n v="1"/>
    <n v="72576"/>
    <n v="53"/>
    <n v="2"/>
    <n v="21"/>
    <n v="9"/>
    <n v="3.1"/>
    <n v="9.9"/>
    <s v="High"/>
    <n v="72.03"/>
  </r>
  <r>
    <s v="EMP0972"/>
    <x v="4"/>
    <s v="Recruiter"/>
    <n v="25"/>
    <n v="0"/>
    <n v="48303"/>
    <n v="50"/>
    <n v="3"/>
    <n v="1"/>
    <n v="7"/>
    <n v="4.9000000000000004"/>
    <n v="7.6"/>
    <s v="Medium"/>
    <n v="65.3"/>
  </r>
  <r>
    <s v="EMP0973"/>
    <x v="3"/>
    <s v="Content Specialist"/>
    <n v="31"/>
    <n v="10"/>
    <n v="72353"/>
    <n v="47"/>
    <n v="4"/>
    <n v="1"/>
    <n v="7"/>
    <n v="2.7"/>
    <n v="6.4"/>
    <s v="Medium"/>
    <n v="53.17"/>
  </r>
  <r>
    <s v="EMP0974"/>
    <x v="1"/>
    <s v="Account Manager"/>
    <n v="33"/>
    <n v="10"/>
    <n v="73837"/>
    <n v="47"/>
    <n v="13"/>
    <n v="22"/>
    <n v="5"/>
    <n v="4.3"/>
    <n v="9.1"/>
    <s v="High"/>
    <n v="89.17"/>
  </r>
  <r>
    <s v="EMP0975"/>
    <x v="3"/>
    <s v="Content Specialist"/>
    <n v="39"/>
    <n v="14"/>
    <n v="49072"/>
    <n v="35"/>
    <n v="2"/>
    <n v="3"/>
    <n v="5"/>
    <n v="2.4"/>
    <n v="7.5"/>
    <s v="Medium"/>
    <n v="55.53"/>
  </r>
  <r>
    <s v="EMP0976"/>
    <x v="4"/>
    <s v="HR Executive"/>
    <n v="23"/>
    <n v="2"/>
    <n v="62550"/>
    <n v="53"/>
    <n v="8"/>
    <n v="8"/>
    <n v="6"/>
    <n v="4.4000000000000004"/>
    <n v="4.3"/>
    <s v="Low"/>
    <n v="52.33"/>
  </r>
  <r>
    <s v="EMP0977"/>
    <x v="3"/>
    <s v="Marketing Analyst"/>
    <n v="41"/>
    <n v="4"/>
    <n v="31516"/>
    <n v="45"/>
    <n v="2"/>
    <n v="22"/>
    <n v="34"/>
    <n v="2.6"/>
    <n v="8.6999999999999993"/>
    <s v="High"/>
    <n v="63.33"/>
  </r>
  <r>
    <s v="EMP0978"/>
    <x v="3"/>
    <s v="Marketing Analyst"/>
    <n v="55"/>
    <n v="15"/>
    <n v="29189"/>
    <n v="51"/>
    <n v="14"/>
    <n v="18"/>
    <n v="34"/>
    <n v="4.0999999999999996"/>
    <n v="8.5"/>
    <s v="High"/>
    <n v="86.63"/>
  </r>
  <r>
    <s v="EMP0979"/>
    <x v="4"/>
    <s v="HR Analyst"/>
    <n v="29"/>
    <n v="2"/>
    <n v="81492"/>
    <n v="54"/>
    <n v="12"/>
    <n v="5"/>
    <n v="0"/>
    <n v="3.7"/>
    <n v="8.6"/>
    <s v="High"/>
    <n v="82.7"/>
  </r>
  <r>
    <s v="EMP0980"/>
    <x v="0"/>
    <s v="Financial Analyst"/>
    <n v="30"/>
    <n v="9"/>
    <n v="38515"/>
    <n v="55"/>
    <n v="3"/>
    <n v="2"/>
    <n v="35"/>
    <n v="2.8"/>
    <n v="8.3000000000000007"/>
    <s v="High"/>
    <n v="63.2"/>
  </r>
  <r>
    <s v="EMP0981"/>
    <x v="0"/>
    <s v="Finance Executive"/>
    <n v="54"/>
    <n v="9"/>
    <n v="48826"/>
    <n v="52"/>
    <n v="3"/>
    <n v="13"/>
    <n v="0"/>
    <n v="2.7"/>
    <n v="3.3"/>
    <s v="Low"/>
    <n v="32.9"/>
  </r>
  <r>
    <s v="EMP0982"/>
    <x v="2"/>
    <s v="IT Executive"/>
    <n v="50"/>
    <n v="4"/>
    <n v="62818"/>
    <n v="50"/>
    <n v="12"/>
    <n v="10"/>
    <n v="33"/>
    <n v="4.7"/>
    <n v="10"/>
    <s v="High"/>
    <n v="94.1"/>
  </r>
  <r>
    <s v="EMP0983"/>
    <x v="1"/>
    <s v="Sales Executive"/>
    <n v="54"/>
    <n v="6"/>
    <n v="70084"/>
    <n v="38"/>
    <n v="11"/>
    <n v="1"/>
    <n v="15"/>
    <n v="2.1"/>
    <n v="4"/>
    <s v="Low"/>
    <n v="48.63"/>
  </r>
  <r>
    <s v="EMP0984"/>
    <x v="4"/>
    <s v="HR Executive"/>
    <n v="35"/>
    <n v="9"/>
    <n v="48531"/>
    <n v="43"/>
    <n v="3"/>
    <n v="23"/>
    <n v="39"/>
    <n v="3.3"/>
    <n v="6.8"/>
    <s v="Medium"/>
    <n v="55.7"/>
  </r>
  <r>
    <s v="EMP0985"/>
    <x v="3"/>
    <s v="Marketing Analyst"/>
    <n v="32"/>
    <n v="6"/>
    <n v="54888"/>
    <n v="37"/>
    <n v="5"/>
    <n v="21"/>
    <n v="27"/>
    <n v="4.8"/>
    <n v="4"/>
    <s v="Low"/>
    <n v="46.73"/>
  </r>
  <r>
    <s v="EMP0986"/>
    <x v="0"/>
    <s v="Financial Analyst"/>
    <n v="39"/>
    <n v="6"/>
    <n v="71821"/>
    <n v="46"/>
    <n v="10"/>
    <n v="21"/>
    <n v="32"/>
    <n v="3.8"/>
    <n v="5.9"/>
    <s v="Low"/>
    <n v="63.47"/>
  </r>
  <r>
    <s v="EMP0987"/>
    <x v="2"/>
    <s v="IT Executive"/>
    <n v="49"/>
    <n v="12"/>
    <n v="26698"/>
    <n v="54"/>
    <n v="4"/>
    <n v="2"/>
    <n v="17"/>
    <n v="2.4"/>
    <n v="3.8"/>
    <s v="Low"/>
    <n v="36.67"/>
  </r>
  <r>
    <s v="EMP0988"/>
    <x v="3"/>
    <s v="Marketing Executive"/>
    <n v="26"/>
    <n v="2"/>
    <n v="66954"/>
    <n v="37"/>
    <n v="6"/>
    <n v="10"/>
    <n v="17"/>
    <n v="2.4"/>
    <n v="8.6"/>
    <s v="High"/>
    <n v="68.8"/>
  </r>
  <r>
    <s v="EMP0989"/>
    <x v="0"/>
    <s v="Accountant"/>
    <n v="28"/>
    <n v="6"/>
    <n v="89191"/>
    <n v="42"/>
    <n v="7"/>
    <n v="3"/>
    <n v="7"/>
    <n v="2.5"/>
    <n v="8.1"/>
    <s v="High"/>
    <n v="67.77"/>
  </r>
  <r>
    <s v="EMP0990"/>
    <x v="1"/>
    <s v="Sales Executive"/>
    <n v="53"/>
    <n v="3"/>
    <n v="59665"/>
    <n v="46"/>
    <n v="12"/>
    <n v="18"/>
    <n v="18"/>
    <n v="3.7"/>
    <n v="7.3"/>
    <s v="Medium"/>
    <n v="74.900000000000006"/>
  </r>
  <r>
    <s v="EMP0991"/>
    <x v="4"/>
    <s v="HR Executive"/>
    <n v="42"/>
    <n v="12"/>
    <n v="36840"/>
    <n v="46"/>
    <n v="13"/>
    <n v="23"/>
    <n v="34"/>
    <n v="3.7"/>
    <n v="9.1999999999999993"/>
    <s v="High"/>
    <n v="87.97"/>
  </r>
  <r>
    <s v="EMP0992"/>
    <x v="3"/>
    <s v="Marketing Executive"/>
    <n v="30"/>
    <n v="4"/>
    <n v="25622"/>
    <n v="51"/>
    <n v="12"/>
    <n v="4"/>
    <n v="8"/>
    <n v="2.4"/>
    <n v="7"/>
    <s v="Medium"/>
    <n v="69.2"/>
  </r>
  <r>
    <s v="EMP0993"/>
    <x v="0"/>
    <s v="Accountant"/>
    <n v="45"/>
    <n v="7"/>
    <n v="69447"/>
    <n v="54"/>
    <n v="7"/>
    <n v="22"/>
    <n v="29"/>
    <n v="2.5"/>
    <n v="9.9"/>
    <s v="High"/>
    <n v="78.569999999999993"/>
  </r>
  <r>
    <s v="EMP0994"/>
    <x v="1"/>
    <s v="Sales Analyst"/>
    <n v="40"/>
    <n v="8"/>
    <n v="87430"/>
    <n v="48"/>
    <n v="9"/>
    <n v="22"/>
    <n v="14"/>
    <n v="2.9"/>
    <n v="9"/>
    <s v="High"/>
    <n v="77.7"/>
  </r>
  <r>
    <s v="EMP0995"/>
    <x v="3"/>
    <s v="Marketing Analyst"/>
    <n v="42"/>
    <n v="2"/>
    <n v="66594"/>
    <n v="37"/>
    <n v="2"/>
    <n v="23"/>
    <n v="15"/>
    <n v="4.8"/>
    <n v="4.2"/>
    <s v="Low"/>
    <n v="42.93"/>
  </r>
  <r>
    <s v="EMP0996"/>
    <x v="0"/>
    <s v="Accountant"/>
    <n v="40"/>
    <n v="15"/>
    <n v="77975"/>
    <n v="35"/>
    <n v="7"/>
    <n v="21"/>
    <n v="32"/>
    <n v="4.8"/>
    <n v="4"/>
    <s v="Low"/>
    <n v="50.07"/>
  </r>
  <r>
    <s v="EMP0997"/>
    <x v="1"/>
    <s v="Account Manager"/>
    <n v="29"/>
    <n v="6"/>
    <n v="25910"/>
    <n v="54"/>
    <n v="4"/>
    <n v="23"/>
    <n v="0"/>
    <n v="4.0999999999999996"/>
    <n v="7.9"/>
    <s v="Medium"/>
    <n v="66.37"/>
  </r>
  <r>
    <s v="EMP0998"/>
    <x v="2"/>
    <s v="Software Engineer"/>
    <n v="37"/>
    <n v="1"/>
    <n v="64804"/>
    <n v="49"/>
    <n v="3"/>
    <n v="21"/>
    <n v="33"/>
    <n v="4.7"/>
    <n v="4.2"/>
    <s v="Low"/>
    <n v="44.3"/>
  </r>
  <r>
    <s v="EMP0999"/>
    <x v="4"/>
    <s v="HR Executive"/>
    <n v="54"/>
    <n v="11"/>
    <n v="87421"/>
    <n v="36"/>
    <n v="7"/>
    <n v="15"/>
    <n v="24"/>
    <n v="2.5"/>
    <n v="9.8000000000000007"/>
    <s v="High"/>
    <n v="77.97"/>
  </r>
  <r>
    <s v="EMP1000"/>
    <x v="4"/>
    <s v="HR Executive"/>
    <n v="29"/>
    <n v="4"/>
    <n v="44606"/>
    <n v="50"/>
    <n v="5"/>
    <n v="8"/>
    <n v="13"/>
    <n v="2"/>
    <n v="7.4"/>
    <s v="Medium"/>
    <n v="58.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0AF6A-2FE4-40B5-B308-CC6DE27DD9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3:B39" firstHeaderRow="1" firstDataRow="1" firstDataCol="1"/>
  <pivotFields count="14"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formance_Score" fld="11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4106E-E784-44CE-8F73-06F598B16B6C}" name="Table1" displayName="Table1" ref="D3:E8" totalsRowShown="0">
  <autoFilter ref="D3:E8" xr:uid="{8394106E-E784-44CE-8F73-06F598B16B6C}"/>
  <tableColumns count="2">
    <tableColumn id="1" xr3:uid="{4F4D0D12-41F9-47E4-BA25-212FB0D994CD}" name="Department"/>
    <tableColumn id="2" xr3:uid="{74B24F24-665F-43A4-BAC9-E1A5A5B2F4CE}" name="Employee 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164497-7436-4A3F-8291-18AD97097A73}" name="Table2" displayName="Table2" ref="A11:D16" totalsRowShown="0">
  <autoFilter ref="A11:D16" xr:uid="{B6164497-7436-4A3F-8291-18AD97097A73}"/>
  <tableColumns count="4">
    <tableColumn id="1" xr3:uid="{4994261E-177B-4DB4-AD56-18259DD460BD}" name="Department"/>
    <tableColumn id="2" xr3:uid="{74AF02AC-D39A-430B-BFB9-E9FD48A730CE}" name="Average Performance"/>
    <tableColumn id="3" xr3:uid="{4A554FEB-BDE2-4C74-9CF2-B5DC5BB3E333}" name="Column1"/>
    <tableColumn id="4" xr3:uid="{780C1220-53F5-4630-8DB4-C332097DFBBF}" name="Column2" dataDxfId="3" dataCellStyle="Comm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DD6D4-490C-41C3-B64D-D561B59728DE}" name="Table3" displayName="Table3" ref="D19:G22" totalsRowShown="0">
  <autoFilter ref="D19:G22" xr:uid="{A27DD6D4-490C-41C3-B64D-D561B59728DE}"/>
  <tableColumns count="4">
    <tableColumn id="1" xr3:uid="{F1842F28-4713-4E86-AA4B-93B5C3B13E78}" name="Employee_ID"/>
    <tableColumn id="2" xr3:uid="{6BF4EF61-777C-470C-8953-968DD734742B}" name="Department">
      <calculatedColumnFormula>VLOOKUP(D20,Raw_Data!A:N,2,FALSE)</calculatedColumnFormula>
    </tableColumn>
    <tableColumn id="3" xr3:uid="{376EED53-6C77-4F01-99BF-162D26185FBA}" name="Monthly_Salary">
      <calculatedColumnFormula>VLOOKUP(D20,Raw_Data!A:N,6,FALSE)</calculatedColumnFormula>
    </tableColumn>
    <tableColumn id="4" xr3:uid="{0AD73C7E-9630-488F-BBD7-2370C7C11826}" name="Performance_score">
      <calculatedColumnFormula>VLOOKUP(D20,Raw_Data!A:N,12,FALSE)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087B22-9699-4288-A0CA-F088E8FB9AD3}" name="Table4" displayName="Table4" ref="A26:E27" totalsRowShown="0">
  <autoFilter ref="A26:E27" xr:uid="{A5087B22-9699-4288-A0CA-F088E8FB9AD3}"/>
  <tableColumns count="5">
    <tableColumn id="1" xr3:uid="{C8A970B1-0FE4-4C67-A99A-423867D32550}" name="Finance"/>
    <tableColumn id="2" xr3:uid="{19E6FE26-9600-4C97-8989-D28ADDFBA8EA}" name="HR"/>
    <tableColumn id="3" xr3:uid="{C0A77754-BAD1-44B6-B359-D53696CBA86D}" name="IT"/>
    <tableColumn id="4" xr3:uid="{0B2294E3-8B63-4EBC-A8B6-46DEE9DAC3E3}" name="Marketing"/>
    <tableColumn id="5" xr3:uid="{EA6E6483-8FC1-4DE4-95A9-7B5FFB6A33DA}" name="Sale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/>
  </sheetViews>
  <sheetFormatPr defaultRowHeight="14.4" x14ac:dyDescent="0.3"/>
  <cols>
    <col min="1" max="1" width="19.5546875" customWidth="1"/>
    <col min="2" max="2" width="23.21875" customWidth="1"/>
    <col min="3" max="3" width="26.33203125" customWidth="1"/>
    <col min="5" max="5" width="23.77734375" customWidth="1"/>
    <col min="6" max="6" width="26.6640625" style="3" customWidth="1"/>
    <col min="7" max="7" width="23.33203125" customWidth="1"/>
    <col min="8" max="8" width="25.21875" customWidth="1"/>
    <col min="9" max="9" width="25.5546875" customWidth="1"/>
    <col min="10" max="10" width="24.21875" customWidth="1"/>
    <col min="11" max="11" width="20.5546875" customWidth="1"/>
    <col min="12" max="12" width="22.6640625" style="3" customWidth="1"/>
    <col min="13" max="13" width="20.21875" customWidth="1"/>
    <col min="14" max="14" width="23.109375" customWidth="1"/>
  </cols>
  <sheetData>
    <row r="1" spans="1:14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  <c r="M1" s="13" t="s">
        <v>12</v>
      </c>
      <c r="N1" s="13" t="s">
        <v>13</v>
      </c>
    </row>
    <row r="2" spans="1:14" x14ac:dyDescent="0.3">
      <c r="A2" t="s">
        <v>14</v>
      </c>
      <c r="B2" t="s">
        <v>1014</v>
      </c>
      <c r="C2" t="s">
        <v>1019</v>
      </c>
      <c r="D2">
        <v>23</v>
      </c>
      <c r="E2">
        <v>2</v>
      </c>
      <c r="F2" s="3">
        <v>43024</v>
      </c>
      <c r="G2">
        <v>42</v>
      </c>
      <c r="H2">
        <v>4</v>
      </c>
      <c r="I2">
        <v>4</v>
      </c>
      <c r="J2">
        <v>6</v>
      </c>
      <c r="K2">
        <v>4</v>
      </c>
      <c r="L2" s="3">
        <v>9.1999999999999993</v>
      </c>
      <c r="M2" t="s">
        <v>1034</v>
      </c>
      <c r="N2">
        <v>73.87</v>
      </c>
    </row>
    <row r="3" spans="1:14" x14ac:dyDescent="0.3">
      <c r="A3" t="s">
        <v>15</v>
      </c>
      <c r="B3" t="s">
        <v>1015</v>
      </c>
      <c r="C3" t="s">
        <v>1020</v>
      </c>
      <c r="D3">
        <v>49</v>
      </c>
      <c r="E3">
        <v>1</v>
      </c>
      <c r="F3" s="3">
        <v>26952</v>
      </c>
      <c r="G3">
        <v>37</v>
      </c>
      <c r="H3">
        <v>4</v>
      </c>
      <c r="I3">
        <v>7</v>
      </c>
      <c r="J3">
        <v>32</v>
      </c>
      <c r="K3">
        <v>3.8</v>
      </c>
      <c r="L3" s="3">
        <v>6.9</v>
      </c>
      <c r="M3" t="s">
        <v>1035</v>
      </c>
      <c r="N3">
        <v>59.47</v>
      </c>
    </row>
    <row r="4" spans="1:14" x14ac:dyDescent="0.3">
      <c r="A4" t="s">
        <v>16</v>
      </c>
      <c r="B4" t="s">
        <v>1015</v>
      </c>
      <c r="C4" t="s">
        <v>1021</v>
      </c>
      <c r="D4">
        <v>48</v>
      </c>
      <c r="E4">
        <v>7</v>
      </c>
      <c r="F4" s="3">
        <v>54439</v>
      </c>
      <c r="G4">
        <v>53</v>
      </c>
      <c r="H4">
        <v>5</v>
      </c>
      <c r="I4">
        <v>25</v>
      </c>
      <c r="J4">
        <v>0</v>
      </c>
      <c r="K4">
        <v>4.3</v>
      </c>
      <c r="L4" s="3">
        <v>4.0999999999999996</v>
      </c>
      <c r="M4" t="s">
        <v>1036</v>
      </c>
      <c r="N4">
        <v>45.83</v>
      </c>
    </row>
    <row r="5" spans="1:14" x14ac:dyDescent="0.3">
      <c r="A5" t="s">
        <v>17</v>
      </c>
      <c r="B5" t="s">
        <v>1016</v>
      </c>
      <c r="C5" t="s">
        <v>1022</v>
      </c>
      <c r="D5">
        <v>39</v>
      </c>
      <c r="E5">
        <v>4</v>
      </c>
      <c r="F5" s="3">
        <v>39110</v>
      </c>
      <c r="G5">
        <v>45</v>
      </c>
      <c r="H5">
        <v>2</v>
      </c>
      <c r="I5">
        <v>2</v>
      </c>
      <c r="J5">
        <v>24</v>
      </c>
      <c r="K5">
        <v>2.2999999999999998</v>
      </c>
      <c r="L5" s="3">
        <v>8.9</v>
      </c>
      <c r="M5" t="s">
        <v>1034</v>
      </c>
      <c r="N5">
        <v>63.63</v>
      </c>
    </row>
    <row r="6" spans="1:14" x14ac:dyDescent="0.3">
      <c r="A6" t="s">
        <v>18</v>
      </c>
      <c r="B6" t="s">
        <v>1016</v>
      </c>
      <c r="C6" t="s">
        <v>1022</v>
      </c>
      <c r="D6">
        <v>24</v>
      </c>
      <c r="E6">
        <v>3</v>
      </c>
      <c r="F6" s="3">
        <v>60142</v>
      </c>
      <c r="G6">
        <v>38</v>
      </c>
      <c r="H6">
        <v>15</v>
      </c>
      <c r="I6">
        <v>12</v>
      </c>
      <c r="J6">
        <v>5</v>
      </c>
      <c r="K6">
        <v>3.7</v>
      </c>
      <c r="L6" s="3">
        <v>8.8000000000000007</v>
      </c>
      <c r="M6" t="s">
        <v>1034</v>
      </c>
      <c r="N6">
        <v>88.9</v>
      </c>
    </row>
    <row r="7" spans="1:14" x14ac:dyDescent="0.3">
      <c r="A7" t="s">
        <v>19</v>
      </c>
      <c r="B7" t="s">
        <v>1016</v>
      </c>
      <c r="C7" t="s">
        <v>1023</v>
      </c>
      <c r="D7">
        <v>34</v>
      </c>
      <c r="E7">
        <v>11</v>
      </c>
      <c r="F7" s="3">
        <v>29558</v>
      </c>
      <c r="G7">
        <v>36</v>
      </c>
      <c r="H7">
        <v>11</v>
      </c>
      <c r="I7">
        <v>7</v>
      </c>
      <c r="J7">
        <v>18</v>
      </c>
      <c r="K7">
        <v>5</v>
      </c>
      <c r="L7" s="3">
        <v>9</v>
      </c>
      <c r="M7" t="s">
        <v>1034</v>
      </c>
      <c r="N7">
        <v>87.33</v>
      </c>
    </row>
    <row r="8" spans="1:14" x14ac:dyDescent="0.3">
      <c r="A8" t="s">
        <v>20</v>
      </c>
      <c r="B8" t="s">
        <v>1017</v>
      </c>
      <c r="C8" t="s">
        <v>1024</v>
      </c>
      <c r="D8">
        <v>39</v>
      </c>
      <c r="E8">
        <v>14</v>
      </c>
      <c r="F8" s="3">
        <v>66660</v>
      </c>
      <c r="G8">
        <v>46</v>
      </c>
      <c r="H8">
        <v>3</v>
      </c>
      <c r="I8">
        <v>11</v>
      </c>
      <c r="J8">
        <v>22</v>
      </c>
      <c r="K8">
        <v>2.6</v>
      </c>
      <c r="L8" s="3">
        <v>4.9000000000000004</v>
      </c>
      <c r="M8" t="s">
        <v>1036</v>
      </c>
      <c r="N8">
        <v>42.2</v>
      </c>
    </row>
    <row r="9" spans="1:14" x14ac:dyDescent="0.3">
      <c r="A9" t="s">
        <v>21</v>
      </c>
      <c r="B9" t="s">
        <v>1014</v>
      </c>
      <c r="C9" t="s">
        <v>1025</v>
      </c>
      <c r="D9">
        <v>32</v>
      </c>
      <c r="E9">
        <v>8</v>
      </c>
      <c r="F9" s="3">
        <v>72784</v>
      </c>
      <c r="G9">
        <v>42</v>
      </c>
      <c r="H9">
        <v>3</v>
      </c>
      <c r="I9">
        <v>14</v>
      </c>
      <c r="J9">
        <v>24</v>
      </c>
      <c r="K9">
        <v>2.8</v>
      </c>
      <c r="L9" s="3">
        <v>9.5</v>
      </c>
      <c r="M9" t="s">
        <v>1034</v>
      </c>
      <c r="N9">
        <v>70.400000000000006</v>
      </c>
    </row>
    <row r="10" spans="1:14" x14ac:dyDescent="0.3">
      <c r="A10" t="s">
        <v>22</v>
      </c>
      <c r="B10" t="s">
        <v>1015</v>
      </c>
      <c r="C10" t="s">
        <v>1020</v>
      </c>
      <c r="D10">
        <v>36</v>
      </c>
      <c r="E10">
        <v>10</v>
      </c>
      <c r="F10" s="3">
        <v>80237</v>
      </c>
      <c r="G10">
        <v>36</v>
      </c>
      <c r="H10">
        <v>4</v>
      </c>
      <c r="I10">
        <v>1</v>
      </c>
      <c r="J10">
        <v>20</v>
      </c>
      <c r="K10">
        <v>3.2</v>
      </c>
      <c r="L10" s="3">
        <v>3.5</v>
      </c>
      <c r="M10" t="s">
        <v>1036</v>
      </c>
      <c r="N10">
        <v>37.270000000000003</v>
      </c>
    </row>
    <row r="11" spans="1:14" x14ac:dyDescent="0.3">
      <c r="A11" t="s">
        <v>23</v>
      </c>
      <c r="B11" t="s">
        <v>1016</v>
      </c>
      <c r="C11" t="s">
        <v>1022</v>
      </c>
      <c r="D11">
        <v>35</v>
      </c>
      <c r="E11">
        <v>10</v>
      </c>
      <c r="F11" s="3">
        <v>57717</v>
      </c>
      <c r="G11">
        <v>47</v>
      </c>
      <c r="H11">
        <v>15</v>
      </c>
      <c r="I11">
        <v>20</v>
      </c>
      <c r="J11">
        <v>29</v>
      </c>
      <c r="K11">
        <v>2.4</v>
      </c>
      <c r="L11" s="3">
        <v>4</v>
      </c>
      <c r="M11" t="s">
        <v>1036</v>
      </c>
      <c r="N11">
        <v>56.2</v>
      </c>
    </row>
    <row r="12" spans="1:14" x14ac:dyDescent="0.3">
      <c r="A12" t="s">
        <v>24</v>
      </c>
      <c r="B12" t="s">
        <v>1015</v>
      </c>
      <c r="C12" t="s">
        <v>1021</v>
      </c>
      <c r="D12">
        <v>38</v>
      </c>
      <c r="E12">
        <v>13</v>
      </c>
      <c r="F12" s="3">
        <v>83839</v>
      </c>
      <c r="G12">
        <v>53</v>
      </c>
      <c r="H12">
        <v>7</v>
      </c>
      <c r="I12">
        <v>11</v>
      </c>
      <c r="J12">
        <v>14</v>
      </c>
      <c r="K12">
        <v>5</v>
      </c>
      <c r="L12" s="3">
        <v>4</v>
      </c>
      <c r="M12" t="s">
        <v>1036</v>
      </c>
      <c r="N12">
        <v>50.67</v>
      </c>
    </row>
    <row r="13" spans="1:14" x14ac:dyDescent="0.3">
      <c r="A13" t="s">
        <v>25</v>
      </c>
      <c r="B13" t="s">
        <v>1014</v>
      </c>
      <c r="C13" t="s">
        <v>1025</v>
      </c>
      <c r="D13">
        <v>25</v>
      </c>
      <c r="E13">
        <v>0</v>
      </c>
      <c r="F13" s="3">
        <v>35016</v>
      </c>
      <c r="G13">
        <v>55</v>
      </c>
      <c r="H13">
        <v>3</v>
      </c>
      <c r="I13">
        <v>25</v>
      </c>
      <c r="J13">
        <v>27</v>
      </c>
      <c r="K13">
        <v>3.8</v>
      </c>
      <c r="L13" s="3">
        <v>5.7</v>
      </c>
      <c r="M13" t="s">
        <v>1036</v>
      </c>
      <c r="N13">
        <v>50.6</v>
      </c>
    </row>
    <row r="14" spans="1:14" x14ac:dyDescent="0.3">
      <c r="A14" t="s">
        <v>26</v>
      </c>
      <c r="B14" t="s">
        <v>1017</v>
      </c>
      <c r="C14" t="s">
        <v>1026</v>
      </c>
      <c r="D14">
        <v>55</v>
      </c>
      <c r="E14">
        <v>8</v>
      </c>
      <c r="F14" s="3">
        <v>88640</v>
      </c>
      <c r="G14">
        <v>52</v>
      </c>
      <c r="H14">
        <v>14</v>
      </c>
      <c r="I14">
        <v>0</v>
      </c>
      <c r="J14">
        <v>7</v>
      </c>
      <c r="K14">
        <v>4</v>
      </c>
      <c r="L14" s="3">
        <v>6.8</v>
      </c>
      <c r="M14" t="s">
        <v>1035</v>
      </c>
      <c r="N14">
        <v>76.13</v>
      </c>
    </row>
    <row r="15" spans="1:14" x14ac:dyDescent="0.3">
      <c r="A15" t="s">
        <v>27</v>
      </c>
      <c r="B15" t="s">
        <v>1016</v>
      </c>
      <c r="C15" t="s">
        <v>1022</v>
      </c>
      <c r="D15">
        <v>29</v>
      </c>
      <c r="E15">
        <v>4</v>
      </c>
      <c r="F15" s="3">
        <v>53492</v>
      </c>
      <c r="G15">
        <v>40</v>
      </c>
      <c r="H15">
        <v>8</v>
      </c>
      <c r="I15">
        <v>0</v>
      </c>
      <c r="J15">
        <v>16</v>
      </c>
      <c r="K15">
        <v>4.9000000000000004</v>
      </c>
      <c r="L15" s="3">
        <v>8.3000000000000007</v>
      </c>
      <c r="M15" t="s">
        <v>1034</v>
      </c>
      <c r="N15">
        <v>77.83</v>
      </c>
    </row>
    <row r="16" spans="1:14" x14ac:dyDescent="0.3">
      <c r="A16" t="s">
        <v>28</v>
      </c>
      <c r="B16" t="s">
        <v>1014</v>
      </c>
      <c r="C16" t="s">
        <v>1019</v>
      </c>
      <c r="D16">
        <v>41</v>
      </c>
      <c r="E16">
        <v>6</v>
      </c>
      <c r="F16" s="3">
        <v>35016</v>
      </c>
      <c r="G16">
        <v>46</v>
      </c>
      <c r="H16">
        <v>13</v>
      </c>
      <c r="I16">
        <v>5</v>
      </c>
      <c r="J16">
        <v>34</v>
      </c>
      <c r="K16">
        <v>4.9000000000000004</v>
      </c>
      <c r="L16" s="3">
        <v>9.5</v>
      </c>
      <c r="M16" t="s">
        <v>1034</v>
      </c>
      <c r="N16">
        <v>93.37</v>
      </c>
    </row>
    <row r="17" spans="1:14" x14ac:dyDescent="0.3">
      <c r="A17" t="s">
        <v>29</v>
      </c>
      <c r="B17" t="s">
        <v>1015</v>
      </c>
      <c r="C17" t="s">
        <v>1020</v>
      </c>
      <c r="D17">
        <v>42</v>
      </c>
      <c r="E17">
        <v>15</v>
      </c>
      <c r="F17" s="3">
        <v>26276</v>
      </c>
      <c r="G17">
        <v>38</v>
      </c>
      <c r="H17">
        <v>15</v>
      </c>
      <c r="I17">
        <v>11</v>
      </c>
      <c r="J17">
        <v>19</v>
      </c>
      <c r="K17">
        <v>2.7</v>
      </c>
      <c r="L17" s="3">
        <v>4.7</v>
      </c>
      <c r="M17" t="s">
        <v>1036</v>
      </c>
      <c r="N17">
        <v>61.3</v>
      </c>
    </row>
    <row r="18" spans="1:14" x14ac:dyDescent="0.3">
      <c r="A18" t="s">
        <v>30</v>
      </c>
      <c r="B18" t="s">
        <v>1014</v>
      </c>
      <c r="C18" t="s">
        <v>1025</v>
      </c>
      <c r="D18">
        <v>27</v>
      </c>
      <c r="E18">
        <v>5</v>
      </c>
      <c r="F18" s="3">
        <v>56849</v>
      </c>
      <c r="G18">
        <v>37</v>
      </c>
      <c r="H18">
        <v>13</v>
      </c>
      <c r="I18">
        <v>17</v>
      </c>
      <c r="J18">
        <v>8</v>
      </c>
      <c r="K18">
        <v>2.4</v>
      </c>
      <c r="L18" s="3">
        <v>6.3</v>
      </c>
      <c r="M18" t="s">
        <v>1035</v>
      </c>
      <c r="N18">
        <v>66.67</v>
      </c>
    </row>
    <row r="19" spans="1:14" x14ac:dyDescent="0.3">
      <c r="A19" t="s">
        <v>31</v>
      </c>
      <c r="B19" t="s">
        <v>1018</v>
      </c>
      <c r="C19" t="s">
        <v>1027</v>
      </c>
      <c r="D19">
        <v>38</v>
      </c>
      <c r="E19">
        <v>13</v>
      </c>
      <c r="F19" s="3">
        <v>88200</v>
      </c>
      <c r="G19">
        <v>41</v>
      </c>
      <c r="H19">
        <v>15</v>
      </c>
      <c r="I19">
        <v>17</v>
      </c>
      <c r="J19">
        <v>12</v>
      </c>
      <c r="K19">
        <v>4.0999999999999996</v>
      </c>
      <c r="L19" s="3">
        <v>5.8</v>
      </c>
      <c r="M19" t="s">
        <v>1036</v>
      </c>
      <c r="N19">
        <v>72.099999999999994</v>
      </c>
    </row>
    <row r="20" spans="1:14" x14ac:dyDescent="0.3">
      <c r="A20" t="s">
        <v>32</v>
      </c>
      <c r="B20" t="s">
        <v>1016</v>
      </c>
      <c r="C20" t="s">
        <v>1022</v>
      </c>
      <c r="D20">
        <v>50</v>
      </c>
      <c r="E20">
        <v>14</v>
      </c>
      <c r="F20" s="3">
        <v>32930</v>
      </c>
      <c r="G20">
        <v>42</v>
      </c>
      <c r="H20">
        <v>4</v>
      </c>
      <c r="I20">
        <v>2</v>
      </c>
      <c r="J20">
        <v>21</v>
      </c>
      <c r="K20">
        <v>2.1</v>
      </c>
      <c r="L20" s="3">
        <v>6.9</v>
      </c>
      <c r="M20" t="s">
        <v>1035</v>
      </c>
      <c r="N20">
        <v>54.37</v>
      </c>
    </row>
    <row r="21" spans="1:14" x14ac:dyDescent="0.3">
      <c r="A21" t="s">
        <v>33</v>
      </c>
      <c r="B21" t="s">
        <v>1018</v>
      </c>
      <c r="C21" t="s">
        <v>1028</v>
      </c>
      <c r="D21">
        <v>22</v>
      </c>
      <c r="E21">
        <v>0</v>
      </c>
      <c r="F21" s="3">
        <v>71389</v>
      </c>
      <c r="G21">
        <v>55</v>
      </c>
      <c r="H21">
        <v>1</v>
      </c>
      <c r="I21">
        <v>7</v>
      </c>
      <c r="J21">
        <v>4</v>
      </c>
      <c r="K21">
        <v>4.7</v>
      </c>
      <c r="L21" s="3">
        <v>9</v>
      </c>
      <c r="M21" t="s">
        <v>1034</v>
      </c>
      <c r="N21">
        <v>69.77</v>
      </c>
    </row>
    <row r="22" spans="1:14" x14ac:dyDescent="0.3">
      <c r="A22" t="s">
        <v>34</v>
      </c>
      <c r="B22" t="s">
        <v>1015</v>
      </c>
      <c r="C22" t="s">
        <v>1020</v>
      </c>
      <c r="D22">
        <v>37</v>
      </c>
      <c r="E22">
        <v>8</v>
      </c>
      <c r="F22" s="3">
        <v>68842</v>
      </c>
      <c r="G22">
        <v>50</v>
      </c>
      <c r="H22">
        <v>4</v>
      </c>
      <c r="I22">
        <v>17</v>
      </c>
      <c r="J22">
        <v>8</v>
      </c>
      <c r="K22">
        <v>4.2</v>
      </c>
      <c r="L22" s="3">
        <v>9.1999999999999993</v>
      </c>
      <c r="M22" t="s">
        <v>1034</v>
      </c>
      <c r="N22">
        <v>74.47</v>
      </c>
    </row>
    <row r="23" spans="1:14" x14ac:dyDescent="0.3">
      <c r="A23" t="s">
        <v>35</v>
      </c>
      <c r="B23" t="s">
        <v>1017</v>
      </c>
      <c r="C23" t="s">
        <v>1026</v>
      </c>
      <c r="D23">
        <v>37</v>
      </c>
      <c r="E23">
        <v>15</v>
      </c>
      <c r="F23" s="3">
        <v>77920</v>
      </c>
      <c r="G23">
        <v>48</v>
      </c>
      <c r="H23">
        <v>4</v>
      </c>
      <c r="I23">
        <v>3</v>
      </c>
      <c r="J23">
        <v>6</v>
      </c>
      <c r="K23">
        <v>4</v>
      </c>
      <c r="L23" s="3">
        <v>5.5</v>
      </c>
      <c r="M23" t="s">
        <v>1036</v>
      </c>
      <c r="N23">
        <v>51.67</v>
      </c>
    </row>
    <row r="24" spans="1:14" x14ac:dyDescent="0.3">
      <c r="A24" t="s">
        <v>36</v>
      </c>
      <c r="B24" t="s">
        <v>1017</v>
      </c>
      <c r="C24" t="s">
        <v>1026</v>
      </c>
      <c r="D24">
        <v>25</v>
      </c>
      <c r="E24">
        <v>0</v>
      </c>
      <c r="F24" s="3">
        <v>28972</v>
      </c>
      <c r="G24">
        <v>47</v>
      </c>
      <c r="H24">
        <v>12</v>
      </c>
      <c r="I24">
        <v>10</v>
      </c>
      <c r="J24">
        <v>6</v>
      </c>
      <c r="K24">
        <v>2.7</v>
      </c>
      <c r="L24" s="3">
        <v>4.3</v>
      </c>
      <c r="M24" t="s">
        <v>1036</v>
      </c>
      <c r="N24">
        <v>53.9</v>
      </c>
    </row>
    <row r="25" spans="1:14" x14ac:dyDescent="0.3">
      <c r="A25" t="s">
        <v>37</v>
      </c>
      <c r="B25" t="s">
        <v>1018</v>
      </c>
      <c r="C25" t="s">
        <v>1028</v>
      </c>
      <c r="D25">
        <v>49</v>
      </c>
      <c r="E25">
        <v>5</v>
      </c>
      <c r="F25" s="3">
        <v>43254</v>
      </c>
      <c r="G25">
        <v>49</v>
      </c>
      <c r="H25">
        <v>4</v>
      </c>
      <c r="I25">
        <v>2</v>
      </c>
      <c r="J25">
        <v>28</v>
      </c>
      <c r="K25">
        <v>4.4000000000000004</v>
      </c>
      <c r="L25" s="3">
        <v>9</v>
      </c>
      <c r="M25" t="s">
        <v>1034</v>
      </c>
      <c r="N25">
        <v>73.87</v>
      </c>
    </row>
    <row r="26" spans="1:14" x14ac:dyDescent="0.3">
      <c r="A26" t="s">
        <v>38</v>
      </c>
      <c r="B26" t="s">
        <v>1014</v>
      </c>
      <c r="C26" t="s">
        <v>1019</v>
      </c>
      <c r="D26">
        <v>22</v>
      </c>
      <c r="E26">
        <v>0</v>
      </c>
      <c r="F26" s="3">
        <v>85710</v>
      </c>
      <c r="G26">
        <v>42</v>
      </c>
      <c r="H26">
        <v>3</v>
      </c>
      <c r="I26">
        <v>13</v>
      </c>
      <c r="J26">
        <v>31</v>
      </c>
      <c r="K26">
        <v>3.4</v>
      </c>
      <c r="L26" s="3">
        <v>9.1</v>
      </c>
      <c r="M26" t="s">
        <v>1034</v>
      </c>
      <c r="N26">
        <v>69.8</v>
      </c>
    </row>
    <row r="27" spans="1:14" x14ac:dyDescent="0.3">
      <c r="A27" t="s">
        <v>39</v>
      </c>
      <c r="B27" t="s">
        <v>1018</v>
      </c>
      <c r="C27" t="s">
        <v>1027</v>
      </c>
      <c r="D27">
        <v>46</v>
      </c>
      <c r="E27">
        <v>0</v>
      </c>
      <c r="F27" s="3">
        <v>89573</v>
      </c>
      <c r="G27">
        <v>47</v>
      </c>
      <c r="H27">
        <v>5</v>
      </c>
      <c r="I27">
        <v>25</v>
      </c>
      <c r="J27">
        <v>29</v>
      </c>
      <c r="K27">
        <v>2.9</v>
      </c>
      <c r="L27" s="3">
        <v>7.9</v>
      </c>
      <c r="M27" t="s">
        <v>1035</v>
      </c>
      <c r="N27">
        <v>64.430000000000007</v>
      </c>
    </row>
    <row r="28" spans="1:14" x14ac:dyDescent="0.3">
      <c r="A28" t="s">
        <v>40</v>
      </c>
      <c r="B28" t="s">
        <v>1015</v>
      </c>
      <c r="C28" t="s">
        <v>1021</v>
      </c>
      <c r="D28">
        <v>53</v>
      </c>
      <c r="E28">
        <v>4</v>
      </c>
      <c r="F28" s="3">
        <v>37445</v>
      </c>
      <c r="G28">
        <v>44</v>
      </c>
      <c r="H28">
        <v>4</v>
      </c>
      <c r="I28">
        <v>1</v>
      </c>
      <c r="J28">
        <v>37</v>
      </c>
      <c r="K28">
        <v>4.2</v>
      </c>
      <c r="L28" s="3">
        <v>3.4</v>
      </c>
      <c r="M28" t="s">
        <v>1036</v>
      </c>
      <c r="N28">
        <v>39.67</v>
      </c>
    </row>
    <row r="29" spans="1:14" x14ac:dyDescent="0.3">
      <c r="A29" t="s">
        <v>41</v>
      </c>
      <c r="B29" t="s">
        <v>1014</v>
      </c>
      <c r="C29" t="s">
        <v>1019</v>
      </c>
      <c r="D29">
        <v>25</v>
      </c>
      <c r="E29">
        <v>4</v>
      </c>
      <c r="F29" s="3">
        <v>56246</v>
      </c>
      <c r="G29">
        <v>51</v>
      </c>
      <c r="H29">
        <v>15</v>
      </c>
      <c r="I29">
        <v>16</v>
      </c>
      <c r="J29">
        <v>10</v>
      </c>
      <c r="K29">
        <v>2.2000000000000002</v>
      </c>
      <c r="L29" s="3">
        <v>6.6</v>
      </c>
      <c r="M29" t="s">
        <v>1035</v>
      </c>
      <c r="N29">
        <v>71.2</v>
      </c>
    </row>
    <row r="30" spans="1:14" x14ac:dyDescent="0.3">
      <c r="A30" t="s">
        <v>42</v>
      </c>
      <c r="B30" t="s">
        <v>1014</v>
      </c>
      <c r="C30" t="s">
        <v>1025</v>
      </c>
      <c r="D30">
        <v>26</v>
      </c>
      <c r="E30">
        <v>5</v>
      </c>
      <c r="F30" s="3">
        <v>81480</v>
      </c>
      <c r="G30">
        <v>42</v>
      </c>
      <c r="H30">
        <v>7</v>
      </c>
      <c r="I30">
        <v>3</v>
      </c>
      <c r="J30">
        <v>36</v>
      </c>
      <c r="K30">
        <v>2.7</v>
      </c>
      <c r="L30" s="3">
        <v>7.2</v>
      </c>
      <c r="M30" t="s">
        <v>1035</v>
      </c>
      <c r="N30">
        <v>62.97</v>
      </c>
    </row>
    <row r="31" spans="1:14" x14ac:dyDescent="0.3">
      <c r="A31" t="s">
        <v>43</v>
      </c>
      <c r="B31" t="s">
        <v>1014</v>
      </c>
      <c r="C31" t="s">
        <v>1025</v>
      </c>
      <c r="D31">
        <v>48</v>
      </c>
      <c r="E31">
        <v>10</v>
      </c>
      <c r="F31" s="3">
        <v>86256</v>
      </c>
      <c r="G31">
        <v>43</v>
      </c>
      <c r="H31">
        <v>4</v>
      </c>
      <c r="I31">
        <v>21</v>
      </c>
      <c r="J31">
        <v>20</v>
      </c>
      <c r="K31">
        <v>2.7</v>
      </c>
      <c r="L31" s="3">
        <v>5.8</v>
      </c>
      <c r="M31" t="s">
        <v>1036</v>
      </c>
      <c r="N31">
        <v>49.57</v>
      </c>
    </row>
    <row r="32" spans="1:14" x14ac:dyDescent="0.3">
      <c r="A32" t="s">
        <v>44</v>
      </c>
      <c r="B32" t="s">
        <v>1016</v>
      </c>
      <c r="C32" t="s">
        <v>1023</v>
      </c>
      <c r="D32">
        <v>51</v>
      </c>
      <c r="E32">
        <v>10</v>
      </c>
      <c r="F32" s="3">
        <v>85884</v>
      </c>
      <c r="G32">
        <v>37</v>
      </c>
      <c r="H32">
        <v>1</v>
      </c>
      <c r="I32">
        <v>14</v>
      </c>
      <c r="J32">
        <v>39</v>
      </c>
      <c r="K32">
        <v>5</v>
      </c>
      <c r="L32" s="3">
        <v>10</v>
      </c>
      <c r="M32" t="s">
        <v>1034</v>
      </c>
      <c r="N32">
        <v>76.67</v>
      </c>
    </row>
    <row r="33" spans="1:14" x14ac:dyDescent="0.3">
      <c r="A33" t="s">
        <v>45</v>
      </c>
      <c r="B33" t="s">
        <v>1015</v>
      </c>
      <c r="C33" t="s">
        <v>1029</v>
      </c>
      <c r="D33">
        <v>35</v>
      </c>
      <c r="E33">
        <v>8</v>
      </c>
      <c r="F33" s="3">
        <v>42380</v>
      </c>
      <c r="G33">
        <v>39</v>
      </c>
      <c r="H33">
        <v>15</v>
      </c>
      <c r="I33">
        <v>11</v>
      </c>
      <c r="J33">
        <v>4</v>
      </c>
      <c r="K33">
        <v>4.5999999999999996</v>
      </c>
      <c r="L33" s="3">
        <v>5.6</v>
      </c>
      <c r="M33" t="s">
        <v>1036</v>
      </c>
      <c r="N33">
        <v>72.400000000000006</v>
      </c>
    </row>
    <row r="34" spans="1:14" x14ac:dyDescent="0.3">
      <c r="A34" t="s">
        <v>46</v>
      </c>
      <c r="B34" t="s">
        <v>1017</v>
      </c>
      <c r="C34" t="s">
        <v>1030</v>
      </c>
      <c r="D34">
        <v>41</v>
      </c>
      <c r="E34">
        <v>0</v>
      </c>
      <c r="F34" s="3">
        <v>68769</v>
      </c>
      <c r="G34">
        <v>52</v>
      </c>
      <c r="H34">
        <v>5</v>
      </c>
      <c r="I34">
        <v>21</v>
      </c>
      <c r="J34">
        <v>6</v>
      </c>
      <c r="K34">
        <v>4.8</v>
      </c>
      <c r="L34" s="3">
        <v>3.9</v>
      </c>
      <c r="M34" t="s">
        <v>1036</v>
      </c>
      <c r="N34">
        <v>46.13</v>
      </c>
    </row>
    <row r="35" spans="1:14" x14ac:dyDescent="0.3">
      <c r="A35" t="s">
        <v>47</v>
      </c>
      <c r="B35" t="s">
        <v>1014</v>
      </c>
      <c r="C35" t="s">
        <v>1031</v>
      </c>
      <c r="D35">
        <v>31</v>
      </c>
      <c r="E35">
        <v>4</v>
      </c>
      <c r="F35" s="3">
        <v>43465</v>
      </c>
      <c r="G35">
        <v>54</v>
      </c>
      <c r="H35">
        <v>4</v>
      </c>
      <c r="I35">
        <v>22</v>
      </c>
      <c r="J35">
        <v>21</v>
      </c>
      <c r="K35">
        <v>2.6</v>
      </c>
      <c r="L35" s="3">
        <v>7.4</v>
      </c>
      <c r="M35" t="s">
        <v>1035</v>
      </c>
      <c r="N35">
        <v>58.87</v>
      </c>
    </row>
    <row r="36" spans="1:14" x14ac:dyDescent="0.3">
      <c r="A36" t="s">
        <v>48</v>
      </c>
      <c r="B36" t="s">
        <v>1015</v>
      </c>
      <c r="C36" t="s">
        <v>1021</v>
      </c>
      <c r="D36">
        <v>53</v>
      </c>
      <c r="E36">
        <v>8</v>
      </c>
      <c r="F36" s="3">
        <v>84332</v>
      </c>
      <c r="G36">
        <v>36</v>
      </c>
      <c r="H36">
        <v>2</v>
      </c>
      <c r="I36">
        <v>20</v>
      </c>
      <c r="J36">
        <v>27</v>
      </c>
      <c r="K36">
        <v>4.5</v>
      </c>
      <c r="L36" s="3">
        <v>3.3</v>
      </c>
      <c r="M36" t="s">
        <v>1036</v>
      </c>
      <c r="N36">
        <v>36.630000000000003</v>
      </c>
    </row>
    <row r="37" spans="1:14" x14ac:dyDescent="0.3">
      <c r="A37" t="s">
        <v>49</v>
      </c>
      <c r="B37" t="s">
        <v>1018</v>
      </c>
      <c r="C37" t="s">
        <v>1027</v>
      </c>
      <c r="D37">
        <v>38</v>
      </c>
      <c r="E37">
        <v>5</v>
      </c>
      <c r="F37" s="3">
        <v>73577</v>
      </c>
      <c r="G37">
        <v>49</v>
      </c>
      <c r="H37">
        <v>9</v>
      </c>
      <c r="I37">
        <v>22</v>
      </c>
      <c r="J37">
        <v>27</v>
      </c>
      <c r="K37">
        <v>3.7</v>
      </c>
      <c r="L37" s="3">
        <v>3.8</v>
      </c>
      <c r="M37" t="s">
        <v>1036</v>
      </c>
      <c r="N37">
        <v>48.9</v>
      </c>
    </row>
    <row r="38" spans="1:14" x14ac:dyDescent="0.3">
      <c r="A38" t="s">
        <v>50</v>
      </c>
      <c r="B38" t="s">
        <v>1018</v>
      </c>
      <c r="C38" t="s">
        <v>1028</v>
      </c>
      <c r="D38">
        <v>24</v>
      </c>
      <c r="E38">
        <v>2</v>
      </c>
      <c r="F38" s="3">
        <v>63175</v>
      </c>
      <c r="G38">
        <v>52</v>
      </c>
      <c r="H38">
        <v>3</v>
      </c>
      <c r="I38">
        <v>13</v>
      </c>
      <c r="J38">
        <v>8</v>
      </c>
      <c r="K38">
        <v>2.1</v>
      </c>
      <c r="L38" s="3">
        <v>5.6</v>
      </c>
      <c r="M38" t="s">
        <v>1036</v>
      </c>
      <c r="N38">
        <v>44.9</v>
      </c>
    </row>
    <row r="39" spans="1:14" x14ac:dyDescent="0.3">
      <c r="A39" t="s">
        <v>51</v>
      </c>
      <c r="B39" t="s">
        <v>1016</v>
      </c>
      <c r="C39" t="s">
        <v>1022</v>
      </c>
      <c r="D39">
        <v>35</v>
      </c>
      <c r="E39">
        <v>10</v>
      </c>
      <c r="F39" s="3">
        <v>41353</v>
      </c>
      <c r="G39">
        <v>38</v>
      </c>
      <c r="H39">
        <v>6</v>
      </c>
      <c r="I39">
        <v>24</v>
      </c>
      <c r="J39">
        <v>35</v>
      </c>
      <c r="K39">
        <v>4.7</v>
      </c>
      <c r="L39" s="3">
        <v>5.8</v>
      </c>
      <c r="M39" t="s">
        <v>1036</v>
      </c>
      <c r="N39">
        <v>58.9</v>
      </c>
    </row>
    <row r="40" spans="1:14" x14ac:dyDescent="0.3">
      <c r="A40" t="s">
        <v>52</v>
      </c>
      <c r="B40" t="s">
        <v>1018</v>
      </c>
      <c r="C40" t="s">
        <v>1032</v>
      </c>
      <c r="D40">
        <v>37</v>
      </c>
      <c r="E40">
        <v>5</v>
      </c>
      <c r="F40" s="3">
        <v>88976</v>
      </c>
      <c r="G40">
        <v>40</v>
      </c>
      <c r="H40">
        <v>15</v>
      </c>
      <c r="I40">
        <v>13</v>
      </c>
      <c r="J40">
        <v>1</v>
      </c>
      <c r="K40">
        <v>2.5</v>
      </c>
      <c r="L40" s="3">
        <v>9.5</v>
      </c>
      <c r="M40" t="s">
        <v>1034</v>
      </c>
      <c r="N40">
        <v>89.5</v>
      </c>
    </row>
    <row r="41" spans="1:14" x14ac:dyDescent="0.3">
      <c r="A41" t="s">
        <v>53</v>
      </c>
      <c r="B41" t="s">
        <v>1018</v>
      </c>
      <c r="C41" t="s">
        <v>1032</v>
      </c>
      <c r="D41">
        <v>39</v>
      </c>
      <c r="E41">
        <v>5</v>
      </c>
      <c r="F41" s="3">
        <v>76601</v>
      </c>
      <c r="G41">
        <v>38</v>
      </c>
      <c r="H41">
        <v>7</v>
      </c>
      <c r="I41">
        <v>1</v>
      </c>
      <c r="J41">
        <v>30</v>
      </c>
      <c r="K41">
        <v>2.7</v>
      </c>
      <c r="L41" s="3">
        <v>8.6999999999999993</v>
      </c>
      <c r="M41" t="s">
        <v>1034</v>
      </c>
      <c r="N41">
        <v>71.97</v>
      </c>
    </row>
    <row r="42" spans="1:14" x14ac:dyDescent="0.3">
      <c r="A42" t="s">
        <v>54</v>
      </c>
      <c r="B42" t="s">
        <v>1016</v>
      </c>
      <c r="C42" t="s">
        <v>1033</v>
      </c>
      <c r="D42">
        <v>41</v>
      </c>
      <c r="E42">
        <v>7</v>
      </c>
      <c r="F42" s="3">
        <v>39609</v>
      </c>
      <c r="G42">
        <v>35</v>
      </c>
      <c r="H42">
        <v>11</v>
      </c>
      <c r="I42">
        <v>6</v>
      </c>
      <c r="J42">
        <v>25</v>
      </c>
      <c r="K42">
        <v>3</v>
      </c>
      <c r="L42" s="3">
        <v>9.1</v>
      </c>
      <c r="M42" t="s">
        <v>1034</v>
      </c>
      <c r="N42">
        <v>81.93</v>
      </c>
    </row>
    <row r="43" spans="1:14" x14ac:dyDescent="0.3">
      <c r="A43" t="s">
        <v>55</v>
      </c>
      <c r="B43" t="s">
        <v>1016</v>
      </c>
      <c r="C43" t="s">
        <v>1022</v>
      </c>
      <c r="D43">
        <v>54</v>
      </c>
      <c r="E43">
        <v>12</v>
      </c>
      <c r="F43" s="3">
        <v>69532</v>
      </c>
      <c r="G43">
        <v>52</v>
      </c>
      <c r="H43">
        <v>6</v>
      </c>
      <c r="I43">
        <v>0</v>
      </c>
      <c r="J43">
        <v>7</v>
      </c>
      <c r="K43">
        <v>4.5999999999999996</v>
      </c>
      <c r="L43" s="3">
        <v>4.8</v>
      </c>
      <c r="M43" t="s">
        <v>1036</v>
      </c>
      <c r="N43">
        <v>52.6</v>
      </c>
    </row>
    <row r="44" spans="1:14" x14ac:dyDescent="0.3">
      <c r="A44" t="s">
        <v>56</v>
      </c>
      <c r="B44" t="s">
        <v>1016</v>
      </c>
      <c r="C44" t="s">
        <v>1023</v>
      </c>
      <c r="D44">
        <v>24</v>
      </c>
      <c r="E44">
        <v>0</v>
      </c>
      <c r="F44" s="3">
        <v>64096</v>
      </c>
      <c r="G44">
        <v>48</v>
      </c>
      <c r="H44">
        <v>6</v>
      </c>
      <c r="I44">
        <v>23</v>
      </c>
      <c r="J44">
        <v>20</v>
      </c>
      <c r="K44">
        <v>3.3</v>
      </c>
      <c r="L44" s="3">
        <v>9.9</v>
      </c>
      <c r="M44" t="s">
        <v>1034</v>
      </c>
      <c r="N44">
        <v>79.3</v>
      </c>
    </row>
    <row r="45" spans="1:14" x14ac:dyDescent="0.3">
      <c r="A45" t="s">
        <v>57</v>
      </c>
      <c r="B45" t="s">
        <v>1017</v>
      </c>
      <c r="C45" t="s">
        <v>1024</v>
      </c>
      <c r="D45">
        <v>34</v>
      </c>
      <c r="E45">
        <v>4</v>
      </c>
      <c r="F45" s="3">
        <v>27908</v>
      </c>
      <c r="G45">
        <v>48</v>
      </c>
      <c r="H45">
        <v>1</v>
      </c>
      <c r="I45">
        <v>16</v>
      </c>
      <c r="J45">
        <v>34</v>
      </c>
      <c r="K45">
        <v>4.0999999999999996</v>
      </c>
      <c r="L45" s="3">
        <v>9.6</v>
      </c>
      <c r="M45" t="s">
        <v>1034</v>
      </c>
      <c r="N45">
        <v>71.569999999999993</v>
      </c>
    </row>
    <row r="46" spans="1:14" x14ac:dyDescent="0.3">
      <c r="A46" t="s">
        <v>58</v>
      </c>
      <c r="B46" t="s">
        <v>1018</v>
      </c>
      <c r="C46" t="s">
        <v>1032</v>
      </c>
      <c r="D46">
        <v>45</v>
      </c>
      <c r="E46">
        <v>13</v>
      </c>
      <c r="F46" s="3">
        <v>29585</v>
      </c>
      <c r="G46">
        <v>45</v>
      </c>
      <c r="H46">
        <v>10</v>
      </c>
      <c r="I46">
        <v>10</v>
      </c>
      <c r="J46">
        <v>7</v>
      </c>
      <c r="K46">
        <v>4.2</v>
      </c>
      <c r="L46" s="3">
        <v>5.0999999999999996</v>
      </c>
      <c r="M46" t="s">
        <v>1036</v>
      </c>
      <c r="N46">
        <v>59.87</v>
      </c>
    </row>
    <row r="47" spans="1:14" x14ac:dyDescent="0.3">
      <c r="A47" t="s">
        <v>59</v>
      </c>
      <c r="B47" t="s">
        <v>1017</v>
      </c>
      <c r="C47" t="s">
        <v>1024</v>
      </c>
      <c r="D47">
        <v>42</v>
      </c>
      <c r="E47">
        <v>12</v>
      </c>
      <c r="F47" s="3">
        <v>70692</v>
      </c>
      <c r="G47">
        <v>44</v>
      </c>
      <c r="H47">
        <v>9</v>
      </c>
      <c r="I47">
        <v>4</v>
      </c>
      <c r="J47">
        <v>12</v>
      </c>
      <c r="K47">
        <v>3.3</v>
      </c>
      <c r="L47" s="3">
        <v>9.6</v>
      </c>
      <c r="M47" t="s">
        <v>1034</v>
      </c>
      <c r="N47">
        <v>82.5</v>
      </c>
    </row>
    <row r="48" spans="1:14" x14ac:dyDescent="0.3">
      <c r="A48" t="s">
        <v>60</v>
      </c>
      <c r="B48" t="s">
        <v>1018</v>
      </c>
      <c r="C48" t="s">
        <v>1027</v>
      </c>
      <c r="D48">
        <v>41</v>
      </c>
      <c r="E48">
        <v>12</v>
      </c>
      <c r="F48" s="3">
        <v>60909</v>
      </c>
      <c r="G48">
        <v>35</v>
      </c>
      <c r="H48">
        <v>5</v>
      </c>
      <c r="I48">
        <v>9</v>
      </c>
      <c r="J48">
        <v>13</v>
      </c>
      <c r="K48">
        <v>3.3</v>
      </c>
      <c r="L48" s="3">
        <v>7.1</v>
      </c>
      <c r="M48" t="s">
        <v>1035</v>
      </c>
      <c r="N48">
        <v>60.83</v>
      </c>
    </row>
    <row r="49" spans="1:14" x14ac:dyDescent="0.3">
      <c r="A49" t="s">
        <v>61</v>
      </c>
      <c r="B49" t="s">
        <v>1016</v>
      </c>
      <c r="C49" t="s">
        <v>1022</v>
      </c>
      <c r="D49">
        <v>51</v>
      </c>
      <c r="E49">
        <v>14</v>
      </c>
      <c r="F49" s="3">
        <v>53977</v>
      </c>
      <c r="G49">
        <v>41</v>
      </c>
      <c r="H49">
        <v>9</v>
      </c>
      <c r="I49">
        <v>15</v>
      </c>
      <c r="J49">
        <v>10</v>
      </c>
      <c r="K49">
        <v>4</v>
      </c>
      <c r="L49" s="3">
        <v>5</v>
      </c>
      <c r="M49" t="s">
        <v>1036</v>
      </c>
      <c r="N49">
        <v>57</v>
      </c>
    </row>
    <row r="50" spans="1:14" x14ac:dyDescent="0.3">
      <c r="A50" t="s">
        <v>62</v>
      </c>
      <c r="B50" t="s">
        <v>1015</v>
      </c>
      <c r="C50" t="s">
        <v>1029</v>
      </c>
      <c r="D50">
        <v>43</v>
      </c>
      <c r="E50">
        <v>2</v>
      </c>
      <c r="F50" s="3">
        <v>78636</v>
      </c>
      <c r="G50">
        <v>42</v>
      </c>
      <c r="H50">
        <v>11</v>
      </c>
      <c r="I50">
        <v>9</v>
      </c>
      <c r="J50">
        <v>14</v>
      </c>
      <c r="K50">
        <v>4.4000000000000004</v>
      </c>
      <c r="L50" s="3">
        <v>4</v>
      </c>
      <c r="M50" t="s">
        <v>1036</v>
      </c>
      <c r="N50">
        <v>55.53</v>
      </c>
    </row>
    <row r="51" spans="1:14" x14ac:dyDescent="0.3">
      <c r="A51" t="s">
        <v>63</v>
      </c>
      <c r="B51" t="s">
        <v>1018</v>
      </c>
      <c r="C51" t="s">
        <v>1032</v>
      </c>
      <c r="D51">
        <v>52</v>
      </c>
      <c r="E51">
        <v>2</v>
      </c>
      <c r="F51" s="3">
        <v>54846</v>
      </c>
      <c r="G51">
        <v>48</v>
      </c>
      <c r="H51">
        <v>15</v>
      </c>
      <c r="I51">
        <v>20</v>
      </c>
      <c r="J51">
        <v>36</v>
      </c>
      <c r="K51">
        <v>2.6</v>
      </c>
      <c r="L51" s="3">
        <v>7.9</v>
      </c>
      <c r="M51" t="s">
        <v>1035</v>
      </c>
      <c r="N51">
        <v>80.2</v>
      </c>
    </row>
    <row r="52" spans="1:14" x14ac:dyDescent="0.3">
      <c r="A52" t="s">
        <v>64</v>
      </c>
      <c r="B52" t="s">
        <v>1017</v>
      </c>
      <c r="C52" t="s">
        <v>1024</v>
      </c>
      <c r="D52">
        <v>37</v>
      </c>
      <c r="E52">
        <v>4</v>
      </c>
      <c r="F52" s="3">
        <v>67995</v>
      </c>
      <c r="G52">
        <v>35</v>
      </c>
      <c r="H52">
        <v>15</v>
      </c>
      <c r="I52">
        <v>24</v>
      </c>
      <c r="J52">
        <v>6</v>
      </c>
      <c r="K52">
        <v>4.3</v>
      </c>
      <c r="L52" s="3">
        <v>4.5</v>
      </c>
      <c r="M52" t="s">
        <v>1036</v>
      </c>
      <c r="N52">
        <v>64.900000000000006</v>
      </c>
    </row>
    <row r="53" spans="1:14" x14ac:dyDescent="0.3">
      <c r="A53" t="s">
        <v>65</v>
      </c>
      <c r="B53" t="s">
        <v>1015</v>
      </c>
      <c r="C53" t="s">
        <v>1020</v>
      </c>
      <c r="D53">
        <v>51</v>
      </c>
      <c r="E53">
        <v>1</v>
      </c>
      <c r="F53" s="3">
        <v>61530</v>
      </c>
      <c r="G53">
        <v>42</v>
      </c>
      <c r="H53">
        <v>15</v>
      </c>
      <c r="I53">
        <v>3</v>
      </c>
      <c r="J53">
        <v>29</v>
      </c>
      <c r="K53">
        <v>2.4</v>
      </c>
      <c r="L53" s="3">
        <v>6.3</v>
      </c>
      <c r="M53" t="s">
        <v>1035</v>
      </c>
      <c r="N53">
        <v>70</v>
      </c>
    </row>
    <row r="54" spans="1:14" x14ac:dyDescent="0.3">
      <c r="A54" t="s">
        <v>66</v>
      </c>
      <c r="B54" t="s">
        <v>1015</v>
      </c>
      <c r="C54" t="s">
        <v>1021</v>
      </c>
      <c r="D54">
        <v>42</v>
      </c>
      <c r="E54">
        <v>14</v>
      </c>
      <c r="F54" s="3">
        <v>65150</v>
      </c>
      <c r="G54">
        <v>51</v>
      </c>
      <c r="H54">
        <v>7</v>
      </c>
      <c r="I54">
        <v>17</v>
      </c>
      <c r="J54">
        <v>28</v>
      </c>
      <c r="K54">
        <v>4.7</v>
      </c>
      <c r="L54" s="3">
        <v>8.1999999999999993</v>
      </c>
      <c r="M54" t="s">
        <v>1034</v>
      </c>
      <c r="N54">
        <v>74.97</v>
      </c>
    </row>
    <row r="55" spans="1:14" x14ac:dyDescent="0.3">
      <c r="A55" t="s">
        <v>67</v>
      </c>
      <c r="B55" t="s">
        <v>1017</v>
      </c>
      <c r="C55" t="s">
        <v>1026</v>
      </c>
      <c r="D55">
        <v>38</v>
      </c>
      <c r="E55">
        <v>7</v>
      </c>
      <c r="F55" s="3">
        <v>80041</v>
      </c>
      <c r="G55">
        <v>55</v>
      </c>
      <c r="H55">
        <v>5</v>
      </c>
      <c r="I55">
        <v>24</v>
      </c>
      <c r="J55">
        <v>33</v>
      </c>
      <c r="K55">
        <v>3.5</v>
      </c>
      <c r="L55" s="3">
        <v>4.7</v>
      </c>
      <c r="M55" t="s">
        <v>1036</v>
      </c>
      <c r="N55">
        <v>47.03</v>
      </c>
    </row>
    <row r="56" spans="1:14" x14ac:dyDescent="0.3">
      <c r="A56" t="s">
        <v>68</v>
      </c>
      <c r="B56" t="s">
        <v>1014</v>
      </c>
      <c r="C56" t="s">
        <v>1025</v>
      </c>
      <c r="D56">
        <v>40</v>
      </c>
      <c r="E56">
        <v>7</v>
      </c>
      <c r="F56" s="3">
        <v>42807</v>
      </c>
      <c r="G56">
        <v>45</v>
      </c>
      <c r="H56">
        <v>6</v>
      </c>
      <c r="I56">
        <v>17</v>
      </c>
      <c r="J56">
        <v>5</v>
      </c>
      <c r="K56">
        <v>2.4</v>
      </c>
      <c r="L56" s="3">
        <v>4.5999999999999996</v>
      </c>
      <c r="M56" t="s">
        <v>1036</v>
      </c>
      <c r="N56">
        <v>44.8</v>
      </c>
    </row>
    <row r="57" spans="1:14" x14ac:dyDescent="0.3">
      <c r="A57" t="s">
        <v>69</v>
      </c>
      <c r="B57" t="s">
        <v>1018</v>
      </c>
      <c r="C57" t="s">
        <v>1032</v>
      </c>
      <c r="D57">
        <v>35</v>
      </c>
      <c r="E57">
        <v>1</v>
      </c>
      <c r="F57" s="3">
        <v>52188</v>
      </c>
      <c r="G57">
        <v>48</v>
      </c>
      <c r="H57">
        <v>6</v>
      </c>
      <c r="I57">
        <v>17</v>
      </c>
      <c r="J57">
        <v>29</v>
      </c>
      <c r="K57">
        <v>3.2</v>
      </c>
      <c r="L57" s="3">
        <v>4.4000000000000004</v>
      </c>
      <c r="M57" t="s">
        <v>1036</v>
      </c>
      <c r="N57">
        <v>46</v>
      </c>
    </row>
    <row r="58" spans="1:14" x14ac:dyDescent="0.3">
      <c r="A58" t="s">
        <v>70</v>
      </c>
      <c r="B58" t="s">
        <v>1017</v>
      </c>
      <c r="C58" t="s">
        <v>1026</v>
      </c>
      <c r="D58">
        <v>23</v>
      </c>
      <c r="E58">
        <v>2</v>
      </c>
      <c r="F58" s="3">
        <v>49928</v>
      </c>
      <c r="G58">
        <v>50</v>
      </c>
      <c r="H58">
        <v>1</v>
      </c>
      <c r="I58">
        <v>11</v>
      </c>
      <c r="J58">
        <v>19</v>
      </c>
      <c r="K58">
        <v>4.3</v>
      </c>
      <c r="L58" s="3">
        <v>9</v>
      </c>
      <c r="M58" t="s">
        <v>1034</v>
      </c>
      <c r="N58">
        <v>68.569999999999993</v>
      </c>
    </row>
    <row r="59" spans="1:14" x14ac:dyDescent="0.3">
      <c r="A59" t="s">
        <v>71</v>
      </c>
      <c r="B59" t="s">
        <v>1015</v>
      </c>
      <c r="C59" t="s">
        <v>1021</v>
      </c>
      <c r="D59">
        <v>36</v>
      </c>
      <c r="E59">
        <v>15</v>
      </c>
      <c r="F59" s="3">
        <v>39380</v>
      </c>
      <c r="G59">
        <v>43</v>
      </c>
      <c r="H59">
        <v>7</v>
      </c>
      <c r="I59">
        <v>15</v>
      </c>
      <c r="J59">
        <v>1</v>
      </c>
      <c r="K59">
        <v>3.2</v>
      </c>
      <c r="L59" s="3">
        <v>7.7</v>
      </c>
      <c r="M59" t="s">
        <v>1035</v>
      </c>
      <c r="N59">
        <v>67.47</v>
      </c>
    </row>
    <row r="60" spans="1:14" x14ac:dyDescent="0.3">
      <c r="A60" t="s">
        <v>72</v>
      </c>
      <c r="B60" t="s">
        <v>1018</v>
      </c>
      <c r="C60" t="s">
        <v>1028</v>
      </c>
      <c r="D60">
        <v>51</v>
      </c>
      <c r="E60">
        <v>4</v>
      </c>
      <c r="F60" s="3">
        <v>89272</v>
      </c>
      <c r="G60">
        <v>54</v>
      </c>
      <c r="H60">
        <v>9</v>
      </c>
      <c r="I60">
        <v>0</v>
      </c>
      <c r="J60">
        <v>25</v>
      </c>
      <c r="K60">
        <v>3.8</v>
      </c>
      <c r="L60" s="3">
        <v>7.6</v>
      </c>
      <c r="M60" t="s">
        <v>1035</v>
      </c>
      <c r="N60">
        <v>72</v>
      </c>
    </row>
    <row r="61" spans="1:14" x14ac:dyDescent="0.3">
      <c r="A61" t="s">
        <v>73</v>
      </c>
      <c r="B61" t="s">
        <v>1017</v>
      </c>
      <c r="C61" t="s">
        <v>1026</v>
      </c>
      <c r="D61">
        <v>30</v>
      </c>
      <c r="E61">
        <v>7</v>
      </c>
      <c r="F61" s="3">
        <v>36909</v>
      </c>
      <c r="G61">
        <v>36</v>
      </c>
      <c r="H61">
        <v>5</v>
      </c>
      <c r="I61">
        <v>12</v>
      </c>
      <c r="J61">
        <v>20</v>
      </c>
      <c r="K61">
        <v>2.6</v>
      </c>
      <c r="L61" s="3">
        <v>5.3</v>
      </c>
      <c r="M61" t="s">
        <v>1036</v>
      </c>
      <c r="N61">
        <v>47.93</v>
      </c>
    </row>
    <row r="62" spans="1:14" x14ac:dyDescent="0.3">
      <c r="A62" t="s">
        <v>74</v>
      </c>
      <c r="B62" t="s">
        <v>1016</v>
      </c>
      <c r="C62" t="s">
        <v>1023</v>
      </c>
      <c r="D62">
        <v>48</v>
      </c>
      <c r="E62">
        <v>8</v>
      </c>
      <c r="F62" s="3">
        <v>79716</v>
      </c>
      <c r="G62">
        <v>37</v>
      </c>
      <c r="H62">
        <v>8</v>
      </c>
      <c r="I62">
        <v>0</v>
      </c>
      <c r="J62">
        <v>34</v>
      </c>
      <c r="K62">
        <v>2.2000000000000002</v>
      </c>
      <c r="L62" s="3">
        <v>9.6999999999999993</v>
      </c>
      <c r="M62" t="s">
        <v>1034</v>
      </c>
      <c r="N62">
        <v>78.13</v>
      </c>
    </row>
    <row r="63" spans="1:14" x14ac:dyDescent="0.3">
      <c r="A63" t="s">
        <v>75</v>
      </c>
      <c r="B63" t="s">
        <v>1014</v>
      </c>
      <c r="C63" t="s">
        <v>1025</v>
      </c>
      <c r="D63">
        <v>24</v>
      </c>
      <c r="E63">
        <v>0</v>
      </c>
      <c r="F63" s="3">
        <v>87233</v>
      </c>
      <c r="G63">
        <v>42</v>
      </c>
      <c r="H63">
        <v>4</v>
      </c>
      <c r="I63">
        <v>0</v>
      </c>
      <c r="J63">
        <v>39</v>
      </c>
      <c r="K63">
        <v>2.5</v>
      </c>
      <c r="L63" s="3">
        <v>3.9</v>
      </c>
      <c r="M63" t="s">
        <v>1036</v>
      </c>
      <c r="N63">
        <v>37.57</v>
      </c>
    </row>
    <row r="64" spans="1:14" x14ac:dyDescent="0.3">
      <c r="A64" t="s">
        <v>76</v>
      </c>
      <c r="B64" t="s">
        <v>1014</v>
      </c>
      <c r="C64" t="s">
        <v>1025</v>
      </c>
      <c r="D64">
        <v>35</v>
      </c>
      <c r="E64">
        <v>7</v>
      </c>
      <c r="F64" s="3">
        <v>70840</v>
      </c>
      <c r="G64">
        <v>43</v>
      </c>
      <c r="H64">
        <v>13</v>
      </c>
      <c r="I64">
        <v>11</v>
      </c>
      <c r="J64">
        <v>10</v>
      </c>
      <c r="K64">
        <v>3.8</v>
      </c>
      <c r="L64" s="3">
        <v>9.6999999999999993</v>
      </c>
      <c r="M64" t="s">
        <v>1034</v>
      </c>
      <c r="N64">
        <v>91.27</v>
      </c>
    </row>
    <row r="65" spans="1:14" x14ac:dyDescent="0.3">
      <c r="A65" t="s">
        <v>77</v>
      </c>
      <c r="B65" t="s">
        <v>1014</v>
      </c>
      <c r="C65" t="s">
        <v>1031</v>
      </c>
      <c r="D65">
        <v>32</v>
      </c>
      <c r="E65">
        <v>4</v>
      </c>
      <c r="F65" s="3">
        <v>32084</v>
      </c>
      <c r="G65">
        <v>53</v>
      </c>
      <c r="H65">
        <v>1</v>
      </c>
      <c r="I65">
        <v>9</v>
      </c>
      <c r="J65">
        <v>36</v>
      </c>
      <c r="K65">
        <v>4</v>
      </c>
      <c r="L65" s="3">
        <v>9.6999999999999993</v>
      </c>
      <c r="M65" t="s">
        <v>1034</v>
      </c>
      <c r="N65">
        <v>71.87</v>
      </c>
    </row>
    <row r="66" spans="1:14" x14ac:dyDescent="0.3">
      <c r="A66" t="s">
        <v>78</v>
      </c>
      <c r="B66" t="s">
        <v>1018</v>
      </c>
      <c r="C66" t="s">
        <v>1028</v>
      </c>
      <c r="D66">
        <v>26</v>
      </c>
      <c r="E66">
        <v>4</v>
      </c>
      <c r="F66" s="3">
        <v>70260</v>
      </c>
      <c r="G66">
        <v>55</v>
      </c>
      <c r="H66">
        <v>4</v>
      </c>
      <c r="I66">
        <v>3</v>
      </c>
      <c r="J66">
        <v>19</v>
      </c>
      <c r="K66">
        <v>4.5999999999999996</v>
      </c>
      <c r="L66" s="3">
        <v>7.2</v>
      </c>
      <c r="M66" t="s">
        <v>1035</v>
      </c>
      <c r="N66">
        <v>63.67</v>
      </c>
    </row>
    <row r="67" spans="1:14" x14ac:dyDescent="0.3">
      <c r="A67" t="s">
        <v>79</v>
      </c>
      <c r="B67" t="s">
        <v>1015</v>
      </c>
      <c r="C67" t="s">
        <v>1021</v>
      </c>
      <c r="D67">
        <v>24</v>
      </c>
      <c r="E67">
        <v>2</v>
      </c>
      <c r="F67" s="3">
        <v>59913</v>
      </c>
      <c r="G67">
        <v>48</v>
      </c>
      <c r="H67">
        <v>11</v>
      </c>
      <c r="I67">
        <v>11</v>
      </c>
      <c r="J67">
        <v>4</v>
      </c>
      <c r="K67">
        <v>3.5</v>
      </c>
      <c r="L67" s="3">
        <v>5.4</v>
      </c>
      <c r="M67" t="s">
        <v>1036</v>
      </c>
      <c r="N67">
        <v>61.23</v>
      </c>
    </row>
    <row r="68" spans="1:14" x14ac:dyDescent="0.3">
      <c r="A68" t="s">
        <v>80</v>
      </c>
      <c r="B68" t="s">
        <v>1017</v>
      </c>
      <c r="C68" t="s">
        <v>1024</v>
      </c>
      <c r="D68">
        <v>28</v>
      </c>
      <c r="E68">
        <v>6</v>
      </c>
      <c r="F68" s="3">
        <v>87966</v>
      </c>
      <c r="G68">
        <v>46</v>
      </c>
      <c r="H68">
        <v>11</v>
      </c>
      <c r="I68">
        <v>14</v>
      </c>
      <c r="J68">
        <v>9</v>
      </c>
      <c r="K68">
        <v>3.3</v>
      </c>
      <c r="L68" s="3">
        <v>8.1</v>
      </c>
      <c r="M68" t="s">
        <v>1034</v>
      </c>
      <c r="N68">
        <v>76.83</v>
      </c>
    </row>
    <row r="69" spans="1:14" x14ac:dyDescent="0.3">
      <c r="A69" t="s">
        <v>81</v>
      </c>
      <c r="B69" t="s">
        <v>1016</v>
      </c>
      <c r="C69" t="s">
        <v>1033</v>
      </c>
      <c r="D69">
        <v>52</v>
      </c>
      <c r="E69">
        <v>14</v>
      </c>
      <c r="F69" s="3">
        <v>53545</v>
      </c>
      <c r="G69">
        <v>53</v>
      </c>
      <c r="H69">
        <v>5</v>
      </c>
      <c r="I69">
        <v>10</v>
      </c>
      <c r="J69">
        <v>15</v>
      </c>
      <c r="K69">
        <v>4.5</v>
      </c>
      <c r="L69" s="3">
        <v>3.6</v>
      </c>
      <c r="M69" t="s">
        <v>1036</v>
      </c>
      <c r="N69">
        <v>43.43</v>
      </c>
    </row>
    <row r="70" spans="1:14" x14ac:dyDescent="0.3">
      <c r="A70" t="s">
        <v>82</v>
      </c>
      <c r="B70" t="s">
        <v>1018</v>
      </c>
      <c r="C70" t="s">
        <v>1032</v>
      </c>
      <c r="D70">
        <v>51</v>
      </c>
      <c r="E70">
        <v>12</v>
      </c>
      <c r="F70" s="3">
        <v>47046</v>
      </c>
      <c r="G70">
        <v>35</v>
      </c>
      <c r="H70">
        <v>8</v>
      </c>
      <c r="I70">
        <v>10</v>
      </c>
      <c r="J70">
        <v>11</v>
      </c>
      <c r="K70">
        <v>3.5</v>
      </c>
      <c r="L70" s="3">
        <v>5.5</v>
      </c>
      <c r="M70" t="s">
        <v>1036</v>
      </c>
      <c r="N70">
        <v>56.83</v>
      </c>
    </row>
    <row r="71" spans="1:14" x14ac:dyDescent="0.3">
      <c r="A71" t="s">
        <v>83</v>
      </c>
      <c r="B71" t="s">
        <v>1016</v>
      </c>
      <c r="C71" t="s">
        <v>1022</v>
      </c>
      <c r="D71">
        <v>39</v>
      </c>
      <c r="E71">
        <v>8</v>
      </c>
      <c r="F71" s="3">
        <v>61424</v>
      </c>
      <c r="G71">
        <v>35</v>
      </c>
      <c r="H71">
        <v>9</v>
      </c>
      <c r="I71">
        <v>6</v>
      </c>
      <c r="J71">
        <v>5</v>
      </c>
      <c r="K71">
        <v>2.7</v>
      </c>
      <c r="L71" s="3">
        <v>5.8</v>
      </c>
      <c r="M71" t="s">
        <v>1036</v>
      </c>
      <c r="N71">
        <v>57.9</v>
      </c>
    </row>
    <row r="72" spans="1:14" x14ac:dyDescent="0.3">
      <c r="A72" t="s">
        <v>84</v>
      </c>
      <c r="B72" t="s">
        <v>1018</v>
      </c>
      <c r="C72" t="s">
        <v>1027</v>
      </c>
      <c r="D72">
        <v>52</v>
      </c>
      <c r="E72">
        <v>15</v>
      </c>
      <c r="F72" s="3">
        <v>54371</v>
      </c>
      <c r="G72">
        <v>35</v>
      </c>
      <c r="H72">
        <v>2</v>
      </c>
      <c r="I72">
        <v>9</v>
      </c>
      <c r="J72">
        <v>14</v>
      </c>
      <c r="K72">
        <v>3.2</v>
      </c>
      <c r="L72" s="3">
        <v>4.7</v>
      </c>
      <c r="M72" t="s">
        <v>1036</v>
      </c>
      <c r="N72">
        <v>41.13</v>
      </c>
    </row>
    <row r="73" spans="1:14" x14ac:dyDescent="0.3">
      <c r="A73" t="s">
        <v>85</v>
      </c>
      <c r="B73" t="s">
        <v>1015</v>
      </c>
      <c r="C73" t="s">
        <v>1021</v>
      </c>
      <c r="D73">
        <v>45</v>
      </c>
      <c r="E73">
        <v>15</v>
      </c>
      <c r="F73" s="3">
        <v>61272</v>
      </c>
      <c r="G73">
        <v>51</v>
      </c>
      <c r="H73">
        <v>6</v>
      </c>
      <c r="I73">
        <v>13</v>
      </c>
      <c r="J73">
        <v>35</v>
      </c>
      <c r="K73">
        <v>3</v>
      </c>
      <c r="L73" s="3">
        <v>7.9</v>
      </c>
      <c r="M73" t="s">
        <v>1035</v>
      </c>
      <c r="N73">
        <v>66.400000000000006</v>
      </c>
    </row>
    <row r="74" spans="1:14" x14ac:dyDescent="0.3">
      <c r="A74" t="s">
        <v>86</v>
      </c>
      <c r="B74" t="s">
        <v>1016</v>
      </c>
      <c r="C74" t="s">
        <v>1023</v>
      </c>
      <c r="D74">
        <v>38</v>
      </c>
      <c r="E74">
        <v>7</v>
      </c>
      <c r="F74" s="3">
        <v>32907</v>
      </c>
      <c r="G74">
        <v>41</v>
      </c>
      <c r="H74">
        <v>6</v>
      </c>
      <c r="I74">
        <v>3</v>
      </c>
      <c r="J74">
        <v>34</v>
      </c>
      <c r="K74">
        <v>4.9000000000000004</v>
      </c>
      <c r="L74" s="3">
        <v>7.8</v>
      </c>
      <c r="M74" t="s">
        <v>1035</v>
      </c>
      <c r="N74">
        <v>71.5</v>
      </c>
    </row>
    <row r="75" spans="1:14" x14ac:dyDescent="0.3">
      <c r="A75" t="s">
        <v>87</v>
      </c>
      <c r="B75" t="s">
        <v>1018</v>
      </c>
      <c r="C75" t="s">
        <v>1028</v>
      </c>
      <c r="D75">
        <v>52</v>
      </c>
      <c r="E75">
        <v>8</v>
      </c>
      <c r="F75" s="3">
        <v>72486</v>
      </c>
      <c r="G75">
        <v>53</v>
      </c>
      <c r="H75">
        <v>13</v>
      </c>
      <c r="I75">
        <v>16</v>
      </c>
      <c r="J75">
        <v>38</v>
      </c>
      <c r="K75">
        <v>2.8</v>
      </c>
      <c r="L75" s="3">
        <v>3.7</v>
      </c>
      <c r="M75" t="s">
        <v>1036</v>
      </c>
      <c r="N75">
        <v>52.27</v>
      </c>
    </row>
    <row r="76" spans="1:14" x14ac:dyDescent="0.3">
      <c r="A76" t="s">
        <v>88</v>
      </c>
      <c r="B76" t="s">
        <v>1016</v>
      </c>
      <c r="C76" t="s">
        <v>1023</v>
      </c>
      <c r="D76">
        <v>36</v>
      </c>
      <c r="E76">
        <v>11</v>
      </c>
      <c r="F76" s="3">
        <v>36759</v>
      </c>
      <c r="G76">
        <v>44</v>
      </c>
      <c r="H76">
        <v>1</v>
      </c>
      <c r="I76">
        <v>22</v>
      </c>
      <c r="J76">
        <v>34</v>
      </c>
      <c r="K76">
        <v>2.4</v>
      </c>
      <c r="L76" s="3">
        <v>3.3</v>
      </c>
      <c r="M76" t="s">
        <v>1036</v>
      </c>
      <c r="N76">
        <v>28.67</v>
      </c>
    </row>
    <row r="77" spans="1:14" x14ac:dyDescent="0.3">
      <c r="A77" t="s">
        <v>89</v>
      </c>
      <c r="B77" t="s">
        <v>1015</v>
      </c>
      <c r="C77" t="s">
        <v>1021</v>
      </c>
      <c r="D77">
        <v>40</v>
      </c>
      <c r="E77">
        <v>4</v>
      </c>
      <c r="F77" s="3">
        <v>66803</v>
      </c>
      <c r="G77">
        <v>50</v>
      </c>
      <c r="H77">
        <v>2</v>
      </c>
      <c r="I77">
        <v>0</v>
      </c>
      <c r="J77">
        <v>36</v>
      </c>
      <c r="K77">
        <v>2.9</v>
      </c>
      <c r="L77" s="3">
        <v>6.4</v>
      </c>
      <c r="M77" t="s">
        <v>1035</v>
      </c>
      <c r="N77">
        <v>50.43</v>
      </c>
    </row>
    <row r="78" spans="1:14" x14ac:dyDescent="0.3">
      <c r="A78" t="s">
        <v>90</v>
      </c>
      <c r="B78" t="s">
        <v>1018</v>
      </c>
      <c r="C78" t="s">
        <v>1027</v>
      </c>
      <c r="D78">
        <v>25</v>
      </c>
      <c r="E78">
        <v>2</v>
      </c>
      <c r="F78" s="3">
        <v>86673</v>
      </c>
      <c r="G78">
        <v>50</v>
      </c>
      <c r="H78">
        <v>2</v>
      </c>
      <c r="I78">
        <v>2</v>
      </c>
      <c r="J78">
        <v>25</v>
      </c>
      <c r="K78">
        <v>3.5</v>
      </c>
      <c r="L78" s="3">
        <v>7</v>
      </c>
      <c r="M78" t="s">
        <v>1035</v>
      </c>
      <c r="N78">
        <v>55.83</v>
      </c>
    </row>
    <row r="79" spans="1:14" x14ac:dyDescent="0.3">
      <c r="A79" t="s">
        <v>91</v>
      </c>
      <c r="B79" t="s">
        <v>1014</v>
      </c>
      <c r="C79" t="s">
        <v>1025</v>
      </c>
      <c r="D79">
        <v>31</v>
      </c>
      <c r="E79">
        <v>2</v>
      </c>
      <c r="F79" s="3">
        <v>78159</v>
      </c>
      <c r="G79">
        <v>53</v>
      </c>
      <c r="H79">
        <v>5</v>
      </c>
      <c r="I79">
        <v>2</v>
      </c>
      <c r="J79">
        <v>15</v>
      </c>
      <c r="K79">
        <v>2.4</v>
      </c>
      <c r="L79" s="3">
        <v>8.4</v>
      </c>
      <c r="M79" t="s">
        <v>1034</v>
      </c>
      <c r="N79">
        <v>65.930000000000007</v>
      </c>
    </row>
    <row r="80" spans="1:14" x14ac:dyDescent="0.3">
      <c r="A80" t="s">
        <v>92</v>
      </c>
      <c r="B80" t="s">
        <v>1015</v>
      </c>
      <c r="C80" t="s">
        <v>1020</v>
      </c>
      <c r="D80">
        <v>36</v>
      </c>
      <c r="E80">
        <v>12</v>
      </c>
      <c r="F80" s="3">
        <v>54524</v>
      </c>
      <c r="G80">
        <v>49</v>
      </c>
      <c r="H80">
        <v>5</v>
      </c>
      <c r="I80">
        <v>18</v>
      </c>
      <c r="J80">
        <v>27</v>
      </c>
      <c r="K80">
        <v>2.9</v>
      </c>
      <c r="L80" s="3">
        <v>7.3</v>
      </c>
      <c r="M80" t="s">
        <v>1035</v>
      </c>
      <c r="N80">
        <v>60.83</v>
      </c>
    </row>
    <row r="81" spans="1:14" x14ac:dyDescent="0.3">
      <c r="A81" t="s">
        <v>93</v>
      </c>
      <c r="B81" t="s">
        <v>1014</v>
      </c>
      <c r="C81" t="s">
        <v>1019</v>
      </c>
      <c r="D81">
        <v>35</v>
      </c>
      <c r="E81">
        <v>10</v>
      </c>
      <c r="F81" s="3">
        <v>38829</v>
      </c>
      <c r="G81">
        <v>43</v>
      </c>
      <c r="H81">
        <v>11</v>
      </c>
      <c r="I81">
        <v>2</v>
      </c>
      <c r="J81">
        <v>10</v>
      </c>
      <c r="K81">
        <v>2.7</v>
      </c>
      <c r="L81" s="3">
        <v>6.9</v>
      </c>
      <c r="M81" t="s">
        <v>1035</v>
      </c>
      <c r="N81">
        <v>67.83</v>
      </c>
    </row>
    <row r="82" spans="1:14" x14ac:dyDescent="0.3">
      <c r="A82" t="s">
        <v>94</v>
      </c>
      <c r="B82" t="s">
        <v>1014</v>
      </c>
      <c r="C82" t="s">
        <v>1025</v>
      </c>
      <c r="D82">
        <v>48</v>
      </c>
      <c r="E82">
        <v>14</v>
      </c>
      <c r="F82" s="3">
        <v>70178</v>
      </c>
      <c r="G82">
        <v>54</v>
      </c>
      <c r="H82">
        <v>8</v>
      </c>
      <c r="I82">
        <v>9</v>
      </c>
      <c r="J82">
        <v>2</v>
      </c>
      <c r="K82">
        <v>2.7</v>
      </c>
      <c r="L82" s="3">
        <v>7.9</v>
      </c>
      <c r="M82" t="s">
        <v>1035</v>
      </c>
      <c r="N82">
        <v>68.83</v>
      </c>
    </row>
    <row r="83" spans="1:14" x14ac:dyDescent="0.3">
      <c r="A83" t="s">
        <v>95</v>
      </c>
      <c r="B83" t="s">
        <v>1017</v>
      </c>
      <c r="C83" t="s">
        <v>1030</v>
      </c>
      <c r="D83">
        <v>26</v>
      </c>
      <c r="E83">
        <v>5</v>
      </c>
      <c r="F83" s="3">
        <v>40297</v>
      </c>
      <c r="G83">
        <v>43</v>
      </c>
      <c r="H83">
        <v>13</v>
      </c>
      <c r="I83">
        <v>25</v>
      </c>
      <c r="J83">
        <v>40</v>
      </c>
      <c r="K83">
        <v>3.8</v>
      </c>
      <c r="L83" s="3">
        <v>8.6</v>
      </c>
      <c r="M83" t="s">
        <v>1034</v>
      </c>
      <c r="N83">
        <v>84.67</v>
      </c>
    </row>
    <row r="84" spans="1:14" x14ac:dyDescent="0.3">
      <c r="A84" t="s">
        <v>96</v>
      </c>
      <c r="B84" t="s">
        <v>1017</v>
      </c>
      <c r="C84" t="s">
        <v>1026</v>
      </c>
      <c r="D84">
        <v>29</v>
      </c>
      <c r="E84">
        <v>8</v>
      </c>
      <c r="F84" s="3">
        <v>39733</v>
      </c>
      <c r="G84">
        <v>55</v>
      </c>
      <c r="H84">
        <v>3</v>
      </c>
      <c r="I84">
        <v>8</v>
      </c>
      <c r="J84">
        <v>9</v>
      </c>
      <c r="K84">
        <v>2.2000000000000002</v>
      </c>
      <c r="L84" s="3">
        <v>4.2</v>
      </c>
      <c r="M84" t="s">
        <v>1036</v>
      </c>
      <c r="N84">
        <v>36.799999999999997</v>
      </c>
    </row>
    <row r="85" spans="1:14" x14ac:dyDescent="0.3">
      <c r="A85" t="s">
        <v>97</v>
      </c>
      <c r="B85" t="s">
        <v>1015</v>
      </c>
      <c r="C85" t="s">
        <v>1021</v>
      </c>
      <c r="D85">
        <v>40</v>
      </c>
      <c r="E85">
        <v>14</v>
      </c>
      <c r="F85" s="3">
        <v>33149</v>
      </c>
      <c r="G85">
        <v>49</v>
      </c>
      <c r="H85">
        <v>12</v>
      </c>
      <c r="I85">
        <v>9</v>
      </c>
      <c r="J85">
        <v>25</v>
      </c>
      <c r="K85">
        <v>4.8</v>
      </c>
      <c r="L85" s="3">
        <v>6.5</v>
      </c>
      <c r="M85" t="s">
        <v>1035</v>
      </c>
      <c r="N85">
        <v>73.400000000000006</v>
      </c>
    </row>
    <row r="86" spans="1:14" x14ac:dyDescent="0.3">
      <c r="A86" t="s">
        <v>98</v>
      </c>
      <c r="B86" t="s">
        <v>1017</v>
      </c>
      <c r="C86" t="s">
        <v>1024</v>
      </c>
      <c r="D86">
        <v>27</v>
      </c>
      <c r="E86">
        <v>4</v>
      </c>
      <c r="F86" s="3">
        <v>27612</v>
      </c>
      <c r="G86">
        <v>48</v>
      </c>
      <c r="H86">
        <v>12</v>
      </c>
      <c r="I86">
        <v>10</v>
      </c>
      <c r="J86">
        <v>38</v>
      </c>
      <c r="K86">
        <v>2.8</v>
      </c>
      <c r="L86" s="3">
        <v>3.6</v>
      </c>
      <c r="M86" t="s">
        <v>1036</v>
      </c>
      <c r="N86">
        <v>50</v>
      </c>
    </row>
    <row r="87" spans="1:14" x14ac:dyDescent="0.3">
      <c r="A87" t="s">
        <v>99</v>
      </c>
      <c r="B87" t="s">
        <v>1015</v>
      </c>
      <c r="C87" t="s">
        <v>1021</v>
      </c>
      <c r="D87">
        <v>23</v>
      </c>
      <c r="E87">
        <v>2</v>
      </c>
      <c r="F87" s="3">
        <v>78832</v>
      </c>
      <c r="G87">
        <v>43</v>
      </c>
      <c r="H87">
        <v>10</v>
      </c>
      <c r="I87">
        <v>1</v>
      </c>
      <c r="J87">
        <v>11</v>
      </c>
      <c r="K87">
        <v>3.4</v>
      </c>
      <c r="L87" s="3">
        <v>7.6</v>
      </c>
      <c r="M87" t="s">
        <v>1035</v>
      </c>
      <c r="N87">
        <v>72.47</v>
      </c>
    </row>
    <row r="88" spans="1:14" x14ac:dyDescent="0.3">
      <c r="A88" t="s">
        <v>100</v>
      </c>
      <c r="B88" t="s">
        <v>1018</v>
      </c>
      <c r="C88" t="s">
        <v>1028</v>
      </c>
      <c r="D88">
        <v>49</v>
      </c>
      <c r="E88">
        <v>15</v>
      </c>
      <c r="F88" s="3">
        <v>88508</v>
      </c>
      <c r="G88">
        <v>37</v>
      </c>
      <c r="H88">
        <v>8</v>
      </c>
      <c r="I88">
        <v>11</v>
      </c>
      <c r="J88">
        <v>26</v>
      </c>
      <c r="K88">
        <v>3</v>
      </c>
      <c r="L88" s="3">
        <v>7.7</v>
      </c>
      <c r="M88" t="s">
        <v>1035</v>
      </c>
      <c r="N88">
        <v>68.53</v>
      </c>
    </row>
    <row r="89" spans="1:14" x14ac:dyDescent="0.3">
      <c r="A89" t="s">
        <v>101</v>
      </c>
      <c r="B89" t="s">
        <v>1016</v>
      </c>
      <c r="C89" t="s">
        <v>1033</v>
      </c>
      <c r="D89">
        <v>48</v>
      </c>
      <c r="E89">
        <v>15</v>
      </c>
      <c r="F89" s="3">
        <v>43888</v>
      </c>
      <c r="G89">
        <v>47</v>
      </c>
      <c r="H89">
        <v>14</v>
      </c>
      <c r="I89">
        <v>24</v>
      </c>
      <c r="J89">
        <v>35</v>
      </c>
      <c r="K89">
        <v>2.1</v>
      </c>
      <c r="L89" s="3">
        <v>3.6</v>
      </c>
      <c r="M89" t="s">
        <v>1036</v>
      </c>
      <c r="N89">
        <v>51.23</v>
      </c>
    </row>
    <row r="90" spans="1:14" x14ac:dyDescent="0.3">
      <c r="A90" t="s">
        <v>102</v>
      </c>
      <c r="B90" t="s">
        <v>1016</v>
      </c>
      <c r="C90" t="s">
        <v>1022</v>
      </c>
      <c r="D90">
        <v>29</v>
      </c>
      <c r="E90">
        <v>6</v>
      </c>
      <c r="F90" s="3">
        <v>81682</v>
      </c>
      <c r="G90">
        <v>51</v>
      </c>
      <c r="H90">
        <v>14</v>
      </c>
      <c r="I90">
        <v>0</v>
      </c>
      <c r="J90">
        <v>34</v>
      </c>
      <c r="K90">
        <v>3.4</v>
      </c>
      <c r="L90" s="3">
        <v>3.4</v>
      </c>
      <c r="M90" t="s">
        <v>1036</v>
      </c>
      <c r="N90">
        <v>53.93</v>
      </c>
    </row>
    <row r="91" spans="1:14" x14ac:dyDescent="0.3">
      <c r="A91" t="s">
        <v>103</v>
      </c>
      <c r="B91" t="s">
        <v>1016</v>
      </c>
      <c r="C91" t="s">
        <v>1022</v>
      </c>
      <c r="D91">
        <v>53</v>
      </c>
      <c r="E91">
        <v>14</v>
      </c>
      <c r="F91" s="3">
        <v>74806</v>
      </c>
      <c r="G91">
        <v>36</v>
      </c>
      <c r="H91">
        <v>4</v>
      </c>
      <c r="I91">
        <v>8</v>
      </c>
      <c r="J91">
        <v>35</v>
      </c>
      <c r="K91">
        <v>2.4</v>
      </c>
      <c r="L91" s="3">
        <v>5</v>
      </c>
      <c r="M91" t="s">
        <v>1036</v>
      </c>
      <c r="N91">
        <v>43.87</v>
      </c>
    </row>
    <row r="92" spans="1:14" x14ac:dyDescent="0.3">
      <c r="A92" t="s">
        <v>104</v>
      </c>
      <c r="B92" t="s">
        <v>1017</v>
      </c>
      <c r="C92" t="s">
        <v>1030</v>
      </c>
      <c r="D92">
        <v>29</v>
      </c>
      <c r="E92">
        <v>0</v>
      </c>
      <c r="F92" s="3">
        <v>88776</v>
      </c>
      <c r="G92">
        <v>55</v>
      </c>
      <c r="H92">
        <v>10</v>
      </c>
      <c r="I92">
        <v>25</v>
      </c>
      <c r="J92">
        <v>15</v>
      </c>
      <c r="K92">
        <v>4.0999999999999996</v>
      </c>
      <c r="L92" s="3">
        <v>5.2</v>
      </c>
      <c r="M92" t="s">
        <v>1036</v>
      </c>
      <c r="N92">
        <v>60.17</v>
      </c>
    </row>
    <row r="93" spans="1:14" x14ac:dyDescent="0.3">
      <c r="A93" t="s">
        <v>105</v>
      </c>
      <c r="B93" t="s">
        <v>1015</v>
      </c>
      <c r="C93" t="s">
        <v>1020</v>
      </c>
      <c r="D93">
        <v>48</v>
      </c>
      <c r="E93">
        <v>2</v>
      </c>
      <c r="F93" s="3">
        <v>39725</v>
      </c>
      <c r="G93">
        <v>38</v>
      </c>
      <c r="H93">
        <v>8</v>
      </c>
      <c r="I93">
        <v>3</v>
      </c>
      <c r="J93">
        <v>9</v>
      </c>
      <c r="K93">
        <v>3.5</v>
      </c>
      <c r="L93" s="3">
        <v>8</v>
      </c>
      <c r="M93" t="s">
        <v>1034</v>
      </c>
      <c r="N93">
        <v>71.83</v>
      </c>
    </row>
    <row r="94" spans="1:14" x14ac:dyDescent="0.3">
      <c r="A94" t="s">
        <v>106</v>
      </c>
      <c r="B94" t="s">
        <v>1016</v>
      </c>
      <c r="C94" t="s">
        <v>1022</v>
      </c>
      <c r="D94">
        <v>48</v>
      </c>
      <c r="E94">
        <v>15</v>
      </c>
      <c r="F94" s="3">
        <v>89241</v>
      </c>
      <c r="G94">
        <v>50</v>
      </c>
      <c r="H94">
        <v>4</v>
      </c>
      <c r="I94">
        <v>14</v>
      </c>
      <c r="J94">
        <v>35</v>
      </c>
      <c r="K94">
        <v>2.4</v>
      </c>
      <c r="L94" s="3">
        <v>4.3</v>
      </c>
      <c r="M94" t="s">
        <v>1036</v>
      </c>
      <c r="N94">
        <v>39.67</v>
      </c>
    </row>
    <row r="95" spans="1:14" x14ac:dyDescent="0.3">
      <c r="A95" t="s">
        <v>107</v>
      </c>
      <c r="B95" t="s">
        <v>1015</v>
      </c>
      <c r="C95" t="s">
        <v>1020</v>
      </c>
      <c r="D95">
        <v>30</v>
      </c>
      <c r="E95">
        <v>1</v>
      </c>
      <c r="F95" s="3">
        <v>43104</v>
      </c>
      <c r="G95">
        <v>48</v>
      </c>
      <c r="H95">
        <v>6</v>
      </c>
      <c r="I95">
        <v>25</v>
      </c>
      <c r="J95">
        <v>32</v>
      </c>
      <c r="K95">
        <v>2.8</v>
      </c>
      <c r="L95" s="3">
        <v>3</v>
      </c>
      <c r="M95" t="s">
        <v>1036</v>
      </c>
      <c r="N95">
        <v>36.4</v>
      </c>
    </row>
    <row r="96" spans="1:14" x14ac:dyDescent="0.3">
      <c r="A96" t="s">
        <v>108</v>
      </c>
      <c r="B96" t="s">
        <v>1016</v>
      </c>
      <c r="C96" t="s">
        <v>1033</v>
      </c>
      <c r="D96">
        <v>53</v>
      </c>
      <c r="E96">
        <v>4</v>
      </c>
      <c r="F96" s="3">
        <v>54264</v>
      </c>
      <c r="G96">
        <v>52</v>
      </c>
      <c r="H96">
        <v>8</v>
      </c>
      <c r="I96">
        <v>11</v>
      </c>
      <c r="J96">
        <v>21</v>
      </c>
      <c r="K96">
        <v>3.7</v>
      </c>
      <c r="L96" s="3">
        <v>6.8</v>
      </c>
      <c r="M96" t="s">
        <v>1035</v>
      </c>
      <c r="N96">
        <v>65.23</v>
      </c>
    </row>
    <row r="97" spans="1:14" x14ac:dyDescent="0.3">
      <c r="A97" t="s">
        <v>109</v>
      </c>
      <c r="B97" t="s">
        <v>1016</v>
      </c>
      <c r="C97" t="s">
        <v>1022</v>
      </c>
      <c r="D97">
        <v>34</v>
      </c>
      <c r="E97">
        <v>11</v>
      </c>
      <c r="F97" s="3">
        <v>40650</v>
      </c>
      <c r="G97">
        <v>53</v>
      </c>
      <c r="H97">
        <v>7</v>
      </c>
      <c r="I97">
        <v>7</v>
      </c>
      <c r="J97">
        <v>26</v>
      </c>
      <c r="K97">
        <v>2.1</v>
      </c>
      <c r="L97" s="3">
        <v>8.1999999999999993</v>
      </c>
      <c r="M97" t="s">
        <v>1034</v>
      </c>
      <c r="N97">
        <v>67.17</v>
      </c>
    </row>
    <row r="98" spans="1:14" x14ac:dyDescent="0.3">
      <c r="A98" t="s">
        <v>110</v>
      </c>
      <c r="B98" t="s">
        <v>1017</v>
      </c>
      <c r="C98" t="s">
        <v>1026</v>
      </c>
      <c r="D98">
        <v>46</v>
      </c>
      <c r="E98">
        <v>4</v>
      </c>
      <c r="F98" s="3">
        <v>57461</v>
      </c>
      <c r="G98">
        <v>36</v>
      </c>
      <c r="H98">
        <v>3</v>
      </c>
      <c r="I98">
        <v>16</v>
      </c>
      <c r="J98">
        <v>37</v>
      </c>
      <c r="K98">
        <v>3</v>
      </c>
      <c r="L98" s="3">
        <v>3.7</v>
      </c>
      <c r="M98" t="s">
        <v>1036</v>
      </c>
      <c r="N98">
        <v>36.200000000000003</v>
      </c>
    </row>
    <row r="99" spans="1:14" x14ac:dyDescent="0.3">
      <c r="A99" t="s">
        <v>111</v>
      </c>
      <c r="B99" t="s">
        <v>1014</v>
      </c>
      <c r="C99" t="s">
        <v>1031</v>
      </c>
      <c r="D99">
        <v>55</v>
      </c>
      <c r="E99">
        <v>14</v>
      </c>
      <c r="F99" s="3">
        <v>26005</v>
      </c>
      <c r="G99">
        <v>39</v>
      </c>
      <c r="H99">
        <v>7</v>
      </c>
      <c r="I99">
        <v>20</v>
      </c>
      <c r="J99">
        <v>9</v>
      </c>
      <c r="K99">
        <v>2.2000000000000002</v>
      </c>
      <c r="L99" s="3">
        <v>8.5</v>
      </c>
      <c r="M99" t="s">
        <v>1034</v>
      </c>
      <c r="N99">
        <v>69.27</v>
      </c>
    </row>
    <row r="100" spans="1:14" x14ac:dyDescent="0.3">
      <c r="A100" t="s">
        <v>112</v>
      </c>
      <c r="B100" t="s">
        <v>1016</v>
      </c>
      <c r="C100" t="s">
        <v>1022</v>
      </c>
      <c r="D100">
        <v>47</v>
      </c>
      <c r="E100">
        <v>2</v>
      </c>
      <c r="F100" s="3">
        <v>80821</v>
      </c>
      <c r="G100">
        <v>45</v>
      </c>
      <c r="H100">
        <v>14</v>
      </c>
      <c r="I100">
        <v>21</v>
      </c>
      <c r="J100">
        <v>34</v>
      </c>
      <c r="K100">
        <v>3.1</v>
      </c>
      <c r="L100" s="3">
        <v>5.2</v>
      </c>
      <c r="M100" t="s">
        <v>1036</v>
      </c>
      <c r="N100">
        <v>63.83</v>
      </c>
    </row>
    <row r="101" spans="1:14" x14ac:dyDescent="0.3">
      <c r="A101" t="s">
        <v>113</v>
      </c>
      <c r="B101" t="s">
        <v>1017</v>
      </c>
      <c r="C101" t="s">
        <v>1030</v>
      </c>
      <c r="D101">
        <v>24</v>
      </c>
      <c r="E101">
        <v>0</v>
      </c>
      <c r="F101" s="3">
        <v>40385</v>
      </c>
      <c r="G101">
        <v>55</v>
      </c>
      <c r="H101">
        <v>11</v>
      </c>
      <c r="I101">
        <v>9</v>
      </c>
      <c r="J101">
        <v>14</v>
      </c>
      <c r="K101">
        <v>4.2</v>
      </c>
      <c r="L101" s="3">
        <v>6</v>
      </c>
      <c r="M101" t="s">
        <v>1035</v>
      </c>
      <c r="N101">
        <v>66.930000000000007</v>
      </c>
    </row>
    <row r="102" spans="1:14" x14ac:dyDescent="0.3">
      <c r="A102" t="s">
        <v>114</v>
      </c>
      <c r="B102" t="s">
        <v>1014</v>
      </c>
      <c r="C102" t="s">
        <v>1031</v>
      </c>
      <c r="D102">
        <v>50</v>
      </c>
      <c r="E102">
        <v>5</v>
      </c>
      <c r="F102" s="3">
        <v>70482</v>
      </c>
      <c r="G102">
        <v>44</v>
      </c>
      <c r="H102">
        <v>15</v>
      </c>
      <c r="I102">
        <v>0</v>
      </c>
      <c r="J102">
        <v>2</v>
      </c>
      <c r="K102">
        <v>3</v>
      </c>
      <c r="L102" s="3">
        <v>3.4</v>
      </c>
      <c r="M102" t="s">
        <v>1036</v>
      </c>
      <c r="N102">
        <v>54.4</v>
      </c>
    </row>
    <row r="103" spans="1:14" x14ac:dyDescent="0.3">
      <c r="A103" t="s">
        <v>115</v>
      </c>
      <c r="B103" t="s">
        <v>1016</v>
      </c>
      <c r="C103" t="s">
        <v>1033</v>
      </c>
      <c r="D103">
        <v>49</v>
      </c>
      <c r="E103">
        <v>4</v>
      </c>
      <c r="F103" s="3">
        <v>41003</v>
      </c>
      <c r="G103">
        <v>51</v>
      </c>
      <c r="H103">
        <v>7</v>
      </c>
      <c r="I103">
        <v>18</v>
      </c>
      <c r="J103">
        <v>11</v>
      </c>
      <c r="K103">
        <v>2.5</v>
      </c>
      <c r="L103" s="3">
        <v>3.6</v>
      </c>
      <c r="M103" t="s">
        <v>1036</v>
      </c>
      <c r="N103">
        <v>40.770000000000003</v>
      </c>
    </row>
    <row r="104" spans="1:14" x14ac:dyDescent="0.3">
      <c r="A104" t="s">
        <v>116</v>
      </c>
      <c r="B104" t="s">
        <v>1015</v>
      </c>
      <c r="C104" t="s">
        <v>1020</v>
      </c>
      <c r="D104">
        <v>37</v>
      </c>
      <c r="E104">
        <v>15</v>
      </c>
      <c r="F104" s="3">
        <v>84823</v>
      </c>
      <c r="G104">
        <v>53</v>
      </c>
      <c r="H104">
        <v>3</v>
      </c>
      <c r="I104">
        <v>7</v>
      </c>
      <c r="J104">
        <v>29</v>
      </c>
      <c r="K104">
        <v>3.9</v>
      </c>
      <c r="L104" s="3">
        <v>6.2</v>
      </c>
      <c r="M104" t="s">
        <v>1035</v>
      </c>
      <c r="N104">
        <v>53.9</v>
      </c>
    </row>
    <row r="105" spans="1:14" x14ac:dyDescent="0.3">
      <c r="A105" t="s">
        <v>117</v>
      </c>
      <c r="B105" t="s">
        <v>1014</v>
      </c>
      <c r="C105" t="s">
        <v>1031</v>
      </c>
      <c r="D105">
        <v>51</v>
      </c>
      <c r="E105">
        <v>9</v>
      </c>
      <c r="F105" s="3">
        <v>69407</v>
      </c>
      <c r="G105">
        <v>52</v>
      </c>
      <c r="H105">
        <v>3</v>
      </c>
      <c r="I105">
        <v>2</v>
      </c>
      <c r="J105">
        <v>28</v>
      </c>
      <c r="K105">
        <v>4.8</v>
      </c>
      <c r="L105" s="3">
        <v>9.9</v>
      </c>
      <c r="M105" t="s">
        <v>1034</v>
      </c>
      <c r="N105">
        <v>78.8</v>
      </c>
    </row>
    <row r="106" spans="1:14" x14ac:dyDescent="0.3">
      <c r="A106" t="s">
        <v>118</v>
      </c>
      <c r="B106" t="s">
        <v>1017</v>
      </c>
      <c r="C106" t="s">
        <v>1026</v>
      </c>
      <c r="D106">
        <v>38</v>
      </c>
      <c r="E106">
        <v>14</v>
      </c>
      <c r="F106" s="3">
        <v>80397</v>
      </c>
      <c r="G106">
        <v>44</v>
      </c>
      <c r="H106">
        <v>4</v>
      </c>
      <c r="I106">
        <v>12</v>
      </c>
      <c r="J106">
        <v>30</v>
      </c>
      <c r="K106">
        <v>2.2999999999999998</v>
      </c>
      <c r="L106" s="3">
        <v>5.7</v>
      </c>
      <c r="M106" t="s">
        <v>1036</v>
      </c>
      <c r="N106">
        <v>47.77</v>
      </c>
    </row>
    <row r="107" spans="1:14" x14ac:dyDescent="0.3">
      <c r="A107" t="s">
        <v>119</v>
      </c>
      <c r="B107" t="s">
        <v>1015</v>
      </c>
      <c r="C107" t="s">
        <v>1029</v>
      </c>
      <c r="D107">
        <v>40</v>
      </c>
      <c r="E107">
        <v>9</v>
      </c>
      <c r="F107" s="3">
        <v>26437</v>
      </c>
      <c r="G107">
        <v>47</v>
      </c>
      <c r="H107">
        <v>5</v>
      </c>
      <c r="I107">
        <v>0</v>
      </c>
      <c r="J107">
        <v>36</v>
      </c>
      <c r="K107">
        <v>4.5999999999999996</v>
      </c>
      <c r="L107" s="3">
        <v>8.4</v>
      </c>
      <c r="M107" t="s">
        <v>1034</v>
      </c>
      <c r="N107">
        <v>72.53</v>
      </c>
    </row>
    <row r="108" spans="1:14" x14ac:dyDescent="0.3">
      <c r="A108" t="s">
        <v>120</v>
      </c>
      <c r="B108" t="s">
        <v>1015</v>
      </c>
      <c r="C108" t="s">
        <v>1021</v>
      </c>
      <c r="D108">
        <v>53</v>
      </c>
      <c r="E108">
        <v>9</v>
      </c>
      <c r="F108" s="3">
        <v>75838</v>
      </c>
      <c r="G108">
        <v>42</v>
      </c>
      <c r="H108">
        <v>10</v>
      </c>
      <c r="I108">
        <v>25</v>
      </c>
      <c r="J108">
        <v>22</v>
      </c>
      <c r="K108">
        <v>2.7</v>
      </c>
      <c r="L108" s="3">
        <v>4.3</v>
      </c>
      <c r="M108" t="s">
        <v>1036</v>
      </c>
      <c r="N108">
        <v>50.57</v>
      </c>
    </row>
    <row r="109" spans="1:14" x14ac:dyDescent="0.3">
      <c r="A109" t="s">
        <v>121</v>
      </c>
      <c r="B109" t="s">
        <v>1018</v>
      </c>
      <c r="C109" t="s">
        <v>1032</v>
      </c>
      <c r="D109">
        <v>28</v>
      </c>
      <c r="E109">
        <v>0</v>
      </c>
      <c r="F109" s="3">
        <v>45246</v>
      </c>
      <c r="G109">
        <v>49</v>
      </c>
      <c r="H109">
        <v>1</v>
      </c>
      <c r="I109">
        <v>18</v>
      </c>
      <c r="J109">
        <v>23</v>
      </c>
      <c r="K109">
        <v>4.2</v>
      </c>
      <c r="L109" s="3">
        <v>3.6</v>
      </c>
      <c r="M109" t="s">
        <v>1036</v>
      </c>
      <c r="N109">
        <v>35.869999999999997</v>
      </c>
    </row>
    <row r="110" spans="1:14" x14ac:dyDescent="0.3">
      <c r="A110" t="s">
        <v>122</v>
      </c>
      <c r="B110" t="s">
        <v>1016</v>
      </c>
      <c r="C110" t="s">
        <v>1023</v>
      </c>
      <c r="D110">
        <v>48</v>
      </c>
      <c r="E110">
        <v>5</v>
      </c>
      <c r="F110" s="3">
        <v>38159</v>
      </c>
      <c r="G110">
        <v>39</v>
      </c>
      <c r="H110">
        <v>13</v>
      </c>
      <c r="I110">
        <v>17</v>
      </c>
      <c r="J110">
        <v>23</v>
      </c>
      <c r="K110">
        <v>3.6</v>
      </c>
      <c r="L110" s="3">
        <v>9.4</v>
      </c>
      <c r="M110" t="s">
        <v>1034</v>
      </c>
      <c r="N110">
        <v>88.87</v>
      </c>
    </row>
    <row r="111" spans="1:14" x14ac:dyDescent="0.3">
      <c r="A111" t="s">
        <v>123</v>
      </c>
      <c r="B111" t="s">
        <v>1016</v>
      </c>
      <c r="C111" t="s">
        <v>1023</v>
      </c>
      <c r="D111">
        <v>52</v>
      </c>
      <c r="E111">
        <v>9</v>
      </c>
      <c r="F111" s="3">
        <v>73926</v>
      </c>
      <c r="G111">
        <v>45</v>
      </c>
      <c r="H111">
        <v>13</v>
      </c>
      <c r="I111">
        <v>3</v>
      </c>
      <c r="J111">
        <v>29</v>
      </c>
      <c r="K111">
        <v>4.9000000000000004</v>
      </c>
      <c r="L111" s="3">
        <v>4</v>
      </c>
      <c r="M111" t="s">
        <v>1036</v>
      </c>
      <c r="N111">
        <v>60.37</v>
      </c>
    </row>
    <row r="112" spans="1:14" x14ac:dyDescent="0.3">
      <c r="A112" t="s">
        <v>124</v>
      </c>
      <c r="B112" t="s">
        <v>1017</v>
      </c>
      <c r="C112" t="s">
        <v>1024</v>
      </c>
      <c r="D112">
        <v>45</v>
      </c>
      <c r="E112">
        <v>2</v>
      </c>
      <c r="F112" s="3">
        <v>76818</v>
      </c>
      <c r="G112">
        <v>47</v>
      </c>
      <c r="H112">
        <v>1</v>
      </c>
      <c r="I112">
        <v>8</v>
      </c>
      <c r="J112">
        <v>34</v>
      </c>
      <c r="K112">
        <v>2.4</v>
      </c>
      <c r="L112" s="3">
        <v>5.6</v>
      </c>
      <c r="M112" t="s">
        <v>1036</v>
      </c>
      <c r="N112">
        <v>42.47</v>
      </c>
    </row>
    <row r="113" spans="1:14" x14ac:dyDescent="0.3">
      <c r="A113" t="s">
        <v>125</v>
      </c>
      <c r="B113" t="s">
        <v>1016</v>
      </c>
      <c r="C113" t="s">
        <v>1022</v>
      </c>
      <c r="D113">
        <v>46</v>
      </c>
      <c r="E113">
        <v>11</v>
      </c>
      <c r="F113" s="3">
        <v>32100</v>
      </c>
      <c r="G113">
        <v>42</v>
      </c>
      <c r="H113">
        <v>8</v>
      </c>
      <c r="I113">
        <v>0</v>
      </c>
      <c r="J113">
        <v>39</v>
      </c>
      <c r="K113">
        <v>4.7</v>
      </c>
      <c r="L113" s="3">
        <v>6.9</v>
      </c>
      <c r="M113" t="s">
        <v>1035</v>
      </c>
      <c r="N113">
        <v>68.83</v>
      </c>
    </row>
    <row r="114" spans="1:14" x14ac:dyDescent="0.3">
      <c r="A114" t="s">
        <v>126</v>
      </c>
      <c r="B114" t="s">
        <v>1018</v>
      </c>
      <c r="C114" t="s">
        <v>1028</v>
      </c>
      <c r="D114">
        <v>26</v>
      </c>
      <c r="E114">
        <v>5</v>
      </c>
      <c r="F114" s="3">
        <v>78992</v>
      </c>
      <c r="G114">
        <v>49</v>
      </c>
      <c r="H114">
        <v>15</v>
      </c>
      <c r="I114">
        <v>22</v>
      </c>
      <c r="J114">
        <v>19</v>
      </c>
      <c r="K114">
        <v>3.9</v>
      </c>
      <c r="L114" s="3">
        <v>3.8</v>
      </c>
      <c r="M114" t="s">
        <v>1036</v>
      </c>
      <c r="N114">
        <v>59.5</v>
      </c>
    </row>
    <row r="115" spans="1:14" x14ac:dyDescent="0.3">
      <c r="A115" t="s">
        <v>127</v>
      </c>
      <c r="B115" t="s">
        <v>1014</v>
      </c>
      <c r="C115" t="s">
        <v>1025</v>
      </c>
      <c r="D115">
        <v>41</v>
      </c>
      <c r="E115">
        <v>15</v>
      </c>
      <c r="F115" s="3">
        <v>32610</v>
      </c>
      <c r="G115">
        <v>38</v>
      </c>
      <c r="H115">
        <v>4</v>
      </c>
      <c r="I115">
        <v>17</v>
      </c>
      <c r="J115">
        <v>8</v>
      </c>
      <c r="K115">
        <v>3.2</v>
      </c>
      <c r="L115" s="3">
        <v>5.6</v>
      </c>
      <c r="M115" t="s">
        <v>1036</v>
      </c>
      <c r="N115">
        <v>49.87</v>
      </c>
    </row>
    <row r="116" spans="1:14" x14ac:dyDescent="0.3">
      <c r="A116" t="s">
        <v>128</v>
      </c>
      <c r="B116" t="s">
        <v>1015</v>
      </c>
      <c r="C116" t="s">
        <v>1021</v>
      </c>
      <c r="D116">
        <v>48</v>
      </c>
      <c r="E116">
        <v>4</v>
      </c>
      <c r="F116" s="3">
        <v>83026</v>
      </c>
      <c r="G116">
        <v>48</v>
      </c>
      <c r="H116">
        <v>11</v>
      </c>
      <c r="I116">
        <v>3</v>
      </c>
      <c r="J116">
        <v>31</v>
      </c>
      <c r="K116">
        <v>3.8</v>
      </c>
      <c r="L116" s="3">
        <v>9.6</v>
      </c>
      <c r="M116" t="s">
        <v>1034</v>
      </c>
      <c r="N116">
        <v>87.33</v>
      </c>
    </row>
    <row r="117" spans="1:14" x14ac:dyDescent="0.3">
      <c r="A117" t="s">
        <v>129</v>
      </c>
      <c r="B117" t="s">
        <v>1014</v>
      </c>
      <c r="C117" t="s">
        <v>1025</v>
      </c>
      <c r="D117">
        <v>45</v>
      </c>
      <c r="E117">
        <v>6</v>
      </c>
      <c r="F117" s="3">
        <v>54057</v>
      </c>
      <c r="G117">
        <v>49</v>
      </c>
      <c r="H117">
        <v>4</v>
      </c>
      <c r="I117">
        <v>11</v>
      </c>
      <c r="J117">
        <v>6</v>
      </c>
      <c r="K117">
        <v>4.9000000000000004</v>
      </c>
      <c r="L117" s="3">
        <v>5.6</v>
      </c>
      <c r="M117" t="s">
        <v>1036</v>
      </c>
      <c r="N117">
        <v>54.97</v>
      </c>
    </row>
    <row r="118" spans="1:14" x14ac:dyDescent="0.3">
      <c r="A118" t="s">
        <v>130</v>
      </c>
      <c r="B118" t="s">
        <v>1016</v>
      </c>
      <c r="C118" t="s">
        <v>1022</v>
      </c>
      <c r="D118">
        <v>25</v>
      </c>
      <c r="E118">
        <v>3</v>
      </c>
      <c r="F118" s="3">
        <v>43080</v>
      </c>
      <c r="G118">
        <v>41</v>
      </c>
      <c r="H118">
        <v>2</v>
      </c>
      <c r="I118">
        <v>14</v>
      </c>
      <c r="J118">
        <v>5</v>
      </c>
      <c r="K118">
        <v>4</v>
      </c>
      <c r="L118" s="3">
        <v>7.5</v>
      </c>
      <c r="M118" t="s">
        <v>1035</v>
      </c>
      <c r="N118">
        <v>60.33</v>
      </c>
    </row>
    <row r="119" spans="1:14" x14ac:dyDescent="0.3">
      <c r="A119" t="s">
        <v>131</v>
      </c>
      <c r="B119" t="s">
        <v>1014</v>
      </c>
      <c r="C119" t="s">
        <v>1019</v>
      </c>
      <c r="D119">
        <v>25</v>
      </c>
      <c r="E119">
        <v>2</v>
      </c>
      <c r="F119" s="3">
        <v>40962</v>
      </c>
      <c r="G119">
        <v>39</v>
      </c>
      <c r="H119">
        <v>13</v>
      </c>
      <c r="I119">
        <v>18</v>
      </c>
      <c r="J119">
        <v>13</v>
      </c>
      <c r="K119">
        <v>2.2000000000000002</v>
      </c>
      <c r="L119" s="3">
        <v>8.4</v>
      </c>
      <c r="M119" t="s">
        <v>1034</v>
      </c>
      <c r="N119">
        <v>78.67</v>
      </c>
    </row>
    <row r="120" spans="1:14" x14ac:dyDescent="0.3">
      <c r="A120" t="s">
        <v>132</v>
      </c>
      <c r="B120" t="s">
        <v>1015</v>
      </c>
      <c r="C120" t="s">
        <v>1021</v>
      </c>
      <c r="D120">
        <v>35</v>
      </c>
      <c r="E120">
        <v>13</v>
      </c>
      <c r="F120" s="3">
        <v>81996</v>
      </c>
      <c r="G120">
        <v>42</v>
      </c>
      <c r="H120">
        <v>6</v>
      </c>
      <c r="I120">
        <v>24</v>
      </c>
      <c r="J120">
        <v>9</v>
      </c>
      <c r="K120">
        <v>4.4000000000000004</v>
      </c>
      <c r="L120" s="3">
        <v>7.2</v>
      </c>
      <c r="M120" t="s">
        <v>1035</v>
      </c>
      <c r="N120">
        <v>66.400000000000006</v>
      </c>
    </row>
    <row r="121" spans="1:14" x14ac:dyDescent="0.3">
      <c r="A121" t="s">
        <v>133</v>
      </c>
      <c r="B121" t="s">
        <v>1018</v>
      </c>
      <c r="C121" t="s">
        <v>1028</v>
      </c>
      <c r="D121">
        <v>30</v>
      </c>
      <c r="E121">
        <v>8</v>
      </c>
      <c r="F121" s="3">
        <v>41426</v>
      </c>
      <c r="G121">
        <v>40</v>
      </c>
      <c r="H121">
        <v>2</v>
      </c>
      <c r="I121">
        <v>21</v>
      </c>
      <c r="J121">
        <v>1</v>
      </c>
      <c r="K121">
        <v>2.4</v>
      </c>
      <c r="L121" s="3">
        <v>5.5</v>
      </c>
      <c r="M121" t="s">
        <v>1036</v>
      </c>
      <c r="N121">
        <v>43.53</v>
      </c>
    </row>
    <row r="122" spans="1:14" x14ac:dyDescent="0.3">
      <c r="A122" t="s">
        <v>134</v>
      </c>
      <c r="B122" t="s">
        <v>1015</v>
      </c>
      <c r="C122" t="s">
        <v>1021</v>
      </c>
      <c r="D122">
        <v>42</v>
      </c>
      <c r="E122">
        <v>0</v>
      </c>
      <c r="F122" s="3">
        <v>36419</v>
      </c>
      <c r="G122">
        <v>43</v>
      </c>
      <c r="H122">
        <v>1</v>
      </c>
      <c r="I122">
        <v>4</v>
      </c>
      <c r="J122">
        <v>26</v>
      </c>
      <c r="K122">
        <v>3.6</v>
      </c>
      <c r="L122" s="3">
        <v>8.1999999999999993</v>
      </c>
      <c r="M122" t="s">
        <v>1034</v>
      </c>
      <c r="N122">
        <v>61.67</v>
      </c>
    </row>
    <row r="123" spans="1:14" x14ac:dyDescent="0.3">
      <c r="A123" t="s">
        <v>135</v>
      </c>
      <c r="B123" t="s">
        <v>1017</v>
      </c>
      <c r="C123" t="s">
        <v>1024</v>
      </c>
      <c r="D123">
        <v>45</v>
      </c>
      <c r="E123">
        <v>3</v>
      </c>
      <c r="F123" s="3">
        <v>54622</v>
      </c>
      <c r="G123">
        <v>51</v>
      </c>
      <c r="H123">
        <v>4</v>
      </c>
      <c r="I123">
        <v>19</v>
      </c>
      <c r="J123">
        <v>2</v>
      </c>
      <c r="K123">
        <v>4.2</v>
      </c>
      <c r="L123" s="3">
        <v>9.4</v>
      </c>
      <c r="M123" t="s">
        <v>1034</v>
      </c>
      <c r="N123">
        <v>75.67</v>
      </c>
    </row>
    <row r="124" spans="1:14" x14ac:dyDescent="0.3">
      <c r="A124" t="s">
        <v>136</v>
      </c>
      <c r="B124" t="s">
        <v>1015</v>
      </c>
      <c r="C124" t="s">
        <v>1020</v>
      </c>
      <c r="D124">
        <v>41</v>
      </c>
      <c r="E124">
        <v>14</v>
      </c>
      <c r="F124" s="3">
        <v>67161</v>
      </c>
      <c r="G124">
        <v>35</v>
      </c>
      <c r="H124">
        <v>1</v>
      </c>
      <c r="I124">
        <v>15</v>
      </c>
      <c r="J124">
        <v>25</v>
      </c>
      <c r="K124">
        <v>3.3</v>
      </c>
      <c r="L124" s="3">
        <v>3.8</v>
      </c>
      <c r="M124" t="s">
        <v>1036</v>
      </c>
      <c r="N124">
        <v>34.369999999999997</v>
      </c>
    </row>
    <row r="125" spans="1:14" x14ac:dyDescent="0.3">
      <c r="A125" t="s">
        <v>137</v>
      </c>
      <c r="B125" t="s">
        <v>1017</v>
      </c>
      <c r="C125" t="s">
        <v>1024</v>
      </c>
      <c r="D125">
        <v>26</v>
      </c>
      <c r="E125">
        <v>0</v>
      </c>
      <c r="F125" s="3">
        <v>46109</v>
      </c>
      <c r="G125">
        <v>54</v>
      </c>
      <c r="H125">
        <v>3</v>
      </c>
      <c r="I125">
        <v>2</v>
      </c>
      <c r="J125">
        <v>8</v>
      </c>
      <c r="K125">
        <v>2.8</v>
      </c>
      <c r="L125" s="3">
        <v>7.4</v>
      </c>
      <c r="M125" t="s">
        <v>1035</v>
      </c>
      <c r="N125">
        <v>57.8</v>
      </c>
    </row>
    <row r="126" spans="1:14" x14ac:dyDescent="0.3">
      <c r="A126" t="s">
        <v>138</v>
      </c>
      <c r="B126" t="s">
        <v>1016</v>
      </c>
      <c r="C126" t="s">
        <v>1022</v>
      </c>
      <c r="D126">
        <v>46</v>
      </c>
      <c r="E126">
        <v>9</v>
      </c>
      <c r="F126" s="3">
        <v>54734</v>
      </c>
      <c r="G126">
        <v>51</v>
      </c>
      <c r="H126">
        <v>10</v>
      </c>
      <c r="I126">
        <v>13</v>
      </c>
      <c r="J126">
        <v>6</v>
      </c>
      <c r="K126">
        <v>4.4000000000000004</v>
      </c>
      <c r="L126" s="3">
        <v>3.8</v>
      </c>
      <c r="M126" t="s">
        <v>1036</v>
      </c>
      <c r="N126">
        <v>52.67</v>
      </c>
    </row>
    <row r="127" spans="1:14" x14ac:dyDescent="0.3">
      <c r="A127" t="s">
        <v>139</v>
      </c>
      <c r="B127" t="s">
        <v>1015</v>
      </c>
      <c r="C127" t="s">
        <v>1021</v>
      </c>
      <c r="D127">
        <v>35</v>
      </c>
      <c r="E127">
        <v>6</v>
      </c>
      <c r="F127" s="3">
        <v>54593</v>
      </c>
      <c r="G127">
        <v>42</v>
      </c>
      <c r="H127">
        <v>7</v>
      </c>
      <c r="I127">
        <v>10</v>
      </c>
      <c r="J127">
        <v>29</v>
      </c>
      <c r="K127">
        <v>3.2</v>
      </c>
      <c r="L127" s="3">
        <v>8.1</v>
      </c>
      <c r="M127" t="s">
        <v>1034</v>
      </c>
      <c r="N127">
        <v>69.87</v>
      </c>
    </row>
    <row r="128" spans="1:14" x14ac:dyDescent="0.3">
      <c r="A128" t="s">
        <v>140</v>
      </c>
      <c r="B128" t="s">
        <v>1017</v>
      </c>
      <c r="C128" t="s">
        <v>1026</v>
      </c>
      <c r="D128">
        <v>42</v>
      </c>
      <c r="E128">
        <v>8</v>
      </c>
      <c r="F128" s="3">
        <v>49530</v>
      </c>
      <c r="G128">
        <v>39</v>
      </c>
      <c r="H128">
        <v>11</v>
      </c>
      <c r="I128">
        <v>15</v>
      </c>
      <c r="J128">
        <v>4</v>
      </c>
      <c r="K128">
        <v>2.2999999999999998</v>
      </c>
      <c r="L128" s="3">
        <v>3.6</v>
      </c>
      <c r="M128" t="s">
        <v>1036</v>
      </c>
      <c r="N128">
        <v>46.83</v>
      </c>
    </row>
    <row r="129" spans="1:14" x14ac:dyDescent="0.3">
      <c r="A129" t="s">
        <v>141</v>
      </c>
      <c r="B129" t="s">
        <v>1014</v>
      </c>
      <c r="C129" t="s">
        <v>1031</v>
      </c>
      <c r="D129">
        <v>45</v>
      </c>
      <c r="E129">
        <v>4</v>
      </c>
      <c r="F129" s="3">
        <v>61462</v>
      </c>
      <c r="G129">
        <v>36</v>
      </c>
      <c r="H129">
        <v>10</v>
      </c>
      <c r="I129">
        <v>17</v>
      </c>
      <c r="J129">
        <v>35</v>
      </c>
      <c r="K129">
        <v>3</v>
      </c>
      <c r="L129" s="3">
        <v>3.9</v>
      </c>
      <c r="M129" t="s">
        <v>1036</v>
      </c>
      <c r="N129">
        <v>49.07</v>
      </c>
    </row>
    <row r="130" spans="1:14" x14ac:dyDescent="0.3">
      <c r="A130" t="s">
        <v>142</v>
      </c>
      <c r="B130" t="s">
        <v>1017</v>
      </c>
      <c r="C130" t="s">
        <v>1026</v>
      </c>
      <c r="D130">
        <v>25</v>
      </c>
      <c r="E130">
        <v>2</v>
      </c>
      <c r="F130" s="3">
        <v>64348</v>
      </c>
      <c r="G130">
        <v>44</v>
      </c>
      <c r="H130">
        <v>6</v>
      </c>
      <c r="I130">
        <v>3</v>
      </c>
      <c r="J130">
        <v>36</v>
      </c>
      <c r="K130">
        <v>3.5</v>
      </c>
      <c r="L130" s="3">
        <v>4.0999999999999996</v>
      </c>
      <c r="M130" t="s">
        <v>1036</v>
      </c>
      <c r="N130">
        <v>45.1</v>
      </c>
    </row>
    <row r="131" spans="1:14" x14ac:dyDescent="0.3">
      <c r="A131" t="s">
        <v>143</v>
      </c>
      <c r="B131" t="s">
        <v>1018</v>
      </c>
      <c r="C131" t="s">
        <v>1027</v>
      </c>
      <c r="D131">
        <v>28</v>
      </c>
      <c r="E131">
        <v>5</v>
      </c>
      <c r="F131" s="3">
        <v>80402</v>
      </c>
      <c r="G131">
        <v>52</v>
      </c>
      <c r="H131">
        <v>6</v>
      </c>
      <c r="I131">
        <v>3</v>
      </c>
      <c r="J131">
        <v>17</v>
      </c>
      <c r="K131">
        <v>3.7</v>
      </c>
      <c r="L131" s="3">
        <v>8.6999999999999993</v>
      </c>
      <c r="M131" t="s">
        <v>1034</v>
      </c>
      <c r="N131">
        <v>73.3</v>
      </c>
    </row>
    <row r="132" spans="1:14" x14ac:dyDescent="0.3">
      <c r="A132" t="s">
        <v>144</v>
      </c>
      <c r="B132" t="s">
        <v>1015</v>
      </c>
      <c r="C132" t="s">
        <v>1021</v>
      </c>
      <c r="D132">
        <v>23</v>
      </c>
      <c r="E132">
        <v>2</v>
      </c>
      <c r="F132" s="3">
        <v>85888</v>
      </c>
      <c r="G132">
        <v>43</v>
      </c>
      <c r="H132">
        <v>1</v>
      </c>
      <c r="I132">
        <v>5</v>
      </c>
      <c r="J132">
        <v>17</v>
      </c>
      <c r="K132">
        <v>4.0999999999999996</v>
      </c>
      <c r="L132" s="3">
        <v>5.2</v>
      </c>
      <c r="M132" t="s">
        <v>1036</v>
      </c>
      <c r="N132">
        <v>45.17</v>
      </c>
    </row>
    <row r="133" spans="1:14" x14ac:dyDescent="0.3">
      <c r="A133" t="s">
        <v>145</v>
      </c>
      <c r="B133" t="s">
        <v>1016</v>
      </c>
      <c r="C133" t="s">
        <v>1023</v>
      </c>
      <c r="D133">
        <v>22</v>
      </c>
      <c r="E133">
        <v>0</v>
      </c>
      <c r="F133" s="3">
        <v>82007</v>
      </c>
      <c r="G133">
        <v>39</v>
      </c>
      <c r="H133">
        <v>10</v>
      </c>
      <c r="I133">
        <v>21</v>
      </c>
      <c r="J133">
        <v>25</v>
      </c>
      <c r="K133">
        <v>2.2000000000000002</v>
      </c>
      <c r="L133" s="3">
        <v>8.1999999999999993</v>
      </c>
      <c r="M133" t="s">
        <v>1034</v>
      </c>
      <c r="N133">
        <v>72.47</v>
      </c>
    </row>
    <row r="134" spans="1:14" x14ac:dyDescent="0.3">
      <c r="A134" t="s">
        <v>146</v>
      </c>
      <c r="B134" t="s">
        <v>1014</v>
      </c>
      <c r="C134" t="s">
        <v>1025</v>
      </c>
      <c r="D134">
        <v>55</v>
      </c>
      <c r="E134">
        <v>6</v>
      </c>
      <c r="F134" s="3">
        <v>49654</v>
      </c>
      <c r="G134">
        <v>48</v>
      </c>
      <c r="H134">
        <v>8</v>
      </c>
      <c r="I134">
        <v>10</v>
      </c>
      <c r="J134">
        <v>10</v>
      </c>
      <c r="K134">
        <v>3.1</v>
      </c>
      <c r="L134" s="3">
        <v>8.1</v>
      </c>
      <c r="M134" t="s">
        <v>1034</v>
      </c>
      <c r="N134">
        <v>71.23</v>
      </c>
    </row>
    <row r="135" spans="1:14" x14ac:dyDescent="0.3">
      <c r="A135" t="s">
        <v>147</v>
      </c>
      <c r="B135" t="s">
        <v>1015</v>
      </c>
      <c r="C135" t="s">
        <v>1020</v>
      </c>
      <c r="D135">
        <v>27</v>
      </c>
      <c r="E135">
        <v>0</v>
      </c>
      <c r="F135" s="3">
        <v>35196</v>
      </c>
      <c r="G135">
        <v>40</v>
      </c>
      <c r="H135">
        <v>13</v>
      </c>
      <c r="I135">
        <v>19</v>
      </c>
      <c r="J135">
        <v>3</v>
      </c>
      <c r="K135">
        <v>4</v>
      </c>
      <c r="L135" s="3">
        <v>4.9000000000000004</v>
      </c>
      <c r="M135" t="s">
        <v>1036</v>
      </c>
      <c r="N135">
        <v>63.07</v>
      </c>
    </row>
    <row r="136" spans="1:14" x14ac:dyDescent="0.3">
      <c r="A136" t="s">
        <v>148</v>
      </c>
      <c r="B136" t="s">
        <v>1017</v>
      </c>
      <c r="C136" t="s">
        <v>1026</v>
      </c>
      <c r="D136">
        <v>53</v>
      </c>
      <c r="E136">
        <v>14</v>
      </c>
      <c r="F136" s="3">
        <v>52143</v>
      </c>
      <c r="G136">
        <v>43</v>
      </c>
      <c r="H136">
        <v>4</v>
      </c>
      <c r="I136">
        <v>24</v>
      </c>
      <c r="J136">
        <v>32</v>
      </c>
      <c r="K136">
        <v>2.2999999999999998</v>
      </c>
      <c r="L136" s="3">
        <v>6</v>
      </c>
      <c r="M136" t="s">
        <v>1035</v>
      </c>
      <c r="N136">
        <v>49.57</v>
      </c>
    </row>
    <row r="137" spans="1:14" x14ac:dyDescent="0.3">
      <c r="A137" t="s">
        <v>149</v>
      </c>
      <c r="B137" t="s">
        <v>1015</v>
      </c>
      <c r="C137" t="s">
        <v>1029</v>
      </c>
      <c r="D137">
        <v>53</v>
      </c>
      <c r="E137">
        <v>9</v>
      </c>
      <c r="F137" s="3">
        <v>27976</v>
      </c>
      <c r="G137">
        <v>42</v>
      </c>
      <c r="H137">
        <v>7</v>
      </c>
      <c r="I137">
        <v>19</v>
      </c>
      <c r="J137">
        <v>3</v>
      </c>
      <c r="K137">
        <v>2</v>
      </c>
      <c r="L137" s="3">
        <v>5.0999999999999996</v>
      </c>
      <c r="M137" t="s">
        <v>1036</v>
      </c>
      <c r="N137">
        <v>48.27</v>
      </c>
    </row>
    <row r="138" spans="1:14" x14ac:dyDescent="0.3">
      <c r="A138" t="s">
        <v>150</v>
      </c>
      <c r="B138" t="s">
        <v>1018</v>
      </c>
      <c r="C138" t="s">
        <v>1027</v>
      </c>
      <c r="D138">
        <v>38</v>
      </c>
      <c r="E138">
        <v>9</v>
      </c>
      <c r="F138" s="3">
        <v>46503</v>
      </c>
      <c r="G138">
        <v>38</v>
      </c>
      <c r="H138">
        <v>1</v>
      </c>
      <c r="I138">
        <v>15</v>
      </c>
      <c r="J138">
        <v>27</v>
      </c>
      <c r="K138">
        <v>2.5</v>
      </c>
      <c r="L138" s="3">
        <v>5.7</v>
      </c>
      <c r="M138" t="s">
        <v>1036</v>
      </c>
      <c r="N138">
        <v>43.37</v>
      </c>
    </row>
    <row r="139" spans="1:14" x14ac:dyDescent="0.3">
      <c r="A139" t="s">
        <v>151</v>
      </c>
      <c r="B139" t="s">
        <v>1018</v>
      </c>
      <c r="C139" t="s">
        <v>1028</v>
      </c>
      <c r="D139">
        <v>54</v>
      </c>
      <c r="E139">
        <v>11</v>
      </c>
      <c r="F139" s="3">
        <v>29723</v>
      </c>
      <c r="G139">
        <v>47</v>
      </c>
      <c r="H139">
        <v>14</v>
      </c>
      <c r="I139">
        <v>23</v>
      </c>
      <c r="J139">
        <v>2</v>
      </c>
      <c r="K139">
        <v>3.3</v>
      </c>
      <c r="L139" s="3">
        <v>6.2</v>
      </c>
      <c r="M139" t="s">
        <v>1035</v>
      </c>
      <c r="N139">
        <v>70.430000000000007</v>
      </c>
    </row>
    <row r="140" spans="1:14" x14ac:dyDescent="0.3">
      <c r="A140" t="s">
        <v>152</v>
      </c>
      <c r="B140" t="s">
        <v>1016</v>
      </c>
      <c r="C140" t="s">
        <v>1023</v>
      </c>
      <c r="D140">
        <v>49</v>
      </c>
      <c r="E140">
        <v>12</v>
      </c>
      <c r="F140" s="3">
        <v>71497</v>
      </c>
      <c r="G140">
        <v>55</v>
      </c>
      <c r="H140">
        <v>7</v>
      </c>
      <c r="I140">
        <v>9</v>
      </c>
      <c r="J140">
        <v>7</v>
      </c>
      <c r="K140">
        <v>3.2</v>
      </c>
      <c r="L140" s="3">
        <v>9.8000000000000007</v>
      </c>
      <c r="M140" t="s">
        <v>1034</v>
      </c>
      <c r="N140">
        <v>80.069999999999993</v>
      </c>
    </row>
    <row r="141" spans="1:14" x14ac:dyDescent="0.3">
      <c r="A141" t="s">
        <v>153</v>
      </c>
      <c r="B141" t="s">
        <v>1015</v>
      </c>
      <c r="C141" t="s">
        <v>1029</v>
      </c>
      <c r="D141">
        <v>51</v>
      </c>
      <c r="E141">
        <v>11</v>
      </c>
      <c r="F141" s="3">
        <v>30775</v>
      </c>
      <c r="G141">
        <v>48</v>
      </c>
      <c r="H141">
        <v>14</v>
      </c>
      <c r="I141">
        <v>3</v>
      </c>
      <c r="J141">
        <v>15</v>
      </c>
      <c r="K141">
        <v>3.3</v>
      </c>
      <c r="L141" s="3">
        <v>5.8</v>
      </c>
      <c r="M141" t="s">
        <v>1036</v>
      </c>
      <c r="N141">
        <v>68.03</v>
      </c>
    </row>
    <row r="142" spans="1:14" x14ac:dyDescent="0.3">
      <c r="A142" t="s">
        <v>154</v>
      </c>
      <c r="B142" t="s">
        <v>1017</v>
      </c>
      <c r="C142" t="s">
        <v>1024</v>
      </c>
      <c r="D142">
        <v>41</v>
      </c>
      <c r="E142">
        <v>10</v>
      </c>
      <c r="F142" s="3">
        <v>39520</v>
      </c>
      <c r="G142">
        <v>45</v>
      </c>
      <c r="H142">
        <v>13</v>
      </c>
      <c r="I142">
        <v>5</v>
      </c>
      <c r="J142">
        <v>4</v>
      </c>
      <c r="K142">
        <v>3.5</v>
      </c>
      <c r="L142" s="3">
        <v>3.8</v>
      </c>
      <c r="M142" t="s">
        <v>1036</v>
      </c>
      <c r="N142">
        <v>54.97</v>
      </c>
    </row>
    <row r="143" spans="1:14" x14ac:dyDescent="0.3">
      <c r="A143" t="s">
        <v>155</v>
      </c>
      <c r="B143" t="s">
        <v>1018</v>
      </c>
      <c r="C143" t="s">
        <v>1028</v>
      </c>
      <c r="D143">
        <v>44</v>
      </c>
      <c r="E143">
        <v>11</v>
      </c>
      <c r="F143" s="3">
        <v>72669</v>
      </c>
      <c r="G143">
        <v>55</v>
      </c>
      <c r="H143">
        <v>14</v>
      </c>
      <c r="I143">
        <v>4</v>
      </c>
      <c r="J143">
        <v>15</v>
      </c>
      <c r="K143">
        <v>2.2999999999999998</v>
      </c>
      <c r="L143" s="3">
        <v>4.8</v>
      </c>
      <c r="M143" t="s">
        <v>1036</v>
      </c>
      <c r="N143">
        <v>59.03</v>
      </c>
    </row>
    <row r="144" spans="1:14" x14ac:dyDescent="0.3">
      <c r="A144" t="s">
        <v>156</v>
      </c>
      <c r="B144" t="s">
        <v>1015</v>
      </c>
      <c r="C144" t="s">
        <v>1020</v>
      </c>
      <c r="D144">
        <v>31</v>
      </c>
      <c r="E144">
        <v>10</v>
      </c>
      <c r="F144" s="3">
        <v>29938</v>
      </c>
      <c r="G144">
        <v>40</v>
      </c>
      <c r="H144">
        <v>13</v>
      </c>
      <c r="I144">
        <v>20</v>
      </c>
      <c r="J144">
        <v>31</v>
      </c>
      <c r="K144">
        <v>3.4</v>
      </c>
      <c r="L144" s="3">
        <v>6.9</v>
      </c>
      <c r="M144" t="s">
        <v>1035</v>
      </c>
      <c r="N144">
        <v>73.27</v>
      </c>
    </row>
    <row r="145" spans="1:14" x14ac:dyDescent="0.3">
      <c r="A145" t="s">
        <v>157</v>
      </c>
      <c r="B145" t="s">
        <v>1017</v>
      </c>
      <c r="C145" t="s">
        <v>1024</v>
      </c>
      <c r="D145">
        <v>42</v>
      </c>
      <c r="E145">
        <v>10</v>
      </c>
      <c r="F145" s="3">
        <v>34893</v>
      </c>
      <c r="G145">
        <v>49</v>
      </c>
      <c r="H145">
        <v>2</v>
      </c>
      <c r="I145">
        <v>15</v>
      </c>
      <c r="J145">
        <v>28</v>
      </c>
      <c r="K145">
        <v>3.9</v>
      </c>
      <c r="L145" s="3">
        <v>8.6</v>
      </c>
      <c r="M145" t="s">
        <v>1034</v>
      </c>
      <c r="N145">
        <v>66.63</v>
      </c>
    </row>
    <row r="146" spans="1:14" x14ac:dyDescent="0.3">
      <c r="A146" t="s">
        <v>158</v>
      </c>
      <c r="B146" t="s">
        <v>1014</v>
      </c>
      <c r="C146" t="s">
        <v>1025</v>
      </c>
      <c r="D146">
        <v>44</v>
      </c>
      <c r="E146">
        <v>2</v>
      </c>
      <c r="F146" s="3">
        <v>45342</v>
      </c>
      <c r="G146">
        <v>49</v>
      </c>
      <c r="H146">
        <v>8</v>
      </c>
      <c r="I146">
        <v>1</v>
      </c>
      <c r="J146">
        <v>3</v>
      </c>
      <c r="K146">
        <v>3.1</v>
      </c>
      <c r="L146" s="3">
        <v>5</v>
      </c>
      <c r="M146" t="s">
        <v>1036</v>
      </c>
      <c r="N146">
        <v>52.63</v>
      </c>
    </row>
    <row r="147" spans="1:14" x14ac:dyDescent="0.3">
      <c r="A147" t="s">
        <v>159</v>
      </c>
      <c r="B147" t="s">
        <v>1014</v>
      </c>
      <c r="C147" t="s">
        <v>1025</v>
      </c>
      <c r="D147">
        <v>54</v>
      </c>
      <c r="E147">
        <v>12</v>
      </c>
      <c r="F147" s="3">
        <v>55324</v>
      </c>
      <c r="G147">
        <v>53</v>
      </c>
      <c r="H147">
        <v>9</v>
      </c>
      <c r="I147">
        <v>25</v>
      </c>
      <c r="J147">
        <v>2</v>
      </c>
      <c r="K147">
        <v>3.3</v>
      </c>
      <c r="L147" s="3">
        <v>8.6999999999999993</v>
      </c>
      <c r="M147" t="s">
        <v>1034</v>
      </c>
      <c r="N147">
        <v>77.099999999999994</v>
      </c>
    </row>
    <row r="148" spans="1:14" x14ac:dyDescent="0.3">
      <c r="A148" t="s">
        <v>160</v>
      </c>
      <c r="B148" t="s">
        <v>1018</v>
      </c>
      <c r="C148" t="s">
        <v>1027</v>
      </c>
      <c r="D148">
        <v>42</v>
      </c>
      <c r="E148">
        <v>15</v>
      </c>
      <c r="F148" s="3">
        <v>57857</v>
      </c>
      <c r="G148">
        <v>39</v>
      </c>
      <c r="H148">
        <v>1</v>
      </c>
      <c r="I148">
        <v>14</v>
      </c>
      <c r="J148">
        <v>6</v>
      </c>
      <c r="K148">
        <v>4.4000000000000004</v>
      </c>
      <c r="L148" s="3">
        <v>8.9</v>
      </c>
      <c r="M148" t="s">
        <v>1034</v>
      </c>
      <c r="N148">
        <v>68.27</v>
      </c>
    </row>
    <row r="149" spans="1:14" x14ac:dyDescent="0.3">
      <c r="A149" t="s">
        <v>161</v>
      </c>
      <c r="B149" t="s">
        <v>1014</v>
      </c>
      <c r="C149" t="s">
        <v>1031</v>
      </c>
      <c r="D149">
        <v>54</v>
      </c>
      <c r="E149">
        <v>5</v>
      </c>
      <c r="F149" s="3">
        <v>27565</v>
      </c>
      <c r="G149">
        <v>42</v>
      </c>
      <c r="H149">
        <v>12</v>
      </c>
      <c r="I149">
        <v>14</v>
      </c>
      <c r="J149">
        <v>28</v>
      </c>
      <c r="K149">
        <v>3.6</v>
      </c>
      <c r="L149" s="3">
        <v>7.3</v>
      </c>
      <c r="M149" t="s">
        <v>1035</v>
      </c>
      <c r="N149">
        <v>74.599999999999994</v>
      </c>
    </row>
    <row r="150" spans="1:14" x14ac:dyDescent="0.3">
      <c r="A150" t="s">
        <v>162</v>
      </c>
      <c r="B150" t="s">
        <v>1016</v>
      </c>
      <c r="C150" t="s">
        <v>1023</v>
      </c>
      <c r="D150">
        <v>40</v>
      </c>
      <c r="E150">
        <v>12</v>
      </c>
      <c r="F150" s="3">
        <v>51789</v>
      </c>
      <c r="G150">
        <v>45</v>
      </c>
      <c r="H150">
        <v>11</v>
      </c>
      <c r="I150">
        <v>19</v>
      </c>
      <c r="J150">
        <v>3</v>
      </c>
      <c r="K150">
        <v>4.4000000000000004</v>
      </c>
      <c r="L150" s="3">
        <v>7.5</v>
      </c>
      <c r="M150" t="s">
        <v>1035</v>
      </c>
      <c r="N150">
        <v>76.53</v>
      </c>
    </row>
    <row r="151" spans="1:14" x14ac:dyDescent="0.3">
      <c r="A151" t="s">
        <v>163</v>
      </c>
      <c r="B151" t="s">
        <v>1016</v>
      </c>
      <c r="C151" t="s">
        <v>1022</v>
      </c>
      <c r="D151">
        <v>28</v>
      </c>
      <c r="E151">
        <v>6</v>
      </c>
      <c r="F151" s="3">
        <v>43621</v>
      </c>
      <c r="G151">
        <v>43</v>
      </c>
      <c r="H151">
        <v>12</v>
      </c>
      <c r="I151">
        <v>21</v>
      </c>
      <c r="J151">
        <v>38</v>
      </c>
      <c r="K151">
        <v>4.5999999999999996</v>
      </c>
      <c r="L151" s="3">
        <v>5.3</v>
      </c>
      <c r="M151" t="s">
        <v>1036</v>
      </c>
      <c r="N151">
        <v>65.599999999999994</v>
      </c>
    </row>
    <row r="152" spans="1:14" x14ac:dyDescent="0.3">
      <c r="A152" t="s">
        <v>164</v>
      </c>
      <c r="B152" t="s">
        <v>1018</v>
      </c>
      <c r="C152" t="s">
        <v>1028</v>
      </c>
      <c r="D152">
        <v>44</v>
      </c>
      <c r="E152">
        <v>9</v>
      </c>
      <c r="F152" s="3">
        <v>88418</v>
      </c>
      <c r="G152">
        <v>55</v>
      </c>
      <c r="H152">
        <v>12</v>
      </c>
      <c r="I152">
        <v>21</v>
      </c>
      <c r="J152">
        <v>25</v>
      </c>
      <c r="K152">
        <v>2.4</v>
      </c>
      <c r="L152" s="3">
        <v>8</v>
      </c>
      <c r="M152" t="s">
        <v>1034</v>
      </c>
      <c r="N152">
        <v>75.2</v>
      </c>
    </row>
    <row r="153" spans="1:14" x14ac:dyDescent="0.3">
      <c r="A153" t="s">
        <v>165</v>
      </c>
      <c r="B153" t="s">
        <v>1016</v>
      </c>
      <c r="C153" t="s">
        <v>1022</v>
      </c>
      <c r="D153">
        <v>46</v>
      </c>
      <c r="E153">
        <v>10</v>
      </c>
      <c r="F153" s="3">
        <v>78292</v>
      </c>
      <c r="G153">
        <v>39</v>
      </c>
      <c r="H153">
        <v>11</v>
      </c>
      <c r="I153">
        <v>22</v>
      </c>
      <c r="J153">
        <v>33</v>
      </c>
      <c r="K153">
        <v>2.2999999999999998</v>
      </c>
      <c r="L153" s="3">
        <v>7.7</v>
      </c>
      <c r="M153" t="s">
        <v>1035</v>
      </c>
      <c r="N153">
        <v>71.430000000000007</v>
      </c>
    </row>
    <row r="154" spans="1:14" x14ac:dyDescent="0.3">
      <c r="A154" t="s">
        <v>166</v>
      </c>
      <c r="B154" t="s">
        <v>1016</v>
      </c>
      <c r="C154" t="s">
        <v>1023</v>
      </c>
      <c r="D154">
        <v>23</v>
      </c>
      <c r="E154">
        <v>1</v>
      </c>
      <c r="F154" s="3">
        <v>45241</v>
      </c>
      <c r="G154">
        <v>40</v>
      </c>
      <c r="H154">
        <v>4</v>
      </c>
      <c r="I154">
        <v>10</v>
      </c>
      <c r="J154">
        <v>31</v>
      </c>
      <c r="K154">
        <v>2.6</v>
      </c>
      <c r="L154" s="3">
        <v>10</v>
      </c>
      <c r="M154" t="s">
        <v>1034</v>
      </c>
      <c r="N154">
        <v>74.47</v>
      </c>
    </row>
    <row r="155" spans="1:14" x14ac:dyDescent="0.3">
      <c r="A155" t="s">
        <v>167</v>
      </c>
      <c r="B155" t="s">
        <v>1014</v>
      </c>
      <c r="C155" t="s">
        <v>1025</v>
      </c>
      <c r="D155">
        <v>40</v>
      </c>
      <c r="E155">
        <v>3</v>
      </c>
      <c r="F155" s="3">
        <v>58271</v>
      </c>
      <c r="G155">
        <v>52</v>
      </c>
      <c r="H155">
        <v>14</v>
      </c>
      <c r="I155">
        <v>23</v>
      </c>
      <c r="J155">
        <v>33</v>
      </c>
      <c r="K155">
        <v>2.1</v>
      </c>
      <c r="L155" s="3">
        <v>5.4</v>
      </c>
      <c r="M155" t="s">
        <v>1036</v>
      </c>
      <c r="N155">
        <v>62.03</v>
      </c>
    </row>
    <row r="156" spans="1:14" x14ac:dyDescent="0.3">
      <c r="A156" t="s">
        <v>168</v>
      </c>
      <c r="B156" t="s">
        <v>1018</v>
      </c>
      <c r="C156" t="s">
        <v>1032</v>
      </c>
      <c r="D156">
        <v>46</v>
      </c>
      <c r="E156">
        <v>4</v>
      </c>
      <c r="F156" s="3">
        <v>35633</v>
      </c>
      <c r="G156">
        <v>40</v>
      </c>
      <c r="H156">
        <v>14</v>
      </c>
      <c r="I156">
        <v>22</v>
      </c>
      <c r="J156">
        <v>39</v>
      </c>
      <c r="K156">
        <v>4.4000000000000004</v>
      </c>
      <c r="L156" s="3">
        <v>4.2</v>
      </c>
      <c r="M156" t="s">
        <v>1036</v>
      </c>
      <c r="N156">
        <v>61.73</v>
      </c>
    </row>
    <row r="157" spans="1:14" x14ac:dyDescent="0.3">
      <c r="A157" t="s">
        <v>169</v>
      </c>
      <c r="B157" t="s">
        <v>1014</v>
      </c>
      <c r="C157" t="s">
        <v>1019</v>
      </c>
      <c r="D157">
        <v>48</v>
      </c>
      <c r="E157">
        <v>11</v>
      </c>
      <c r="F157" s="3">
        <v>69326</v>
      </c>
      <c r="G157">
        <v>42</v>
      </c>
      <c r="H157">
        <v>8</v>
      </c>
      <c r="I157">
        <v>19</v>
      </c>
      <c r="J157">
        <v>18</v>
      </c>
      <c r="K157">
        <v>4.3</v>
      </c>
      <c r="L157" s="3">
        <v>8.5</v>
      </c>
      <c r="M157" t="s">
        <v>1034</v>
      </c>
      <c r="N157">
        <v>77.23</v>
      </c>
    </row>
    <row r="158" spans="1:14" x14ac:dyDescent="0.3">
      <c r="A158" t="s">
        <v>170</v>
      </c>
      <c r="B158" t="s">
        <v>1015</v>
      </c>
      <c r="C158" t="s">
        <v>1021</v>
      </c>
      <c r="D158">
        <v>37</v>
      </c>
      <c r="E158">
        <v>9</v>
      </c>
      <c r="F158" s="3">
        <v>88281</v>
      </c>
      <c r="G158">
        <v>50</v>
      </c>
      <c r="H158">
        <v>15</v>
      </c>
      <c r="I158">
        <v>6</v>
      </c>
      <c r="J158">
        <v>23</v>
      </c>
      <c r="K158">
        <v>4</v>
      </c>
      <c r="L158" s="3">
        <v>7</v>
      </c>
      <c r="M158" t="s">
        <v>1035</v>
      </c>
      <c r="N158">
        <v>79</v>
      </c>
    </row>
    <row r="159" spans="1:14" x14ac:dyDescent="0.3">
      <c r="A159" t="s">
        <v>171</v>
      </c>
      <c r="B159" t="s">
        <v>1017</v>
      </c>
      <c r="C159" t="s">
        <v>1026</v>
      </c>
      <c r="D159">
        <v>40</v>
      </c>
      <c r="E159">
        <v>12</v>
      </c>
      <c r="F159" s="3">
        <v>57958</v>
      </c>
      <c r="G159">
        <v>51</v>
      </c>
      <c r="H159">
        <v>7</v>
      </c>
      <c r="I159">
        <v>5</v>
      </c>
      <c r="J159">
        <v>12</v>
      </c>
      <c r="K159">
        <v>4.4000000000000004</v>
      </c>
      <c r="L159" s="3">
        <v>4</v>
      </c>
      <c r="M159" t="s">
        <v>1036</v>
      </c>
      <c r="N159">
        <v>48.87</v>
      </c>
    </row>
    <row r="160" spans="1:14" x14ac:dyDescent="0.3">
      <c r="A160" t="s">
        <v>172</v>
      </c>
      <c r="B160" t="s">
        <v>1014</v>
      </c>
      <c r="C160" t="s">
        <v>1031</v>
      </c>
      <c r="D160">
        <v>52</v>
      </c>
      <c r="E160">
        <v>11</v>
      </c>
      <c r="F160" s="3">
        <v>61342</v>
      </c>
      <c r="G160">
        <v>38</v>
      </c>
      <c r="H160">
        <v>12</v>
      </c>
      <c r="I160">
        <v>16</v>
      </c>
      <c r="J160">
        <v>7</v>
      </c>
      <c r="K160">
        <v>2.9</v>
      </c>
      <c r="L160" s="3">
        <v>8.3000000000000007</v>
      </c>
      <c r="M160" t="s">
        <v>1034</v>
      </c>
      <c r="N160">
        <v>78.5</v>
      </c>
    </row>
    <row r="161" spans="1:14" x14ac:dyDescent="0.3">
      <c r="A161" t="s">
        <v>173</v>
      </c>
      <c r="B161" t="s">
        <v>1017</v>
      </c>
      <c r="C161" t="s">
        <v>1026</v>
      </c>
      <c r="D161">
        <v>54</v>
      </c>
      <c r="E161">
        <v>4</v>
      </c>
      <c r="F161" s="3">
        <v>79463</v>
      </c>
      <c r="G161">
        <v>48</v>
      </c>
      <c r="H161">
        <v>2</v>
      </c>
      <c r="I161">
        <v>7</v>
      </c>
      <c r="J161">
        <v>28</v>
      </c>
      <c r="K161">
        <v>4.7</v>
      </c>
      <c r="L161" s="3">
        <v>9.5</v>
      </c>
      <c r="M161" t="s">
        <v>1034</v>
      </c>
      <c r="N161">
        <v>74.430000000000007</v>
      </c>
    </row>
    <row r="162" spans="1:14" x14ac:dyDescent="0.3">
      <c r="A162" t="s">
        <v>174</v>
      </c>
      <c r="B162" t="s">
        <v>1014</v>
      </c>
      <c r="C162" t="s">
        <v>1025</v>
      </c>
      <c r="D162">
        <v>47</v>
      </c>
      <c r="E162">
        <v>11</v>
      </c>
      <c r="F162" s="3">
        <v>40451</v>
      </c>
      <c r="G162">
        <v>47</v>
      </c>
      <c r="H162">
        <v>2</v>
      </c>
      <c r="I162">
        <v>11</v>
      </c>
      <c r="J162">
        <v>14</v>
      </c>
      <c r="K162">
        <v>2.1</v>
      </c>
      <c r="L162" s="3">
        <v>9.5</v>
      </c>
      <c r="M162" t="s">
        <v>1034</v>
      </c>
      <c r="N162">
        <v>66.63</v>
      </c>
    </row>
    <row r="163" spans="1:14" x14ac:dyDescent="0.3">
      <c r="A163" t="s">
        <v>175</v>
      </c>
      <c r="B163" t="s">
        <v>1016</v>
      </c>
      <c r="C163" t="s">
        <v>1022</v>
      </c>
      <c r="D163">
        <v>31</v>
      </c>
      <c r="E163">
        <v>2</v>
      </c>
      <c r="F163" s="3">
        <v>27510</v>
      </c>
      <c r="G163">
        <v>44</v>
      </c>
      <c r="H163">
        <v>15</v>
      </c>
      <c r="I163">
        <v>15</v>
      </c>
      <c r="J163">
        <v>8</v>
      </c>
      <c r="K163">
        <v>4.3</v>
      </c>
      <c r="L163" s="3">
        <v>6.3</v>
      </c>
      <c r="M163" t="s">
        <v>1035</v>
      </c>
      <c r="N163">
        <v>75.7</v>
      </c>
    </row>
    <row r="164" spans="1:14" x14ac:dyDescent="0.3">
      <c r="A164" t="s">
        <v>176</v>
      </c>
      <c r="B164" t="s">
        <v>1014</v>
      </c>
      <c r="C164" t="s">
        <v>1031</v>
      </c>
      <c r="D164">
        <v>27</v>
      </c>
      <c r="E164">
        <v>0</v>
      </c>
      <c r="F164" s="3">
        <v>41772</v>
      </c>
      <c r="G164">
        <v>41</v>
      </c>
      <c r="H164">
        <v>14</v>
      </c>
      <c r="I164">
        <v>4</v>
      </c>
      <c r="J164">
        <v>35</v>
      </c>
      <c r="K164">
        <v>4.8</v>
      </c>
      <c r="L164" s="3">
        <v>7.3</v>
      </c>
      <c r="M164" t="s">
        <v>1035</v>
      </c>
      <c r="N164">
        <v>81.53</v>
      </c>
    </row>
    <row r="165" spans="1:14" x14ac:dyDescent="0.3">
      <c r="A165" t="s">
        <v>177</v>
      </c>
      <c r="B165" t="s">
        <v>1014</v>
      </c>
      <c r="C165" t="s">
        <v>1019</v>
      </c>
      <c r="D165">
        <v>40</v>
      </c>
      <c r="E165">
        <v>7</v>
      </c>
      <c r="F165" s="3">
        <v>44736</v>
      </c>
      <c r="G165">
        <v>38</v>
      </c>
      <c r="H165">
        <v>1</v>
      </c>
      <c r="I165">
        <v>7</v>
      </c>
      <c r="J165">
        <v>26</v>
      </c>
      <c r="K165">
        <v>3.9</v>
      </c>
      <c r="L165" s="3">
        <v>7.4</v>
      </c>
      <c r="M165" t="s">
        <v>1035</v>
      </c>
      <c r="N165">
        <v>57.77</v>
      </c>
    </row>
    <row r="166" spans="1:14" x14ac:dyDescent="0.3">
      <c r="A166" t="s">
        <v>178</v>
      </c>
      <c r="B166" t="s">
        <v>1014</v>
      </c>
      <c r="C166" t="s">
        <v>1031</v>
      </c>
      <c r="D166">
        <v>53</v>
      </c>
      <c r="E166">
        <v>0</v>
      </c>
      <c r="F166" s="3">
        <v>66415</v>
      </c>
      <c r="G166">
        <v>51</v>
      </c>
      <c r="H166">
        <v>10</v>
      </c>
      <c r="I166">
        <v>7</v>
      </c>
      <c r="J166">
        <v>9</v>
      </c>
      <c r="K166">
        <v>2.9</v>
      </c>
      <c r="L166" s="3">
        <v>3</v>
      </c>
      <c r="M166" t="s">
        <v>1036</v>
      </c>
      <c r="N166">
        <v>43.37</v>
      </c>
    </row>
    <row r="167" spans="1:14" x14ac:dyDescent="0.3">
      <c r="A167" t="s">
        <v>179</v>
      </c>
      <c r="B167" t="s">
        <v>1018</v>
      </c>
      <c r="C167" t="s">
        <v>1027</v>
      </c>
      <c r="D167">
        <v>48</v>
      </c>
      <c r="E167">
        <v>5</v>
      </c>
      <c r="F167" s="3">
        <v>68540</v>
      </c>
      <c r="G167">
        <v>37</v>
      </c>
      <c r="H167">
        <v>9</v>
      </c>
      <c r="I167">
        <v>11</v>
      </c>
      <c r="J167">
        <v>4</v>
      </c>
      <c r="K167">
        <v>4.9000000000000004</v>
      </c>
      <c r="L167" s="3">
        <v>6.8</v>
      </c>
      <c r="M167" t="s">
        <v>1035</v>
      </c>
      <c r="N167">
        <v>70.5</v>
      </c>
    </row>
    <row r="168" spans="1:14" x14ac:dyDescent="0.3">
      <c r="A168" t="s">
        <v>180</v>
      </c>
      <c r="B168" t="s">
        <v>1015</v>
      </c>
      <c r="C168" t="s">
        <v>1029</v>
      </c>
      <c r="D168">
        <v>23</v>
      </c>
      <c r="E168">
        <v>1</v>
      </c>
      <c r="F168" s="3">
        <v>82234</v>
      </c>
      <c r="G168">
        <v>50</v>
      </c>
      <c r="H168">
        <v>1</v>
      </c>
      <c r="I168">
        <v>20</v>
      </c>
      <c r="J168">
        <v>24</v>
      </c>
      <c r="K168">
        <v>4.9000000000000004</v>
      </c>
      <c r="L168" s="3">
        <v>4.8</v>
      </c>
      <c r="M168" t="s">
        <v>1036</v>
      </c>
      <c r="N168">
        <v>45.17</v>
      </c>
    </row>
    <row r="169" spans="1:14" x14ac:dyDescent="0.3">
      <c r="A169" t="s">
        <v>181</v>
      </c>
      <c r="B169" t="s">
        <v>1016</v>
      </c>
      <c r="C169" t="s">
        <v>1023</v>
      </c>
      <c r="D169">
        <v>26</v>
      </c>
      <c r="E169">
        <v>2</v>
      </c>
      <c r="F169" s="3">
        <v>40802</v>
      </c>
      <c r="G169">
        <v>55</v>
      </c>
      <c r="H169">
        <v>2</v>
      </c>
      <c r="I169">
        <v>24</v>
      </c>
      <c r="J169">
        <v>37</v>
      </c>
      <c r="K169">
        <v>4.2</v>
      </c>
      <c r="L169" s="3">
        <v>5.3</v>
      </c>
      <c r="M169" t="s">
        <v>1036</v>
      </c>
      <c r="N169">
        <v>47.73</v>
      </c>
    </row>
    <row r="170" spans="1:14" x14ac:dyDescent="0.3">
      <c r="A170" t="s">
        <v>182</v>
      </c>
      <c r="B170" t="s">
        <v>1016</v>
      </c>
      <c r="C170" t="s">
        <v>1022</v>
      </c>
      <c r="D170">
        <v>43</v>
      </c>
      <c r="E170">
        <v>5</v>
      </c>
      <c r="F170" s="3">
        <v>79420</v>
      </c>
      <c r="G170">
        <v>49</v>
      </c>
      <c r="H170">
        <v>12</v>
      </c>
      <c r="I170">
        <v>15</v>
      </c>
      <c r="J170">
        <v>40</v>
      </c>
      <c r="K170">
        <v>2.5</v>
      </c>
      <c r="L170" s="3">
        <v>3.9</v>
      </c>
      <c r="M170" t="s">
        <v>1036</v>
      </c>
      <c r="N170">
        <v>50.9</v>
      </c>
    </row>
    <row r="171" spans="1:14" x14ac:dyDescent="0.3">
      <c r="A171" t="s">
        <v>183</v>
      </c>
      <c r="B171" t="s">
        <v>1017</v>
      </c>
      <c r="C171" t="s">
        <v>1026</v>
      </c>
      <c r="D171">
        <v>24</v>
      </c>
      <c r="E171">
        <v>2</v>
      </c>
      <c r="F171" s="3">
        <v>38211</v>
      </c>
      <c r="G171">
        <v>36</v>
      </c>
      <c r="H171">
        <v>13</v>
      </c>
      <c r="I171">
        <v>6</v>
      </c>
      <c r="J171">
        <v>2</v>
      </c>
      <c r="K171">
        <v>2.9</v>
      </c>
      <c r="L171" s="3">
        <v>5.2</v>
      </c>
      <c r="M171" t="s">
        <v>1036</v>
      </c>
      <c r="N171">
        <v>61.57</v>
      </c>
    </row>
    <row r="172" spans="1:14" x14ac:dyDescent="0.3">
      <c r="A172" t="s">
        <v>184</v>
      </c>
      <c r="B172" t="s">
        <v>1015</v>
      </c>
      <c r="C172" t="s">
        <v>1020</v>
      </c>
      <c r="D172">
        <v>52</v>
      </c>
      <c r="E172">
        <v>8</v>
      </c>
      <c r="F172" s="3">
        <v>27399</v>
      </c>
      <c r="G172">
        <v>55</v>
      </c>
      <c r="H172">
        <v>4</v>
      </c>
      <c r="I172">
        <v>9</v>
      </c>
      <c r="J172">
        <v>22</v>
      </c>
      <c r="K172">
        <v>4.5999999999999996</v>
      </c>
      <c r="L172" s="3">
        <v>3.3</v>
      </c>
      <c r="M172" t="s">
        <v>1036</v>
      </c>
      <c r="N172">
        <v>40.270000000000003</v>
      </c>
    </row>
    <row r="173" spans="1:14" x14ac:dyDescent="0.3">
      <c r="A173" t="s">
        <v>185</v>
      </c>
      <c r="B173" t="s">
        <v>1016</v>
      </c>
      <c r="C173" t="s">
        <v>1023</v>
      </c>
      <c r="D173">
        <v>39</v>
      </c>
      <c r="E173">
        <v>3</v>
      </c>
      <c r="F173" s="3">
        <v>77385</v>
      </c>
      <c r="G173">
        <v>46</v>
      </c>
      <c r="H173">
        <v>7</v>
      </c>
      <c r="I173">
        <v>12</v>
      </c>
      <c r="J173">
        <v>28</v>
      </c>
      <c r="K173">
        <v>4.7</v>
      </c>
      <c r="L173" s="3">
        <v>5.7</v>
      </c>
      <c r="M173" t="s">
        <v>1036</v>
      </c>
      <c r="N173">
        <v>59.97</v>
      </c>
    </row>
    <row r="174" spans="1:14" x14ac:dyDescent="0.3">
      <c r="A174" t="s">
        <v>186</v>
      </c>
      <c r="B174" t="s">
        <v>1017</v>
      </c>
      <c r="C174" t="s">
        <v>1024</v>
      </c>
      <c r="D174">
        <v>53</v>
      </c>
      <c r="E174">
        <v>11</v>
      </c>
      <c r="F174" s="3">
        <v>85575</v>
      </c>
      <c r="G174">
        <v>51</v>
      </c>
      <c r="H174">
        <v>5</v>
      </c>
      <c r="I174">
        <v>25</v>
      </c>
      <c r="J174">
        <v>5</v>
      </c>
      <c r="K174">
        <v>4.2</v>
      </c>
      <c r="L174" s="3">
        <v>3.6</v>
      </c>
      <c r="M174" t="s">
        <v>1036</v>
      </c>
      <c r="N174">
        <v>42.53</v>
      </c>
    </row>
    <row r="175" spans="1:14" x14ac:dyDescent="0.3">
      <c r="A175" t="s">
        <v>187</v>
      </c>
      <c r="B175" t="s">
        <v>1018</v>
      </c>
      <c r="C175" t="s">
        <v>1032</v>
      </c>
      <c r="D175">
        <v>40</v>
      </c>
      <c r="E175">
        <v>10</v>
      </c>
      <c r="F175" s="3">
        <v>31723</v>
      </c>
      <c r="G175">
        <v>37</v>
      </c>
      <c r="H175">
        <v>6</v>
      </c>
      <c r="I175">
        <v>21</v>
      </c>
      <c r="J175">
        <v>18</v>
      </c>
      <c r="K175">
        <v>2.9</v>
      </c>
      <c r="L175" s="3">
        <v>7.2</v>
      </c>
      <c r="M175" t="s">
        <v>1035</v>
      </c>
      <c r="N175">
        <v>61.9</v>
      </c>
    </row>
    <row r="176" spans="1:14" x14ac:dyDescent="0.3">
      <c r="A176" t="s">
        <v>188</v>
      </c>
      <c r="B176" t="s">
        <v>1018</v>
      </c>
      <c r="C176" t="s">
        <v>1028</v>
      </c>
      <c r="D176">
        <v>50</v>
      </c>
      <c r="E176">
        <v>11</v>
      </c>
      <c r="F176" s="3">
        <v>54303</v>
      </c>
      <c r="G176">
        <v>36</v>
      </c>
      <c r="H176">
        <v>12</v>
      </c>
      <c r="I176">
        <v>11</v>
      </c>
      <c r="J176">
        <v>39</v>
      </c>
      <c r="K176">
        <v>5</v>
      </c>
      <c r="L176" s="3">
        <v>4.9000000000000004</v>
      </c>
      <c r="M176" t="s">
        <v>1036</v>
      </c>
      <c r="N176">
        <v>64.400000000000006</v>
      </c>
    </row>
    <row r="177" spans="1:14" x14ac:dyDescent="0.3">
      <c r="A177" t="s">
        <v>189</v>
      </c>
      <c r="B177" t="s">
        <v>1014</v>
      </c>
      <c r="C177" t="s">
        <v>1019</v>
      </c>
      <c r="D177">
        <v>47</v>
      </c>
      <c r="E177">
        <v>11</v>
      </c>
      <c r="F177" s="3">
        <v>58625</v>
      </c>
      <c r="G177">
        <v>40</v>
      </c>
      <c r="H177">
        <v>1</v>
      </c>
      <c r="I177">
        <v>4</v>
      </c>
      <c r="J177">
        <v>38</v>
      </c>
      <c r="K177">
        <v>4</v>
      </c>
      <c r="L177" s="3">
        <v>6.1</v>
      </c>
      <c r="M177" t="s">
        <v>1035</v>
      </c>
      <c r="N177">
        <v>50.27</v>
      </c>
    </row>
    <row r="178" spans="1:14" x14ac:dyDescent="0.3">
      <c r="A178" t="s">
        <v>190</v>
      </c>
      <c r="B178" t="s">
        <v>1014</v>
      </c>
      <c r="C178" t="s">
        <v>1031</v>
      </c>
      <c r="D178">
        <v>37</v>
      </c>
      <c r="E178">
        <v>11</v>
      </c>
      <c r="F178" s="3">
        <v>48733</v>
      </c>
      <c r="G178">
        <v>47</v>
      </c>
      <c r="H178">
        <v>10</v>
      </c>
      <c r="I178">
        <v>1</v>
      </c>
      <c r="J178">
        <v>38</v>
      </c>
      <c r="K178">
        <v>2.5</v>
      </c>
      <c r="L178" s="3">
        <v>6.1</v>
      </c>
      <c r="M178" t="s">
        <v>1035</v>
      </c>
      <c r="N178">
        <v>60.77</v>
      </c>
    </row>
    <row r="179" spans="1:14" x14ac:dyDescent="0.3">
      <c r="A179" t="s">
        <v>191</v>
      </c>
      <c r="B179" t="s">
        <v>1016</v>
      </c>
      <c r="C179" t="s">
        <v>1023</v>
      </c>
      <c r="D179">
        <v>50</v>
      </c>
      <c r="E179">
        <v>2</v>
      </c>
      <c r="F179" s="3">
        <v>62612</v>
      </c>
      <c r="G179">
        <v>39</v>
      </c>
      <c r="H179">
        <v>9</v>
      </c>
      <c r="I179">
        <v>11</v>
      </c>
      <c r="J179">
        <v>25</v>
      </c>
      <c r="K179">
        <v>2.9</v>
      </c>
      <c r="L179" s="3">
        <v>5</v>
      </c>
      <c r="M179" t="s">
        <v>1036</v>
      </c>
      <c r="N179">
        <v>53.7</v>
      </c>
    </row>
    <row r="180" spans="1:14" x14ac:dyDescent="0.3">
      <c r="A180" t="s">
        <v>192</v>
      </c>
      <c r="B180" t="s">
        <v>1014</v>
      </c>
      <c r="C180" t="s">
        <v>1031</v>
      </c>
      <c r="D180">
        <v>33</v>
      </c>
      <c r="E180">
        <v>7</v>
      </c>
      <c r="F180" s="3">
        <v>58930</v>
      </c>
      <c r="G180">
        <v>47</v>
      </c>
      <c r="H180">
        <v>15</v>
      </c>
      <c r="I180">
        <v>17</v>
      </c>
      <c r="J180">
        <v>7</v>
      </c>
      <c r="K180">
        <v>2.8</v>
      </c>
      <c r="L180" s="3">
        <v>4.8</v>
      </c>
      <c r="M180" t="s">
        <v>1036</v>
      </c>
      <c r="N180">
        <v>62.2</v>
      </c>
    </row>
    <row r="181" spans="1:14" x14ac:dyDescent="0.3">
      <c r="A181" t="s">
        <v>193</v>
      </c>
      <c r="B181" t="s">
        <v>1018</v>
      </c>
      <c r="C181" t="s">
        <v>1028</v>
      </c>
      <c r="D181">
        <v>40</v>
      </c>
      <c r="E181">
        <v>15</v>
      </c>
      <c r="F181" s="3">
        <v>38118</v>
      </c>
      <c r="G181">
        <v>38</v>
      </c>
      <c r="H181">
        <v>3</v>
      </c>
      <c r="I181">
        <v>2</v>
      </c>
      <c r="J181">
        <v>28</v>
      </c>
      <c r="K181">
        <v>2.5</v>
      </c>
      <c r="L181" s="3">
        <v>8</v>
      </c>
      <c r="M181" t="s">
        <v>1034</v>
      </c>
      <c r="N181">
        <v>60.5</v>
      </c>
    </row>
    <row r="182" spans="1:14" x14ac:dyDescent="0.3">
      <c r="A182" t="s">
        <v>194</v>
      </c>
      <c r="B182" t="s">
        <v>1016</v>
      </c>
      <c r="C182" t="s">
        <v>1022</v>
      </c>
      <c r="D182">
        <v>44</v>
      </c>
      <c r="E182">
        <v>2</v>
      </c>
      <c r="F182" s="3">
        <v>61044</v>
      </c>
      <c r="G182">
        <v>52</v>
      </c>
      <c r="H182">
        <v>5</v>
      </c>
      <c r="I182">
        <v>9</v>
      </c>
      <c r="J182">
        <v>10</v>
      </c>
      <c r="K182">
        <v>4.0999999999999996</v>
      </c>
      <c r="L182" s="3">
        <v>9.5</v>
      </c>
      <c r="M182" t="s">
        <v>1034</v>
      </c>
      <c r="N182">
        <v>77.63</v>
      </c>
    </row>
    <row r="183" spans="1:14" x14ac:dyDescent="0.3">
      <c r="A183" t="s">
        <v>195</v>
      </c>
      <c r="B183" t="s">
        <v>1018</v>
      </c>
      <c r="C183" t="s">
        <v>1027</v>
      </c>
      <c r="D183">
        <v>45</v>
      </c>
      <c r="E183">
        <v>7</v>
      </c>
      <c r="F183" s="3">
        <v>32953</v>
      </c>
      <c r="G183">
        <v>41</v>
      </c>
      <c r="H183">
        <v>13</v>
      </c>
      <c r="I183">
        <v>4</v>
      </c>
      <c r="J183">
        <v>15</v>
      </c>
      <c r="K183">
        <v>4.4000000000000004</v>
      </c>
      <c r="L183" s="3">
        <v>3.2</v>
      </c>
      <c r="M183" t="s">
        <v>1036</v>
      </c>
      <c r="N183">
        <v>54.07</v>
      </c>
    </row>
    <row r="184" spans="1:14" x14ac:dyDescent="0.3">
      <c r="A184" t="s">
        <v>196</v>
      </c>
      <c r="B184" t="s">
        <v>1015</v>
      </c>
      <c r="C184" t="s">
        <v>1020</v>
      </c>
      <c r="D184">
        <v>45</v>
      </c>
      <c r="E184">
        <v>14</v>
      </c>
      <c r="F184" s="3">
        <v>77668</v>
      </c>
      <c r="G184">
        <v>52</v>
      </c>
      <c r="H184">
        <v>3</v>
      </c>
      <c r="I184">
        <v>19</v>
      </c>
      <c r="J184">
        <v>5</v>
      </c>
      <c r="K184">
        <v>2.2000000000000002</v>
      </c>
      <c r="L184" s="3">
        <v>5.8</v>
      </c>
      <c r="M184" t="s">
        <v>1036</v>
      </c>
      <c r="N184">
        <v>46.4</v>
      </c>
    </row>
    <row r="185" spans="1:14" x14ac:dyDescent="0.3">
      <c r="A185" t="s">
        <v>197</v>
      </c>
      <c r="B185" t="s">
        <v>1017</v>
      </c>
      <c r="C185" t="s">
        <v>1030</v>
      </c>
      <c r="D185">
        <v>55</v>
      </c>
      <c r="E185">
        <v>13</v>
      </c>
      <c r="F185" s="3">
        <v>75407</v>
      </c>
      <c r="G185">
        <v>48</v>
      </c>
      <c r="H185">
        <v>14</v>
      </c>
      <c r="I185">
        <v>18</v>
      </c>
      <c r="J185">
        <v>4</v>
      </c>
      <c r="K185">
        <v>2.4</v>
      </c>
      <c r="L185" s="3">
        <v>5.2</v>
      </c>
      <c r="M185" t="s">
        <v>1036</v>
      </c>
      <c r="N185">
        <v>61.73</v>
      </c>
    </row>
    <row r="186" spans="1:14" x14ac:dyDescent="0.3">
      <c r="A186" t="s">
        <v>198</v>
      </c>
      <c r="B186" t="s">
        <v>1017</v>
      </c>
      <c r="C186" t="s">
        <v>1024</v>
      </c>
      <c r="D186">
        <v>51</v>
      </c>
      <c r="E186">
        <v>11</v>
      </c>
      <c r="F186" s="3">
        <v>33410</v>
      </c>
      <c r="G186">
        <v>52</v>
      </c>
      <c r="H186">
        <v>11</v>
      </c>
      <c r="I186">
        <v>18</v>
      </c>
      <c r="J186">
        <v>11</v>
      </c>
      <c r="K186">
        <v>4.3</v>
      </c>
      <c r="L186" s="3">
        <v>3.9</v>
      </c>
      <c r="M186" t="s">
        <v>1036</v>
      </c>
      <c r="N186">
        <v>54.63</v>
      </c>
    </row>
    <row r="187" spans="1:14" x14ac:dyDescent="0.3">
      <c r="A187" t="s">
        <v>199</v>
      </c>
      <c r="B187" t="s">
        <v>1014</v>
      </c>
      <c r="C187" t="s">
        <v>1025</v>
      </c>
      <c r="D187">
        <v>29</v>
      </c>
      <c r="E187">
        <v>8</v>
      </c>
      <c r="F187" s="3">
        <v>35028</v>
      </c>
      <c r="G187">
        <v>44</v>
      </c>
      <c r="H187">
        <v>3</v>
      </c>
      <c r="I187">
        <v>5</v>
      </c>
      <c r="J187">
        <v>20</v>
      </c>
      <c r="K187">
        <v>4.8</v>
      </c>
      <c r="L187" s="3">
        <v>4.5999999999999996</v>
      </c>
      <c r="M187" t="s">
        <v>1036</v>
      </c>
      <c r="N187">
        <v>47</v>
      </c>
    </row>
    <row r="188" spans="1:14" x14ac:dyDescent="0.3">
      <c r="A188" t="s">
        <v>200</v>
      </c>
      <c r="B188" t="s">
        <v>1016</v>
      </c>
      <c r="C188" t="s">
        <v>1023</v>
      </c>
      <c r="D188">
        <v>27</v>
      </c>
      <c r="E188">
        <v>2</v>
      </c>
      <c r="F188" s="3">
        <v>37864</v>
      </c>
      <c r="G188">
        <v>55</v>
      </c>
      <c r="H188">
        <v>9</v>
      </c>
      <c r="I188">
        <v>8</v>
      </c>
      <c r="J188">
        <v>8</v>
      </c>
      <c r="K188">
        <v>3.9</v>
      </c>
      <c r="L188" s="3">
        <v>7.3</v>
      </c>
      <c r="M188" t="s">
        <v>1035</v>
      </c>
      <c r="N188">
        <v>70.5</v>
      </c>
    </row>
    <row r="189" spans="1:14" x14ac:dyDescent="0.3">
      <c r="A189" t="s">
        <v>201</v>
      </c>
      <c r="B189" t="s">
        <v>1015</v>
      </c>
      <c r="C189" t="s">
        <v>1020</v>
      </c>
      <c r="D189">
        <v>32</v>
      </c>
      <c r="E189">
        <v>9</v>
      </c>
      <c r="F189" s="3">
        <v>86709</v>
      </c>
      <c r="G189">
        <v>53</v>
      </c>
      <c r="H189">
        <v>3</v>
      </c>
      <c r="I189">
        <v>5</v>
      </c>
      <c r="J189">
        <v>39</v>
      </c>
      <c r="K189">
        <v>4.2</v>
      </c>
      <c r="L189" s="3">
        <v>7.2</v>
      </c>
      <c r="M189" t="s">
        <v>1035</v>
      </c>
      <c r="N189">
        <v>60.8</v>
      </c>
    </row>
    <row r="190" spans="1:14" x14ac:dyDescent="0.3">
      <c r="A190" t="s">
        <v>202</v>
      </c>
      <c r="B190" t="s">
        <v>1014</v>
      </c>
      <c r="C190" t="s">
        <v>1031</v>
      </c>
      <c r="D190">
        <v>23</v>
      </c>
      <c r="E190">
        <v>0</v>
      </c>
      <c r="F190" s="3">
        <v>27979</v>
      </c>
      <c r="G190">
        <v>55</v>
      </c>
      <c r="H190">
        <v>13</v>
      </c>
      <c r="I190">
        <v>18</v>
      </c>
      <c r="J190">
        <v>16</v>
      </c>
      <c r="K190">
        <v>4</v>
      </c>
      <c r="L190" s="3">
        <v>8.4</v>
      </c>
      <c r="M190" t="s">
        <v>1034</v>
      </c>
      <c r="N190">
        <v>84.07</v>
      </c>
    </row>
    <row r="191" spans="1:14" x14ac:dyDescent="0.3">
      <c r="A191" t="s">
        <v>203</v>
      </c>
      <c r="B191" t="s">
        <v>1015</v>
      </c>
      <c r="C191" t="s">
        <v>1020</v>
      </c>
      <c r="D191">
        <v>23</v>
      </c>
      <c r="E191">
        <v>1</v>
      </c>
      <c r="F191" s="3">
        <v>83261</v>
      </c>
      <c r="G191">
        <v>55</v>
      </c>
      <c r="H191">
        <v>9</v>
      </c>
      <c r="I191">
        <v>9</v>
      </c>
      <c r="J191">
        <v>19</v>
      </c>
      <c r="K191">
        <v>3.4</v>
      </c>
      <c r="L191" s="3">
        <v>8.6</v>
      </c>
      <c r="M191" t="s">
        <v>1034</v>
      </c>
      <c r="N191">
        <v>76.8</v>
      </c>
    </row>
    <row r="192" spans="1:14" x14ac:dyDescent="0.3">
      <c r="A192" t="s">
        <v>204</v>
      </c>
      <c r="B192" t="s">
        <v>1017</v>
      </c>
      <c r="C192" t="s">
        <v>1024</v>
      </c>
      <c r="D192">
        <v>41</v>
      </c>
      <c r="E192">
        <v>14</v>
      </c>
      <c r="F192" s="3">
        <v>29782</v>
      </c>
      <c r="G192">
        <v>36</v>
      </c>
      <c r="H192">
        <v>3</v>
      </c>
      <c r="I192">
        <v>14</v>
      </c>
      <c r="J192">
        <v>26</v>
      </c>
      <c r="K192">
        <v>3.5</v>
      </c>
      <c r="L192" s="3">
        <v>4.4000000000000004</v>
      </c>
      <c r="M192" t="s">
        <v>1036</v>
      </c>
      <c r="N192">
        <v>41.9</v>
      </c>
    </row>
    <row r="193" spans="1:14" x14ac:dyDescent="0.3">
      <c r="A193" t="s">
        <v>205</v>
      </c>
      <c r="B193" t="s">
        <v>1018</v>
      </c>
      <c r="C193" t="s">
        <v>1028</v>
      </c>
      <c r="D193">
        <v>42</v>
      </c>
      <c r="E193">
        <v>10</v>
      </c>
      <c r="F193" s="3">
        <v>73116</v>
      </c>
      <c r="G193">
        <v>46</v>
      </c>
      <c r="H193">
        <v>7</v>
      </c>
      <c r="I193">
        <v>4</v>
      </c>
      <c r="J193">
        <v>23</v>
      </c>
      <c r="K193">
        <v>3.5</v>
      </c>
      <c r="L193" s="3">
        <v>3.7</v>
      </c>
      <c r="M193" t="s">
        <v>1036</v>
      </c>
      <c r="N193">
        <v>44.37</v>
      </c>
    </row>
    <row r="194" spans="1:14" x14ac:dyDescent="0.3">
      <c r="A194" t="s">
        <v>206</v>
      </c>
      <c r="B194" t="s">
        <v>1017</v>
      </c>
      <c r="C194" t="s">
        <v>1024</v>
      </c>
      <c r="D194">
        <v>29</v>
      </c>
      <c r="E194">
        <v>4</v>
      </c>
      <c r="F194" s="3">
        <v>54464</v>
      </c>
      <c r="G194">
        <v>42</v>
      </c>
      <c r="H194">
        <v>3</v>
      </c>
      <c r="I194">
        <v>3</v>
      </c>
      <c r="J194">
        <v>3</v>
      </c>
      <c r="K194">
        <v>2.9</v>
      </c>
      <c r="L194" s="3">
        <v>5.7</v>
      </c>
      <c r="M194" t="s">
        <v>1036</v>
      </c>
      <c r="N194">
        <v>47.9</v>
      </c>
    </row>
    <row r="195" spans="1:14" x14ac:dyDescent="0.3">
      <c r="A195" t="s">
        <v>207</v>
      </c>
      <c r="B195" t="s">
        <v>1017</v>
      </c>
      <c r="C195" t="s">
        <v>1024</v>
      </c>
      <c r="D195">
        <v>37</v>
      </c>
      <c r="E195">
        <v>5</v>
      </c>
      <c r="F195" s="3">
        <v>78312</v>
      </c>
      <c r="G195">
        <v>45</v>
      </c>
      <c r="H195">
        <v>15</v>
      </c>
      <c r="I195">
        <v>18</v>
      </c>
      <c r="J195">
        <v>20</v>
      </c>
      <c r="K195">
        <v>2.6</v>
      </c>
      <c r="L195" s="3">
        <v>4.0999999999999996</v>
      </c>
      <c r="M195" t="s">
        <v>1036</v>
      </c>
      <c r="N195">
        <v>57.4</v>
      </c>
    </row>
    <row r="196" spans="1:14" x14ac:dyDescent="0.3">
      <c r="A196" t="s">
        <v>208</v>
      </c>
      <c r="B196" t="s">
        <v>1017</v>
      </c>
      <c r="C196" t="s">
        <v>1024</v>
      </c>
      <c r="D196">
        <v>53</v>
      </c>
      <c r="E196">
        <v>9</v>
      </c>
      <c r="F196" s="3">
        <v>57595</v>
      </c>
      <c r="G196">
        <v>35</v>
      </c>
      <c r="H196">
        <v>2</v>
      </c>
      <c r="I196">
        <v>12</v>
      </c>
      <c r="J196">
        <v>32</v>
      </c>
      <c r="K196">
        <v>3.4</v>
      </c>
      <c r="L196" s="3">
        <v>4.7</v>
      </c>
      <c r="M196" t="s">
        <v>1036</v>
      </c>
      <c r="N196">
        <v>41.73</v>
      </c>
    </row>
    <row r="197" spans="1:14" x14ac:dyDescent="0.3">
      <c r="A197" t="s">
        <v>209</v>
      </c>
      <c r="B197" t="s">
        <v>1016</v>
      </c>
      <c r="C197" t="s">
        <v>1023</v>
      </c>
      <c r="D197">
        <v>25</v>
      </c>
      <c r="E197">
        <v>0</v>
      </c>
      <c r="F197" s="3">
        <v>43438</v>
      </c>
      <c r="G197">
        <v>50</v>
      </c>
      <c r="H197">
        <v>10</v>
      </c>
      <c r="I197">
        <v>20</v>
      </c>
      <c r="J197">
        <v>30</v>
      </c>
      <c r="K197">
        <v>2.9</v>
      </c>
      <c r="L197" s="3">
        <v>3.1</v>
      </c>
      <c r="M197" t="s">
        <v>1036</v>
      </c>
      <c r="N197">
        <v>43.97</v>
      </c>
    </row>
    <row r="198" spans="1:14" x14ac:dyDescent="0.3">
      <c r="A198" t="s">
        <v>210</v>
      </c>
      <c r="B198" t="s">
        <v>1017</v>
      </c>
      <c r="C198" t="s">
        <v>1024</v>
      </c>
      <c r="D198">
        <v>30</v>
      </c>
      <c r="E198">
        <v>4</v>
      </c>
      <c r="F198" s="3">
        <v>72677</v>
      </c>
      <c r="G198">
        <v>46</v>
      </c>
      <c r="H198">
        <v>13</v>
      </c>
      <c r="I198">
        <v>12</v>
      </c>
      <c r="J198">
        <v>23</v>
      </c>
      <c r="K198">
        <v>2.1</v>
      </c>
      <c r="L198" s="3">
        <v>3.4</v>
      </c>
      <c r="M198" t="s">
        <v>1036</v>
      </c>
      <c r="N198">
        <v>48.37</v>
      </c>
    </row>
    <row r="199" spans="1:14" x14ac:dyDescent="0.3">
      <c r="A199" t="s">
        <v>211</v>
      </c>
      <c r="B199" t="s">
        <v>1018</v>
      </c>
      <c r="C199" t="s">
        <v>1027</v>
      </c>
      <c r="D199">
        <v>45</v>
      </c>
      <c r="E199">
        <v>9</v>
      </c>
      <c r="F199" s="3">
        <v>29818</v>
      </c>
      <c r="G199">
        <v>47</v>
      </c>
      <c r="H199">
        <v>9</v>
      </c>
      <c r="I199">
        <v>14</v>
      </c>
      <c r="J199">
        <v>35</v>
      </c>
      <c r="K199">
        <v>2.8</v>
      </c>
      <c r="L199" s="3">
        <v>9.9</v>
      </c>
      <c r="M199" t="s">
        <v>1034</v>
      </c>
      <c r="N199">
        <v>82.8</v>
      </c>
    </row>
    <row r="200" spans="1:14" x14ac:dyDescent="0.3">
      <c r="A200" t="s">
        <v>212</v>
      </c>
      <c r="B200" t="s">
        <v>1015</v>
      </c>
      <c r="C200" t="s">
        <v>1029</v>
      </c>
      <c r="D200">
        <v>29</v>
      </c>
      <c r="E200">
        <v>2</v>
      </c>
      <c r="F200" s="3">
        <v>88903</v>
      </c>
      <c r="G200">
        <v>38</v>
      </c>
      <c r="H200">
        <v>7</v>
      </c>
      <c r="I200">
        <v>11</v>
      </c>
      <c r="J200">
        <v>21</v>
      </c>
      <c r="K200">
        <v>3.7</v>
      </c>
      <c r="L200" s="3">
        <v>5.6</v>
      </c>
      <c r="M200" t="s">
        <v>1036</v>
      </c>
      <c r="N200">
        <v>56.37</v>
      </c>
    </row>
    <row r="201" spans="1:14" x14ac:dyDescent="0.3">
      <c r="A201" t="s">
        <v>213</v>
      </c>
      <c r="B201" t="s">
        <v>1018</v>
      </c>
      <c r="C201" t="s">
        <v>1027</v>
      </c>
      <c r="D201">
        <v>54</v>
      </c>
      <c r="E201">
        <v>12</v>
      </c>
      <c r="F201" s="3">
        <v>57773</v>
      </c>
      <c r="G201">
        <v>36</v>
      </c>
      <c r="H201">
        <v>1</v>
      </c>
      <c r="I201">
        <v>1</v>
      </c>
      <c r="J201">
        <v>8</v>
      </c>
      <c r="K201">
        <v>4.0999999999999996</v>
      </c>
      <c r="L201" s="3">
        <v>8.6</v>
      </c>
      <c r="M201" t="s">
        <v>1034</v>
      </c>
      <c r="N201">
        <v>65.569999999999993</v>
      </c>
    </row>
    <row r="202" spans="1:14" x14ac:dyDescent="0.3">
      <c r="A202" t="s">
        <v>214</v>
      </c>
      <c r="B202" t="s">
        <v>1017</v>
      </c>
      <c r="C202" t="s">
        <v>1024</v>
      </c>
      <c r="D202">
        <v>31</v>
      </c>
      <c r="E202">
        <v>9</v>
      </c>
      <c r="F202" s="3">
        <v>83532</v>
      </c>
      <c r="G202">
        <v>51</v>
      </c>
      <c r="H202">
        <v>3</v>
      </c>
      <c r="I202">
        <v>10</v>
      </c>
      <c r="J202">
        <v>39</v>
      </c>
      <c r="K202">
        <v>3</v>
      </c>
      <c r="L202" s="3">
        <v>5.8</v>
      </c>
      <c r="M202" t="s">
        <v>1036</v>
      </c>
      <c r="N202">
        <v>48.8</v>
      </c>
    </row>
    <row r="203" spans="1:14" x14ac:dyDescent="0.3">
      <c r="A203" t="s">
        <v>215</v>
      </c>
      <c r="B203" t="s">
        <v>1016</v>
      </c>
      <c r="C203" t="s">
        <v>1033</v>
      </c>
      <c r="D203">
        <v>43</v>
      </c>
      <c r="E203">
        <v>15</v>
      </c>
      <c r="F203" s="3">
        <v>71447</v>
      </c>
      <c r="G203">
        <v>53</v>
      </c>
      <c r="H203">
        <v>5</v>
      </c>
      <c r="I203">
        <v>15</v>
      </c>
      <c r="J203">
        <v>1</v>
      </c>
      <c r="K203">
        <v>3.1</v>
      </c>
      <c r="L203" s="3">
        <v>7.7</v>
      </c>
      <c r="M203" t="s">
        <v>1035</v>
      </c>
      <c r="N203">
        <v>63.83</v>
      </c>
    </row>
    <row r="204" spans="1:14" x14ac:dyDescent="0.3">
      <c r="A204" t="s">
        <v>216</v>
      </c>
      <c r="B204" t="s">
        <v>1015</v>
      </c>
      <c r="C204" t="s">
        <v>1020</v>
      </c>
      <c r="D204">
        <v>41</v>
      </c>
      <c r="E204">
        <v>0</v>
      </c>
      <c r="F204" s="3">
        <v>64119</v>
      </c>
      <c r="G204">
        <v>50</v>
      </c>
      <c r="H204">
        <v>5</v>
      </c>
      <c r="I204">
        <v>20</v>
      </c>
      <c r="J204">
        <v>37</v>
      </c>
      <c r="K204">
        <v>3.7</v>
      </c>
      <c r="L204" s="3">
        <v>8</v>
      </c>
      <c r="M204" t="s">
        <v>1034</v>
      </c>
      <c r="N204">
        <v>67.430000000000007</v>
      </c>
    </row>
    <row r="205" spans="1:14" x14ac:dyDescent="0.3">
      <c r="A205" t="s">
        <v>217</v>
      </c>
      <c r="B205" t="s">
        <v>1017</v>
      </c>
      <c r="C205" t="s">
        <v>1024</v>
      </c>
      <c r="D205">
        <v>32</v>
      </c>
      <c r="E205">
        <v>8</v>
      </c>
      <c r="F205" s="3">
        <v>66223</v>
      </c>
      <c r="G205">
        <v>54</v>
      </c>
      <c r="H205">
        <v>13</v>
      </c>
      <c r="I205">
        <v>12</v>
      </c>
      <c r="J205">
        <v>9</v>
      </c>
      <c r="K205">
        <v>4.5</v>
      </c>
      <c r="L205" s="3">
        <v>4.7</v>
      </c>
      <c r="M205" t="s">
        <v>1036</v>
      </c>
      <c r="N205">
        <v>63.37</v>
      </c>
    </row>
    <row r="206" spans="1:14" x14ac:dyDescent="0.3">
      <c r="A206" t="s">
        <v>218</v>
      </c>
      <c r="B206" t="s">
        <v>1014</v>
      </c>
      <c r="C206" t="s">
        <v>1025</v>
      </c>
      <c r="D206">
        <v>34</v>
      </c>
      <c r="E206">
        <v>0</v>
      </c>
      <c r="F206" s="3">
        <v>53903</v>
      </c>
      <c r="G206">
        <v>45</v>
      </c>
      <c r="H206">
        <v>7</v>
      </c>
      <c r="I206">
        <v>4</v>
      </c>
      <c r="J206">
        <v>26</v>
      </c>
      <c r="K206">
        <v>4.0999999999999996</v>
      </c>
      <c r="L206" s="3">
        <v>5.9</v>
      </c>
      <c r="M206" t="s">
        <v>1036</v>
      </c>
      <c r="N206">
        <v>59.37</v>
      </c>
    </row>
    <row r="207" spans="1:14" x14ac:dyDescent="0.3">
      <c r="A207" t="s">
        <v>219</v>
      </c>
      <c r="B207" t="s">
        <v>1017</v>
      </c>
      <c r="C207" t="s">
        <v>1030</v>
      </c>
      <c r="D207">
        <v>25</v>
      </c>
      <c r="E207">
        <v>1</v>
      </c>
      <c r="F207" s="3">
        <v>58992</v>
      </c>
      <c r="G207">
        <v>41</v>
      </c>
      <c r="H207">
        <v>9</v>
      </c>
      <c r="I207">
        <v>10</v>
      </c>
      <c r="J207">
        <v>30</v>
      </c>
      <c r="K207">
        <v>3.6</v>
      </c>
      <c r="L207" s="3">
        <v>5.2</v>
      </c>
      <c r="M207" t="s">
        <v>1036</v>
      </c>
      <c r="N207">
        <v>57</v>
      </c>
    </row>
    <row r="208" spans="1:14" x14ac:dyDescent="0.3">
      <c r="A208" t="s">
        <v>220</v>
      </c>
      <c r="B208" t="s">
        <v>1017</v>
      </c>
      <c r="C208" t="s">
        <v>1030</v>
      </c>
      <c r="D208">
        <v>43</v>
      </c>
      <c r="E208">
        <v>11</v>
      </c>
      <c r="F208" s="3">
        <v>69293</v>
      </c>
      <c r="G208">
        <v>55</v>
      </c>
      <c r="H208">
        <v>13</v>
      </c>
      <c r="I208">
        <v>22</v>
      </c>
      <c r="J208">
        <v>16</v>
      </c>
      <c r="K208">
        <v>3.8</v>
      </c>
      <c r="L208" s="3">
        <v>4.3</v>
      </c>
      <c r="M208" t="s">
        <v>1036</v>
      </c>
      <c r="N208">
        <v>58.87</v>
      </c>
    </row>
    <row r="209" spans="1:14" x14ac:dyDescent="0.3">
      <c r="A209" t="s">
        <v>221</v>
      </c>
      <c r="B209" t="s">
        <v>1016</v>
      </c>
      <c r="C209" t="s">
        <v>1033</v>
      </c>
      <c r="D209">
        <v>41</v>
      </c>
      <c r="E209">
        <v>7</v>
      </c>
      <c r="F209" s="3">
        <v>86701</v>
      </c>
      <c r="G209">
        <v>44</v>
      </c>
      <c r="H209">
        <v>13</v>
      </c>
      <c r="I209">
        <v>9</v>
      </c>
      <c r="J209">
        <v>13</v>
      </c>
      <c r="K209">
        <v>4.0999999999999996</v>
      </c>
      <c r="L209" s="3">
        <v>6.4</v>
      </c>
      <c r="M209" t="s">
        <v>1035</v>
      </c>
      <c r="N209">
        <v>72.37</v>
      </c>
    </row>
    <row r="210" spans="1:14" x14ac:dyDescent="0.3">
      <c r="A210" t="s">
        <v>222</v>
      </c>
      <c r="B210" t="s">
        <v>1016</v>
      </c>
      <c r="C210" t="s">
        <v>1033</v>
      </c>
      <c r="D210">
        <v>39</v>
      </c>
      <c r="E210">
        <v>9</v>
      </c>
      <c r="F210" s="3">
        <v>32987</v>
      </c>
      <c r="G210">
        <v>53</v>
      </c>
      <c r="H210">
        <v>11</v>
      </c>
      <c r="I210">
        <v>17</v>
      </c>
      <c r="J210">
        <v>24</v>
      </c>
      <c r="K210">
        <v>4.7</v>
      </c>
      <c r="L210" s="3">
        <v>5.8</v>
      </c>
      <c r="M210" t="s">
        <v>1036</v>
      </c>
      <c r="N210">
        <v>67.23</v>
      </c>
    </row>
    <row r="211" spans="1:14" x14ac:dyDescent="0.3">
      <c r="A211" t="s">
        <v>223</v>
      </c>
      <c r="B211" t="s">
        <v>1018</v>
      </c>
      <c r="C211" t="s">
        <v>1027</v>
      </c>
      <c r="D211">
        <v>40</v>
      </c>
      <c r="E211">
        <v>1</v>
      </c>
      <c r="F211" s="3">
        <v>43850</v>
      </c>
      <c r="G211">
        <v>37</v>
      </c>
      <c r="H211">
        <v>6</v>
      </c>
      <c r="I211">
        <v>14</v>
      </c>
      <c r="J211">
        <v>16</v>
      </c>
      <c r="K211">
        <v>4.2</v>
      </c>
      <c r="L211" s="3">
        <v>4.5</v>
      </c>
      <c r="M211" t="s">
        <v>1036</v>
      </c>
      <c r="N211">
        <v>49.6</v>
      </c>
    </row>
    <row r="212" spans="1:14" x14ac:dyDescent="0.3">
      <c r="A212" t="s">
        <v>224</v>
      </c>
      <c r="B212" t="s">
        <v>1016</v>
      </c>
      <c r="C212" t="s">
        <v>1022</v>
      </c>
      <c r="D212">
        <v>39</v>
      </c>
      <c r="E212">
        <v>4</v>
      </c>
      <c r="F212" s="3">
        <v>32158</v>
      </c>
      <c r="G212">
        <v>54</v>
      </c>
      <c r="H212">
        <v>12</v>
      </c>
      <c r="I212">
        <v>18</v>
      </c>
      <c r="J212">
        <v>15</v>
      </c>
      <c r="K212">
        <v>2.7</v>
      </c>
      <c r="L212" s="3">
        <v>7.7</v>
      </c>
      <c r="M212" t="s">
        <v>1035</v>
      </c>
      <c r="N212">
        <v>74.3</v>
      </c>
    </row>
    <row r="213" spans="1:14" x14ac:dyDescent="0.3">
      <c r="A213" t="s">
        <v>225</v>
      </c>
      <c r="B213" t="s">
        <v>1018</v>
      </c>
      <c r="C213" t="s">
        <v>1028</v>
      </c>
      <c r="D213">
        <v>36</v>
      </c>
      <c r="E213">
        <v>1</v>
      </c>
      <c r="F213" s="3">
        <v>31566</v>
      </c>
      <c r="G213">
        <v>48</v>
      </c>
      <c r="H213">
        <v>6</v>
      </c>
      <c r="I213">
        <v>22</v>
      </c>
      <c r="J213">
        <v>30</v>
      </c>
      <c r="K213">
        <v>2.2999999999999998</v>
      </c>
      <c r="L213" s="3">
        <v>8.4</v>
      </c>
      <c r="M213" t="s">
        <v>1034</v>
      </c>
      <c r="N213">
        <v>67.3</v>
      </c>
    </row>
    <row r="214" spans="1:14" x14ac:dyDescent="0.3">
      <c r="A214" t="s">
        <v>226</v>
      </c>
      <c r="B214" t="s">
        <v>1015</v>
      </c>
      <c r="C214" t="s">
        <v>1021</v>
      </c>
      <c r="D214">
        <v>32</v>
      </c>
      <c r="E214">
        <v>6</v>
      </c>
      <c r="F214" s="3">
        <v>67787</v>
      </c>
      <c r="G214">
        <v>50</v>
      </c>
      <c r="H214">
        <v>8</v>
      </c>
      <c r="I214">
        <v>20</v>
      </c>
      <c r="J214">
        <v>12</v>
      </c>
      <c r="K214">
        <v>4.3</v>
      </c>
      <c r="L214" s="3">
        <v>5</v>
      </c>
      <c r="M214" t="s">
        <v>1036</v>
      </c>
      <c r="N214">
        <v>56.23</v>
      </c>
    </row>
    <row r="215" spans="1:14" x14ac:dyDescent="0.3">
      <c r="A215" t="s">
        <v>227</v>
      </c>
      <c r="B215" t="s">
        <v>1014</v>
      </c>
      <c r="C215" t="s">
        <v>1019</v>
      </c>
      <c r="D215">
        <v>27</v>
      </c>
      <c r="E215">
        <v>5</v>
      </c>
      <c r="F215" s="3">
        <v>62626</v>
      </c>
      <c r="G215">
        <v>42</v>
      </c>
      <c r="H215">
        <v>9</v>
      </c>
      <c r="I215">
        <v>23</v>
      </c>
      <c r="J215">
        <v>2</v>
      </c>
      <c r="K215">
        <v>4.7</v>
      </c>
      <c r="L215" s="3">
        <v>4.2</v>
      </c>
      <c r="M215" t="s">
        <v>1036</v>
      </c>
      <c r="N215">
        <v>54.3</v>
      </c>
    </row>
    <row r="216" spans="1:14" x14ac:dyDescent="0.3">
      <c r="A216" t="s">
        <v>228</v>
      </c>
      <c r="B216" t="s">
        <v>1014</v>
      </c>
      <c r="C216" t="s">
        <v>1031</v>
      </c>
      <c r="D216">
        <v>47</v>
      </c>
      <c r="E216">
        <v>15</v>
      </c>
      <c r="F216" s="3">
        <v>37210</v>
      </c>
      <c r="G216">
        <v>44</v>
      </c>
      <c r="H216">
        <v>15</v>
      </c>
      <c r="I216">
        <v>1</v>
      </c>
      <c r="J216">
        <v>0</v>
      </c>
      <c r="K216">
        <v>2.9</v>
      </c>
      <c r="L216" s="3">
        <v>7.2</v>
      </c>
      <c r="M216" t="s">
        <v>1035</v>
      </c>
      <c r="N216">
        <v>76.900000000000006</v>
      </c>
    </row>
    <row r="217" spans="1:14" x14ac:dyDescent="0.3">
      <c r="A217" t="s">
        <v>229</v>
      </c>
      <c r="B217" t="s">
        <v>1016</v>
      </c>
      <c r="C217" t="s">
        <v>1033</v>
      </c>
      <c r="D217">
        <v>51</v>
      </c>
      <c r="E217">
        <v>15</v>
      </c>
      <c r="F217" s="3">
        <v>83278</v>
      </c>
      <c r="G217">
        <v>39</v>
      </c>
      <c r="H217">
        <v>14</v>
      </c>
      <c r="I217">
        <v>16</v>
      </c>
      <c r="J217">
        <v>29</v>
      </c>
      <c r="K217">
        <v>2.8</v>
      </c>
      <c r="L217" s="3">
        <v>8.6999999999999993</v>
      </c>
      <c r="M217" t="s">
        <v>1034</v>
      </c>
      <c r="N217">
        <v>83.93</v>
      </c>
    </row>
    <row r="218" spans="1:14" x14ac:dyDescent="0.3">
      <c r="A218" t="s">
        <v>230</v>
      </c>
      <c r="B218" t="s">
        <v>1018</v>
      </c>
      <c r="C218" t="s">
        <v>1028</v>
      </c>
      <c r="D218">
        <v>51</v>
      </c>
      <c r="E218">
        <v>8</v>
      </c>
      <c r="F218" s="3">
        <v>72094</v>
      </c>
      <c r="G218">
        <v>40</v>
      </c>
      <c r="H218">
        <v>1</v>
      </c>
      <c r="I218">
        <v>23</v>
      </c>
      <c r="J218">
        <v>21</v>
      </c>
      <c r="K218">
        <v>4.4000000000000004</v>
      </c>
      <c r="L218" s="3">
        <v>7</v>
      </c>
      <c r="M218" t="s">
        <v>1035</v>
      </c>
      <c r="N218">
        <v>56.87</v>
      </c>
    </row>
    <row r="219" spans="1:14" x14ac:dyDescent="0.3">
      <c r="A219" t="s">
        <v>231</v>
      </c>
      <c r="B219" t="s">
        <v>1018</v>
      </c>
      <c r="C219" t="s">
        <v>1032</v>
      </c>
      <c r="D219">
        <v>47</v>
      </c>
      <c r="E219">
        <v>13</v>
      </c>
      <c r="F219" s="3">
        <v>58769</v>
      </c>
      <c r="G219">
        <v>45</v>
      </c>
      <c r="H219">
        <v>2</v>
      </c>
      <c r="I219">
        <v>12</v>
      </c>
      <c r="J219">
        <v>6</v>
      </c>
      <c r="K219">
        <v>2.6</v>
      </c>
      <c r="L219" s="3">
        <v>4</v>
      </c>
      <c r="M219" t="s">
        <v>1036</v>
      </c>
      <c r="N219">
        <v>35.130000000000003</v>
      </c>
    </row>
    <row r="220" spans="1:14" x14ac:dyDescent="0.3">
      <c r="A220" t="s">
        <v>232</v>
      </c>
      <c r="B220" t="s">
        <v>1018</v>
      </c>
      <c r="C220" t="s">
        <v>1027</v>
      </c>
      <c r="D220">
        <v>22</v>
      </c>
      <c r="E220">
        <v>1</v>
      </c>
      <c r="F220" s="3">
        <v>50137</v>
      </c>
      <c r="G220">
        <v>42</v>
      </c>
      <c r="H220">
        <v>8</v>
      </c>
      <c r="I220">
        <v>24</v>
      </c>
      <c r="J220">
        <v>17</v>
      </c>
      <c r="K220">
        <v>4.9000000000000004</v>
      </c>
      <c r="L220" s="3">
        <v>5.0999999999999996</v>
      </c>
      <c r="M220" t="s">
        <v>1036</v>
      </c>
      <c r="N220">
        <v>58.63</v>
      </c>
    </row>
    <row r="221" spans="1:14" x14ac:dyDescent="0.3">
      <c r="A221" t="s">
        <v>233</v>
      </c>
      <c r="B221" t="s">
        <v>1015</v>
      </c>
      <c r="C221" t="s">
        <v>1029</v>
      </c>
      <c r="D221">
        <v>22</v>
      </c>
      <c r="E221">
        <v>1</v>
      </c>
      <c r="F221" s="3">
        <v>67839</v>
      </c>
      <c r="G221">
        <v>46</v>
      </c>
      <c r="H221">
        <v>12</v>
      </c>
      <c r="I221">
        <v>7</v>
      </c>
      <c r="J221">
        <v>3</v>
      </c>
      <c r="K221">
        <v>4</v>
      </c>
      <c r="L221" s="3">
        <v>6.3</v>
      </c>
      <c r="M221" t="s">
        <v>1035</v>
      </c>
      <c r="N221">
        <v>69.8</v>
      </c>
    </row>
    <row r="222" spans="1:14" x14ac:dyDescent="0.3">
      <c r="A222" t="s">
        <v>234</v>
      </c>
      <c r="B222" t="s">
        <v>1017</v>
      </c>
      <c r="C222" t="s">
        <v>1030</v>
      </c>
      <c r="D222">
        <v>54</v>
      </c>
      <c r="E222">
        <v>9</v>
      </c>
      <c r="F222" s="3">
        <v>70238</v>
      </c>
      <c r="G222">
        <v>38</v>
      </c>
      <c r="H222">
        <v>11</v>
      </c>
      <c r="I222">
        <v>9</v>
      </c>
      <c r="J222">
        <v>23</v>
      </c>
      <c r="K222">
        <v>3.8</v>
      </c>
      <c r="L222" s="3">
        <v>4.5</v>
      </c>
      <c r="M222" t="s">
        <v>1036</v>
      </c>
      <c r="N222">
        <v>56.73</v>
      </c>
    </row>
    <row r="223" spans="1:14" x14ac:dyDescent="0.3">
      <c r="A223" t="s">
        <v>235</v>
      </c>
      <c r="B223" t="s">
        <v>1017</v>
      </c>
      <c r="C223" t="s">
        <v>1024</v>
      </c>
      <c r="D223">
        <v>31</v>
      </c>
      <c r="E223">
        <v>7</v>
      </c>
      <c r="F223" s="3">
        <v>74003</v>
      </c>
      <c r="G223">
        <v>54</v>
      </c>
      <c r="H223">
        <v>6</v>
      </c>
      <c r="I223">
        <v>13</v>
      </c>
      <c r="J223">
        <v>35</v>
      </c>
      <c r="K223">
        <v>4.7</v>
      </c>
      <c r="L223" s="3">
        <v>8.3000000000000007</v>
      </c>
      <c r="M223" t="s">
        <v>1034</v>
      </c>
      <c r="N223">
        <v>73.900000000000006</v>
      </c>
    </row>
    <row r="224" spans="1:14" x14ac:dyDescent="0.3">
      <c r="A224" t="s">
        <v>236</v>
      </c>
      <c r="B224" t="s">
        <v>1018</v>
      </c>
      <c r="C224" t="s">
        <v>1028</v>
      </c>
      <c r="D224">
        <v>37</v>
      </c>
      <c r="E224">
        <v>2</v>
      </c>
      <c r="F224" s="3">
        <v>59439</v>
      </c>
      <c r="G224">
        <v>49</v>
      </c>
      <c r="H224">
        <v>9</v>
      </c>
      <c r="I224">
        <v>22</v>
      </c>
      <c r="J224">
        <v>23</v>
      </c>
      <c r="K224">
        <v>2.2000000000000002</v>
      </c>
      <c r="L224" s="3">
        <v>6.9</v>
      </c>
      <c r="M224" t="s">
        <v>1035</v>
      </c>
      <c r="N224">
        <v>63</v>
      </c>
    </row>
    <row r="225" spans="1:14" x14ac:dyDescent="0.3">
      <c r="A225" t="s">
        <v>237</v>
      </c>
      <c r="B225" t="s">
        <v>1015</v>
      </c>
      <c r="C225" t="s">
        <v>1020</v>
      </c>
      <c r="D225">
        <v>54</v>
      </c>
      <c r="E225">
        <v>6</v>
      </c>
      <c r="F225" s="3">
        <v>62532</v>
      </c>
      <c r="G225">
        <v>52</v>
      </c>
      <c r="H225">
        <v>3</v>
      </c>
      <c r="I225">
        <v>5</v>
      </c>
      <c r="J225">
        <v>20</v>
      </c>
      <c r="K225">
        <v>4.5999999999999996</v>
      </c>
      <c r="L225" s="3">
        <v>6.1</v>
      </c>
      <c r="M225" t="s">
        <v>1035</v>
      </c>
      <c r="N225">
        <v>55.4</v>
      </c>
    </row>
    <row r="226" spans="1:14" x14ac:dyDescent="0.3">
      <c r="A226" t="s">
        <v>238</v>
      </c>
      <c r="B226" t="s">
        <v>1018</v>
      </c>
      <c r="C226" t="s">
        <v>1032</v>
      </c>
      <c r="D226">
        <v>53</v>
      </c>
      <c r="E226">
        <v>2</v>
      </c>
      <c r="F226" s="3">
        <v>83909</v>
      </c>
      <c r="G226">
        <v>51</v>
      </c>
      <c r="H226">
        <v>8</v>
      </c>
      <c r="I226">
        <v>25</v>
      </c>
      <c r="J226">
        <v>3</v>
      </c>
      <c r="K226">
        <v>3.4</v>
      </c>
      <c r="L226" s="3">
        <v>6.6</v>
      </c>
      <c r="M226" t="s">
        <v>1035</v>
      </c>
      <c r="N226">
        <v>63.13</v>
      </c>
    </row>
    <row r="227" spans="1:14" x14ac:dyDescent="0.3">
      <c r="A227" t="s">
        <v>239</v>
      </c>
      <c r="B227" t="s">
        <v>1015</v>
      </c>
      <c r="C227" t="s">
        <v>1029</v>
      </c>
      <c r="D227">
        <v>25</v>
      </c>
      <c r="E227">
        <v>4</v>
      </c>
      <c r="F227" s="3">
        <v>55302</v>
      </c>
      <c r="G227">
        <v>44</v>
      </c>
      <c r="H227">
        <v>12</v>
      </c>
      <c r="I227">
        <v>0</v>
      </c>
      <c r="J227">
        <v>25</v>
      </c>
      <c r="K227">
        <v>2.8</v>
      </c>
      <c r="L227" s="3">
        <v>3</v>
      </c>
      <c r="M227" t="s">
        <v>1036</v>
      </c>
      <c r="N227">
        <v>46.4</v>
      </c>
    </row>
    <row r="228" spans="1:14" x14ac:dyDescent="0.3">
      <c r="A228" t="s">
        <v>240</v>
      </c>
      <c r="B228" t="s">
        <v>1015</v>
      </c>
      <c r="C228" t="s">
        <v>1029</v>
      </c>
      <c r="D228">
        <v>26</v>
      </c>
      <c r="E228">
        <v>0</v>
      </c>
      <c r="F228" s="3">
        <v>52767</v>
      </c>
      <c r="G228">
        <v>46</v>
      </c>
      <c r="H228">
        <v>12</v>
      </c>
      <c r="I228">
        <v>2</v>
      </c>
      <c r="J228">
        <v>34</v>
      </c>
      <c r="K228">
        <v>5</v>
      </c>
      <c r="L228" s="3">
        <v>9.5</v>
      </c>
      <c r="M228" t="s">
        <v>1034</v>
      </c>
      <c r="N228">
        <v>92</v>
      </c>
    </row>
    <row r="229" spans="1:14" x14ac:dyDescent="0.3">
      <c r="A229" t="s">
        <v>241</v>
      </c>
      <c r="B229" t="s">
        <v>1017</v>
      </c>
      <c r="C229" t="s">
        <v>1026</v>
      </c>
      <c r="D229">
        <v>24</v>
      </c>
      <c r="E229">
        <v>2</v>
      </c>
      <c r="F229" s="3">
        <v>51795</v>
      </c>
      <c r="G229">
        <v>40</v>
      </c>
      <c r="H229">
        <v>13</v>
      </c>
      <c r="I229">
        <v>4</v>
      </c>
      <c r="J229">
        <v>26</v>
      </c>
      <c r="K229">
        <v>3.1</v>
      </c>
      <c r="L229" s="3">
        <v>9.1999999999999993</v>
      </c>
      <c r="M229" t="s">
        <v>1034</v>
      </c>
      <c r="N229">
        <v>86.17</v>
      </c>
    </row>
    <row r="230" spans="1:14" x14ac:dyDescent="0.3">
      <c r="A230" t="s">
        <v>242</v>
      </c>
      <c r="B230" t="s">
        <v>1017</v>
      </c>
      <c r="C230" t="s">
        <v>1026</v>
      </c>
      <c r="D230">
        <v>46</v>
      </c>
      <c r="E230">
        <v>2</v>
      </c>
      <c r="F230" s="3">
        <v>69743</v>
      </c>
      <c r="G230">
        <v>52</v>
      </c>
      <c r="H230">
        <v>3</v>
      </c>
      <c r="I230">
        <v>20</v>
      </c>
      <c r="J230">
        <v>22</v>
      </c>
      <c r="K230">
        <v>2.4</v>
      </c>
      <c r="L230" s="3">
        <v>9.9</v>
      </c>
      <c r="M230" t="s">
        <v>1034</v>
      </c>
      <c r="N230">
        <v>71.599999999999994</v>
      </c>
    </row>
    <row r="231" spans="1:14" x14ac:dyDescent="0.3">
      <c r="A231" t="s">
        <v>243</v>
      </c>
      <c r="B231" t="s">
        <v>1015</v>
      </c>
      <c r="C231" t="s">
        <v>1021</v>
      </c>
      <c r="D231">
        <v>30</v>
      </c>
      <c r="E231">
        <v>3</v>
      </c>
      <c r="F231" s="3">
        <v>79710</v>
      </c>
      <c r="G231">
        <v>35</v>
      </c>
      <c r="H231">
        <v>13</v>
      </c>
      <c r="I231">
        <v>0</v>
      </c>
      <c r="J231">
        <v>19</v>
      </c>
      <c r="K231">
        <v>3.4</v>
      </c>
      <c r="L231" s="3">
        <v>8</v>
      </c>
      <c r="M231" t="s">
        <v>1034</v>
      </c>
      <c r="N231">
        <v>79.87</v>
      </c>
    </row>
    <row r="232" spans="1:14" x14ac:dyDescent="0.3">
      <c r="A232" t="s">
        <v>244</v>
      </c>
      <c r="B232" t="s">
        <v>1015</v>
      </c>
      <c r="C232" t="s">
        <v>1029</v>
      </c>
      <c r="D232">
        <v>46</v>
      </c>
      <c r="E232">
        <v>7</v>
      </c>
      <c r="F232" s="3">
        <v>41220</v>
      </c>
      <c r="G232">
        <v>49</v>
      </c>
      <c r="H232">
        <v>6</v>
      </c>
      <c r="I232">
        <v>4</v>
      </c>
      <c r="J232">
        <v>17</v>
      </c>
      <c r="K232">
        <v>2.6</v>
      </c>
      <c r="L232" s="3">
        <v>9.1</v>
      </c>
      <c r="M232" t="s">
        <v>1034</v>
      </c>
      <c r="N232">
        <v>72.400000000000006</v>
      </c>
    </row>
    <row r="233" spans="1:14" x14ac:dyDescent="0.3">
      <c r="A233" t="s">
        <v>245</v>
      </c>
      <c r="B233" t="s">
        <v>1014</v>
      </c>
      <c r="C233" t="s">
        <v>1025</v>
      </c>
      <c r="D233">
        <v>48</v>
      </c>
      <c r="E233">
        <v>0</v>
      </c>
      <c r="F233" s="3">
        <v>40772</v>
      </c>
      <c r="G233">
        <v>41</v>
      </c>
      <c r="H233">
        <v>2</v>
      </c>
      <c r="I233">
        <v>3</v>
      </c>
      <c r="J233">
        <v>38</v>
      </c>
      <c r="K233">
        <v>2.1</v>
      </c>
      <c r="L233" s="3">
        <v>7.2</v>
      </c>
      <c r="M233" t="s">
        <v>1035</v>
      </c>
      <c r="N233">
        <v>52.83</v>
      </c>
    </row>
    <row r="234" spans="1:14" x14ac:dyDescent="0.3">
      <c r="A234" t="s">
        <v>246</v>
      </c>
      <c r="B234" t="s">
        <v>1014</v>
      </c>
      <c r="C234" t="s">
        <v>1019</v>
      </c>
      <c r="D234">
        <v>37</v>
      </c>
      <c r="E234">
        <v>1</v>
      </c>
      <c r="F234" s="3">
        <v>51362</v>
      </c>
      <c r="G234">
        <v>49</v>
      </c>
      <c r="H234">
        <v>4</v>
      </c>
      <c r="I234">
        <v>17</v>
      </c>
      <c r="J234">
        <v>13</v>
      </c>
      <c r="K234">
        <v>4.3</v>
      </c>
      <c r="L234" s="3">
        <v>8.4</v>
      </c>
      <c r="M234" t="s">
        <v>1034</v>
      </c>
      <c r="N234">
        <v>69.97</v>
      </c>
    </row>
    <row r="235" spans="1:14" x14ac:dyDescent="0.3">
      <c r="A235" t="s">
        <v>247</v>
      </c>
      <c r="B235" t="s">
        <v>1015</v>
      </c>
      <c r="C235" t="s">
        <v>1029</v>
      </c>
      <c r="D235">
        <v>40</v>
      </c>
      <c r="E235">
        <v>7</v>
      </c>
      <c r="F235" s="3">
        <v>78463</v>
      </c>
      <c r="G235">
        <v>53</v>
      </c>
      <c r="H235">
        <v>6</v>
      </c>
      <c r="I235">
        <v>18</v>
      </c>
      <c r="J235">
        <v>38</v>
      </c>
      <c r="K235">
        <v>4.3</v>
      </c>
      <c r="L235" s="3">
        <v>8.6999999999999993</v>
      </c>
      <c r="M235" t="s">
        <v>1034</v>
      </c>
      <c r="N235">
        <v>75.099999999999994</v>
      </c>
    </row>
    <row r="236" spans="1:14" x14ac:dyDescent="0.3">
      <c r="A236" t="s">
        <v>248</v>
      </c>
      <c r="B236" t="s">
        <v>1016</v>
      </c>
      <c r="C236" t="s">
        <v>1022</v>
      </c>
      <c r="D236">
        <v>31</v>
      </c>
      <c r="E236">
        <v>10</v>
      </c>
      <c r="F236" s="3">
        <v>59160</v>
      </c>
      <c r="G236">
        <v>42</v>
      </c>
      <c r="H236">
        <v>7</v>
      </c>
      <c r="I236">
        <v>9</v>
      </c>
      <c r="J236">
        <v>17</v>
      </c>
      <c r="K236">
        <v>2.2000000000000002</v>
      </c>
      <c r="L236" s="3">
        <v>9.6</v>
      </c>
      <c r="M236" t="s">
        <v>1034</v>
      </c>
      <c r="N236">
        <v>75.87</v>
      </c>
    </row>
    <row r="237" spans="1:14" x14ac:dyDescent="0.3">
      <c r="A237" t="s">
        <v>249</v>
      </c>
      <c r="B237" t="s">
        <v>1018</v>
      </c>
      <c r="C237" t="s">
        <v>1032</v>
      </c>
      <c r="D237">
        <v>49</v>
      </c>
      <c r="E237">
        <v>15</v>
      </c>
      <c r="F237" s="3">
        <v>28072</v>
      </c>
      <c r="G237">
        <v>46</v>
      </c>
      <c r="H237">
        <v>11</v>
      </c>
      <c r="I237">
        <v>21</v>
      </c>
      <c r="J237">
        <v>24</v>
      </c>
      <c r="K237">
        <v>4.4000000000000004</v>
      </c>
      <c r="L237" s="3">
        <v>5.2</v>
      </c>
      <c r="M237" t="s">
        <v>1036</v>
      </c>
      <c r="N237">
        <v>62.73</v>
      </c>
    </row>
    <row r="238" spans="1:14" x14ac:dyDescent="0.3">
      <c r="A238" t="s">
        <v>250</v>
      </c>
      <c r="B238" t="s">
        <v>1017</v>
      </c>
      <c r="C238" t="s">
        <v>1024</v>
      </c>
      <c r="D238">
        <v>31</v>
      </c>
      <c r="E238">
        <v>4</v>
      </c>
      <c r="F238" s="3">
        <v>49671</v>
      </c>
      <c r="G238">
        <v>40</v>
      </c>
      <c r="H238">
        <v>13</v>
      </c>
      <c r="I238">
        <v>17</v>
      </c>
      <c r="J238">
        <v>30</v>
      </c>
      <c r="K238">
        <v>2.7</v>
      </c>
      <c r="L238" s="3">
        <v>4.5999999999999996</v>
      </c>
      <c r="M238" t="s">
        <v>1036</v>
      </c>
      <c r="N238">
        <v>57.37</v>
      </c>
    </row>
    <row r="239" spans="1:14" x14ac:dyDescent="0.3">
      <c r="A239" t="s">
        <v>251</v>
      </c>
      <c r="B239" t="s">
        <v>1018</v>
      </c>
      <c r="C239" t="s">
        <v>1028</v>
      </c>
      <c r="D239">
        <v>51</v>
      </c>
      <c r="E239">
        <v>1</v>
      </c>
      <c r="F239" s="3">
        <v>61856</v>
      </c>
      <c r="G239">
        <v>48</v>
      </c>
      <c r="H239">
        <v>7</v>
      </c>
      <c r="I239">
        <v>17</v>
      </c>
      <c r="J239">
        <v>33</v>
      </c>
      <c r="K239">
        <v>2.4</v>
      </c>
      <c r="L239" s="3">
        <v>4.7</v>
      </c>
      <c r="M239" t="s">
        <v>1036</v>
      </c>
      <c r="N239">
        <v>47.07</v>
      </c>
    </row>
    <row r="240" spans="1:14" x14ac:dyDescent="0.3">
      <c r="A240" t="s">
        <v>252</v>
      </c>
      <c r="B240" t="s">
        <v>1016</v>
      </c>
      <c r="C240" t="s">
        <v>1022</v>
      </c>
      <c r="D240">
        <v>27</v>
      </c>
      <c r="E240">
        <v>3</v>
      </c>
      <c r="F240" s="3">
        <v>80517</v>
      </c>
      <c r="G240">
        <v>46</v>
      </c>
      <c r="H240">
        <v>2</v>
      </c>
      <c r="I240">
        <v>17</v>
      </c>
      <c r="J240">
        <v>12</v>
      </c>
      <c r="K240">
        <v>2.2000000000000002</v>
      </c>
      <c r="L240" s="3">
        <v>5.6</v>
      </c>
      <c r="M240" t="s">
        <v>1036</v>
      </c>
      <c r="N240">
        <v>43.53</v>
      </c>
    </row>
    <row r="241" spans="1:14" x14ac:dyDescent="0.3">
      <c r="A241" t="s">
        <v>253</v>
      </c>
      <c r="B241" t="s">
        <v>1015</v>
      </c>
      <c r="C241" t="s">
        <v>1021</v>
      </c>
      <c r="D241">
        <v>24</v>
      </c>
      <c r="E241">
        <v>0</v>
      </c>
      <c r="F241" s="3">
        <v>37331</v>
      </c>
      <c r="G241">
        <v>53</v>
      </c>
      <c r="H241">
        <v>12</v>
      </c>
      <c r="I241">
        <v>21</v>
      </c>
      <c r="J241">
        <v>35</v>
      </c>
      <c r="K241">
        <v>2.7</v>
      </c>
      <c r="L241" s="3">
        <v>4.5</v>
      </c>
      <c r="M241" t="s">
        <v>1036</v>
      </c>
      <c r="N241">
        <v>55.1</v>
      </c>
    </row>
    <row r="242" spans="1:14" x14ac:dyDescent="0.3">
      <c r="A242" t="s">
        <v>254</v>
      </c>
      <c r="B242" t="s">
        <v>1016</v>
      </c>
      <c r="C242" t="s">
        <v>1022</v>
      </c>
      <c r="D242">
        <v>22</v>
      </c>
      <c r="E242">
        <v>0</v>
      </c>
      <c r="F242" s="3">
        <v>86417</v>
      </c>
      <c r="G242">
        <v>41</v>
      </c>
      <c r="H242">
        <v>12</v>
      </c>
      <c r="I242">
        <v>3</v>
      </c>
      <c r="J242">
        <v>30</v>
      </c>
      <c r="K242">
        <v>4.7</v>
      </c>
      <c r="L242" s="3">
        <v>7.9</v>
      </c>
      <c r="M242" t="s">
        <v>1035</v>
      </c>
      <c r="N242">
        <v>81.5</v>
      </c>
    </row>
    <row r="243" spans="1:14" x14ac:dyDescent="0.3">
      <c r="A243" t="s">
        <v>255</v>
      </c>
      <c r="B243" t="s">
        <v>1018</v>
      </c>
      <c r="C243" t="s">
        <v>1032</v>
      </c>
      <c r="D243">
        <v>47</v>
      </c>
      <c r="E243">
        <v>7</v>
      </c>
      <c r="F243" s="3">
        <v>61181</v>
      </c>
      <c r="G243">
        <v>45</v>
      </c>
      <c r="H243">
        <v>13</v>
      </c>
      <c r="I243">
        <v>9</v>
      </c>
      <c r="J243">
        <v>24</v>
      </c>
      <c r="K243">
        <v>3.4</v>
      </c>
      <c r="L243" s="3">
        <v>7.5</v>
      </c>
      <c r="M243" t="s">
        <v>1035</v>
      </c>
      <c r="N243">
        <v>76.87</v>
      </c>
    </row>
    <row r="244" spans="1:14" x14ac:dyDescent="0.3">
      <c r="A244" t="s">
        <v>256</v>
      </c>
      <c r="B244" t="s">
        <v>1016</v>
      </c>
      <c r="C244" t="s">
        <v>1023</v>
      </c>
      <c r="D244">
        <v>45</v>
      </c>
      <c r="E244">
        <v>15</v>
      </c>
      <c r="F244" s="3">
        <v>55540</v>
      </c>
      <c r="G244">
        <v>38</v>
      </c>
      <c r="H244">
        <v>13</v>
      </c>
      <c r="I244">
        <v>23</v>
      </c>
      <c r="J244">
        <v>30</v>
      </c>
      <c r="K244">
        <v>4.3</v>
      </c>
      <c r="L244" s="3">
        <v>5.2</v>
      </c>
      <c r="M244" t="s">
        <v>1036</v>
      </c>
      <c r="N244">
        <v>65.77</v>
      </c>
    </row>
    <row r="245" spans="1:14" x14ac:dyDescent="0.3">
      <c r="A245" t="s">
        <v>257</v>
      </c>
      <c r="B245" t="s">
        <v>1016</v>
      </c>
      <c r="C245" t="s">
        <v>1022</v>
      </c>
      <c r="D245">
        <v>42</v>
      </c>
      <c r="E245">
        <v>13</v>
      </c>
      <c r="F245" s="3">
        <v>27996</v>
      </c>
      <c r="G245">
        <v>53</v>
      </c>
      <c r="H245">
        <v>14</v>
      </c>
      <c r="I245">
        <v>7</v>
      </c>
      <c r="J245">
        <v>9</v>
      </c>
      <c r="K245">
        <v>2</v>
      </c>
      <c r="L245" s="3">
        <v>6.9</v>
      </c>
      <c r="M245" t="s">
        <v>1035</v>
      </c>
      <c r="N245">
        <v>70.73</v>
      </c>
    </row>
    <row r="246" spans="1:14" x14ac:dyDescent="0.3">
      <c r="A246" t="s">
        <v>258</v>
      </c>
      <c r="B246" t="s">
        <v>1015</v>
      </c>
      <c r="C246" t="s">
        <v>1020</v>
      </c>
      <c r="D246">
        <v>48</v>
      </c>
      <c r="E246">
        <v>9</v>
      </c>
      <c r="F246" s="3">
        <v>34988</v>
      </c>
      <c r="G246">
        <v>41</v>
      </c>
      <c r="H246">
        <v>6</v>
      </c>
      <c r="I246">
        <v>7</v>
      </c>
      <c r="J246">
        <v>24</v>
      </c>
      <c r="K246">
        <v>3.7</v>
      </c>
      <c r="L246" s="3">
        <v>4.7</v>
      </c>
      <c r="M246" t="s">
        <v>1036</v>
      </c>
      <c r="N246">
        <v>49.3</v>
      </c>
    </row>
    <row r="247" spans="1:14" x14ac:dyDescent="0.3">
      <c r="A247" t="s">
        <v>259</v>
      </c>
      <c r="B247" t="s">
        <v>1016</v>
      </c>
      <c r="C247" t="s">
        <v>1023</v>
      </c>
      <c r="D247">
        <v>38</v>
      </c>
      <c r="E247">
        <v>15</v>
      </c>
      <c r="F247" s="3">
        <v>88341</v>
      </c>
      <c r="G247">
        <v>55</v>
      </c>
      <c r="H247">
        <v>12</v>
      </c>
      <c r="I247">
        <v>15</v>
      </c>
      <c r="J247">
        <v>29</v>
      </c>
      <c r="K247">
        <v>2.5</v>
      </c>
      <c r="L247" s="3">
        <v>8.6</v>
      </c>
      <c r="M247" t="s">
        <v>1034</v>
      </c>
      <c r="N247">
        <v>79.099999999999994</v>
      </c>
    </row>
    <row r="248" spans="1:14" x14ac:dyDescent="0.3">
      <c r="A248" t="s">
        <v>260</v>
      </c>
      <c r="B248" t="s">
        <v>1018</v>
      </c>
      <c r="C248" t="s">
        <v>1027</v>
      </c>
      <c r="D248">
        <v>53</v>
      </c>
      <c r="E248">
        <v>5</v>
      </c>
      <c r="F248" s="3">
        <v>85089</v>
      </c>
      <c r="G248">
        <v>52</v>
      </c>
      <c r="H248">
        <v>11</v>
      </c>
      <c r="I248">
        <v>1</v>
      </c>
      <c r="J248">
        <v>33</v>
      </c>
      <c r="K248">
        <v>2.1</v>
      </c>
      <c r="L248" s="3">
        <v>8.9</v>
      </c>
      <c r="M248" t="s">
        <v>1034</v>
      </c>
      <c r="N248">
        <v>78.03</v>
      </c>
    </row>
    <row r="249" spans="1:14" x14ac:dyDescent="0.3">
      <c r="A249" t="s">
        <v>261</v>
      </c>
      <c r="B249" t="s">
        <v>1014</v>
      </c>
      <c r="C249" t="s">
        <v>1031</v>
      </c>
      <c r="D249">
        <v>22</v>
      </c>
      <c r="E249">
        <v>1</v>
      </c>
      <c r="F249" s="3">
        <v>34010</v>
      </c>
      <c r="G249">
        <v>55</v>
      </c>
      <c r="H249">
        <v>4</v>
      </c>
      <c r="I249">
        <v>2</v>
      </c>
      <c r="J249">
        <v>9</v>
      </c>
      <c r="K249">
        <v>2</v>
      </c>
      <c r="L249" s="3">
        <v>6.5</v>
      </c>
      <c r="M249" t="s">
        <v>1035</v>
      </c>
      <c r="N249">
        <v>51.67</v>
      </c>
    </row>
    <row r="250" spans="1:14" x14ac:dyDescent="0.3">
      <c r="A250" t="s">
        <v>262</v>
      </c>
      <c r="B250" t="s">
        <v>1014</v>
      </c>
      <c r="C250" t="s">
        <v>1031</v>
      </c>
      <c r="D250">
        <v>52</v>
      </c>
      <c r="E250">
        <v>15</v>
      </c>
      <c r="F250" s="3">
        <v>26030</v>
      </c>
      <c r="G250">
        <v>35</v>
      </c>
      <c r="H250">
        <v>9</v>
      </c>
      <c r="I250">
        <v>17</v>
      </c>
      <c r="J250">
        <v>26</v>
      </c>
      <c r="K250">
        <v>2</v>
      </c>
      <c r="L250" s="3">
        <v>6.7</v>
      </c>
      <c r="M250" t="s">
        <v>1035</v>
      </c>
      <c r="N250">
        <v>61.2</v>
      </c>
    </row>
    <row r="251" spans="1:14" x14ac:dyDescent="0.3">
      <c r="A251" t="s">
        <v>263</v>
      </c>
      <c r="B251" t="s">
        <v>1015</v>
      </c>
      <c r="C251" t="s">
        <v>1029</v>
      </c>
      <c r="D251">
        <v>40</v>
      </c>
      <c r="E251">
        <v>0</v>
      </c>
      <c r="F251" s="3">
        <v>57913</v>
      </c>
      <c r="G251">
        <v>48</v>
      </c>
      <c r="H251">
        <v>13</v>
      </c>
      <c r="I251">
        <v>5</v>
      </c>
      <c r="J251">
        <v>6</v>
      </c>
      <c r="K251">
        <v>4.8</v>
      </c>
      <c r="L251" s="3">
        <v>6.7</v>
      </c>
      <c r="M251" t="s">
        <v>1035</v>
      </c>
      <c r="N251">
        <v>76.27</v>
      </c>
    </row>
    <row r="252" spans="1:14" x14ac:dyDescent="0.3">
      <c r="A252" t="s">
        <v>264</v>
      </c>
      <c r="B252" t="s">
        <v>1018</v>
      </c>
      <c r="C252" t="s">
        <v>1032</v>
      </c>
      <c r="D252">
        <v>55</v>
      </c>
      <c r="E252">
        <v>8</v>
      </c>
      <c r="F252" s="3">
        <v>78425</v>
      </c>
      <c r="G252">
        <v>46</v>
      </c>
      <c r="H252">
        <v>5</v>
      </c>
      <c r="I252">
        <v>25</v>
      </c>
      <c r="J252">
        <v>25</v>
      </c>
      <c r="K252">
        <v>2.2000000000000002</v>
      </c>
      <c r="L252" s="3">
        <v>9.6999999999999993</v>
      </c>
      <c r="M252" t="s">
        <v>1034</v>
      </c>
      <c r="N252">
        <v>73.13</v>
      </c>
    </row>
    <row r="253" spans="1:14" x14ac:dyDescent="0.3">
      <c r="A253" t="s">
        <v>265</v>
      </c>
      <c r="B253" t="s">
        <v>1015</v>
      </c>
      <c r="C253" t="s">
        <v>1020</v>
      </c>
      <c r="D253">
        <v>37</v>
      </c>
      <c r="E253">
        <v>7</v>
      </c>
      <c r="F253" s="3">
        <v>44659</v>
      </c>
      <c r="G253">
        <v>37</v>
      </c>
      <c r="H253">
        <v>11</v>
      </c>
      <c r="I253">
        <v>20</v>
      </c>
      <c r="J253">
        <v>2</v>
      </c>
      <c r="K253">
        <v>2.2999999999999998</v>
      </c>
      <c r="L253" s="3">
        <v>5.7</v>
      </c>
      <c r="M253" t="s">
        <v>1036</v>
      </c>
      <c r="N253">
        <v>59.43</v>
      </c>
    </row>
    <row r="254" spans="1:14" x14ac:dyDescent="0.3">
      <c r="A254" t="s">
        <v>266</v>
      </c>
      <c r="B254" t="s">
        <v>1017</v>
      </c>
      <c r="C254" t="s">
        <v>1030</v>
      </c>
      <c r="D254">
        <v>25</v>
      </c>
      <c r="E254">
        <v>0</v>
      </c>
      <c r="F254" s="3">
        <v>71061</v>
      </c>
      <c r="G254">
        <v>40</v>
      </c>
      <c r="H254">
        <v>2</v>
      </c>
      <c r="I254">
        <v>15</v>
      </c>
      <c r="J254">
        <v>27</v>
      </c>
      <c r="K254">
        <v>3.9</v>
      </c>
      <c r="L254" s="3">
        <v>5.3</v>
      </c>
      <c r="M254" t="s">
        <v>1036</v>
      </c>
      <c r="N254">
        <v>46.83</v>
      </c>
    </row>
    <row r="255" spans="1:14" x14ac:dyDescent="0.3">
      <c r="A255" t="s">
        <v>267</v>
      </c>
      <c r="B255" t="s">
        <v>1015</v>
      </c>
      <c r="C255" t="s">
        <v>1021</v>
      </c>
      <c r="D255">
        <v>24</v>
      </c>
      <c r="E255">
        <v>1</v>
      </c>
      <c r="F255" s="3">
        <v>38855</v>
      </c>
      <c r="G255">
        <v>53</v>
      </c>
      <c r="H255">
        <v>8</v>
      </c>
      <c r="I255">
        <v>8</v>
      </c>
      <c r="J255">
        <v>2</v>
      </c>
      <c r="K255">
        <v>4.8</v>
      </c>
      <c r="L255" s="3">
        <v>7.8</v>
      </c>
      <c r="M255" t="s">
        <v>1035</v>
      </c>
      <c r="N255">
        <v>74.53</v>
      </c>
    </row>
    <row r="256" spans="1:14" x14ac:dyDescent="0.3">
      <c r="A256" t="s">
        <v>268</v>
      </c>
      <c r="B256" t="s">
        <v>1015</v>
      </c>
      <c r="C256" t="s">
        <v>1021</v>
      </c>
      <c r="D256">
        <v>24</v>
      </c>
      <c r="E256">
        <v>1</v>
      </c>
      <c r="F256" s="3">
        <v>85867</v>
      </c>
      <c r="G256">
        <v>45</v>
      </c>
      <c r="H256">
        <v>1</v>
      </c>
      <c r="I256">
        <v>6</v>
      </c>
      <c r="J256">
        <v>37</v>
      </c>
      <c r="K256">
        <v>2.4</v>
      </c>
      <c r="L256" s="3">
        <v>8.6999999999999993</v>
      </c>
      <c r="M256" t="s">
        <v>1034</v>
      </c>
      <c r="N256">
        <v>61.07</v>
      </c>
    </row>
    <row r="257" spans="1:14" x14ac:dyDescent="0.3">
      <c r="A257" t="s">
        <v>269</v>
      </c>
      <c r="B257" t="s">
        <v>1014</v>
      </c>
      <c r="C257" t="s">
        <v>1019</v>
      </c>
      <c r="D257">
        <v>41</v>
      </c>
      <c r="E257">
        <v>5</v>
      </c>
      <c r="F257" s="3">
        <v>61959</v>
      </c>
      <c r="G257">
        <v>42</v>
      </c>
      <c r="H257">
        <v>10</v>
      </c>
      <c r="I257">
        <v>12</v>
      </c>
      <c r="J257">
        <v>34</v>
      </c>
      <c r="K257">
        <v>3</v>
      </c>
      <c r="L257" s="3">
        <v>8.3000000000000007</v>
      </c>
      <c r="M257" t="s">
        <v>1034</v>
      </c>
      <c r="N257">
        <v>75.47</v>
      </c>
    </row>
    <row r="258" spans="1:14" x14ac:dyDescent="0.3">
      <c r="A258" t="s">
        <v>270</v>
      </c>
      <c r="B258" t="s">
        <v>1014</v>
      </c>
      <c r="C258" t="s">
        <v>1025</v>
      </c>
      <c r="D258">
        <v>54</v>
      </c>
      <c r="E258">
        <v>11</v>
      </c>
      <c r="F258" s="3">
        <v>28519</v>
      </c>
      <c r="G258">
        <v>38</v>
      </c>
      <c r="H258">
        <v>7</v>
      </c>
      <c r="I258">
        <v>7</v>
      </c>
      <c r="J258">
        <v>4</v>
      </c>
      <c r="K258">
        <v>3</v>
      </c>
      <c r="L258" s="3">
        <v>8.4</v>
      </c>
      <c r="M258" t="s">
        <v>1034</v>
      </c>
      <c r="N258">
        <v>71.069999999999993</v>
      </c>
    </row>
    <row r="259" spans="1:14" x14ac:dyDescent="0.3">
      <c r="A259" t="s">
        <v>271</v>
      </c>
      <c r="B259" t="s">
        <v>1017</v>
      </c>
      <c r="C259" t="s">
        <v>1026</v>
      </c>
      <c r="D259">
        <v>42</v>
      </c>
      <c r="E259">
        <v>0</v>
      </c>
      <c r="F259" s="3">
        <v>66557</v>
      </c>
      <c r="G259">
        <v>43</v>
      </c>
      <c r="H259">
        <v>13</v>
      </c>
      <c r="I259">
        <v>14</v>
      </c>
      <c r="J259">
        <v>31</v>
      </c>
      <c r="K259">
        <v>2.7</v>
      </c>
      <c r="L259" s="3">
        <v>6.9</v>
      </c>
      <c r="M259" t="s">
        <v>1035</v>
      </c>
      <c r="N259">
        <v>71.17</v>
      </c>
    </row>
    <row r="260" spans="1:14" x14ac:dyDescent="0.3">
      <c r="A260" t="s">
        <v>272</v>
      </c>
      <c r="B260" t="s">
        <v>1017</v>
      </c>
      <c r="C260" t="s">
        <v>1030</v>
      </c>
      <c r="D260">
        <v>33</v>
      </c>
      <c r="E260">
        <v>10</v>
      </c>
      <c r="F260" s="3">
        <v>63395</v>
      </c>
      <c r="G260">
        <v>47</v>
      </c>
      <c r="H260">
        <v>2</v>
      </c>
      <c r="I260">
        <v>24</v>
      </c>
      <c r="J260">
        <v>39</v>
      </c>
      <c r="K260">
        <v>2.9</v>
      </c>
      <c r="L260" s="3">
        <v>4.7</v>
      </c>
      <c r="M260" t="s">
        <v>1036</v>
      </c>
      <c r="N260">
        <v>40.229999999999997</v>
      </c>
    </row>
    <row r="261" spans="1:14" x14ac:dyDescent="0.3">
      <c r="A261" t="s">
        <v>273</v>
      </c>
      <c r="B261" t="s">
        <v>1014</v>
      </c>
      <c r="C261" t="s">
        <v>1019</v>
      </c>
      <c r="D261">
        <v>39</v>
      </c>
      <c r="E261">
        <v>4</v>
      </c>
      <c r="F261" s="3">
        <v>49903</v>
      </c>
      <c r="G261">
        <v>55</v>
      </c>
      <c r="H261">
        <v>3</v>
      </c>
      <c r="I261">
        <v>23</v>
      </c>
      <c r="J261">
        <v>24</v>
      </c>
      <c r="K261">
        <v>3</v>
      </c>
      <c r="L261" s="3">
        <v>3.7</v>
      </c>
      <c r="M261" t="s">
        <v>1036</v>
      </c>
      <c r="N261">
        <v>36.200000000000003</v>
      </c>
    </row>
    <row r="262" spans="1:14" x14ac:dyDescent="0.3">
      <c r="A262" t="s">
        <v>274</v>
      </c>
      <c r="B262" t="s">
        <v>1016</v>
      </c>
      <c r="C262" t="s">
        <v>1022</v>
      </c>
      <c r="D262">
        <v>50</v>
      </c>
      <c r="E262">
        <v>11</v>
      </c>
      <c r="F262" s="3">
        <v>74895</v>
      </c>
      <c r="G262">
        <v>43</v>
      </c>
      <c r="H262">
        <v>2</v>
      </c>
      <c r="I262">
        <v>4</v>
      </c>
      <c r="J262">
        <v>5</v>
      </c>
      <c r="K262">
        <v>2.6</v>
      </c>
      <c r="L262" s="3">
        <v>6.1</v>
      </c>
      <c r="M262" t="s">
        <v>1035</v>
      </c>
      <c r="N262">
        <v>47.73</v>
      </c>
    </row>
    <row r="263" spans="1:14" x14ac:dyDescent="0.3">
      <c r="A263" t="s">
        <v>275</v>
      </c>
      <c r="B263" t="s">
        <v>1015</v>
      </c>
      <c r="C263" t="s">
        <v>1021</v>
      </c>
      <c r="D263">
        <v>48</v>
      </c>
      <c r="E263">
        <v>3</v>
      </c>
      <c r="F263" s="3">
        <v>26721</v>
      </c>
      <c r="G263">
        <v>37</v>
      </c>
      <c r="H263">
        <v>6</v>
      </c>
      <c r="I263">
        <v>17</v>
      </c>
      <c r="J263">
        <v>5</v>
      </c>
      <c r="K263">
        <v>3.8</v>
      </c>
      <c r="L263" s="3">
        <v>8.5</v>
      </c>
      <c r="M263" t="s">
        <v>1034</v>
      </c>
      <c r="N263">
        <v>72.400000000000006</v>
      </c>
    </row>
    <row r="264" spans="1:14" x14ac:dyDescent="0.3">
      <c r="A264" t="s">
        <v>276</v>
      </c>
      <c r="B264" t="s">
        <v>1014</v>
      </c>
      <c r="C264" t="s">
        <v>1031</v>
      </c>
      <c r="D264">
        <v>40</v>
      </c>
      <c r="E264">
        <v>13</v>
      </c>
      <c r="F264" s="3">
        <v>50414</v>
      </c>
      <c r="G264">
        <v>37</v>
      </c>
      <c r="H264">
        <v>12</v>
      </c>
      <c r="I264">
        <v>17</v>
      </c>
      <c r="J264">
        <v>15</v>
      </c>
      <c r="K264">
        <v>3.7</v>
      </c>
      <c r="L264" s="3">
        <v>4.2</v>
      </c>
      <c r="M264" t="s">
        <v>1036</v>
      </c>
      <c r="N264">
        <v>56.3</v>
      </c>
    </row>
    <row r="265" spans="1:14" x14ac:dyDescent="0.3">
      <c r="A265" t="s">
        <v>277</v>
      </c>
      <c r="B265" t="s">
        <v>1018</v>
      </c>
      <c r="C265" t="s">
        <v>1032</v>
      </c>
      <c r="D265">
        <v>30</v>
      </c>
      <c r="E265">
        <v>4</v>
      </c>
      <c r="F265" s="3">
        <v>44734</v>
      </c>
      <c r="G265">
        <v>43</v>
      </c>
      <c r="H265">
        <v>8</v>
      </c>
      <c r="I265">
        <v>4</v>
      </c>
      <c r="J265">
        <v>4</v>
      </c>
      <c r="K265">
        <v>2.5</v>
      </c>
      <c r="L265" s="3">
        <v>4.9000000000000004</v>
      </c>
      <c r="M265" t="s">
        <v>1036</v>
      </c>
      <c r="N265">
        <v>50.23</v>
      </c>
    </row>
    <row r="266" spans="1:14" x14ac:dyDescent="0.3">
      <c r="A266" t="s">
        <v>278</v>
      </c>
      <c r="B266" t="s">
        <v>1017</v>
      </c>
      <c r="C266" t="s">
        <v>1030</v>
      </c>
      <c r="D266">
        <v>26</v>
      </c>
      <c r="E266">
        <v>2</v>
      </c>
      <c r="F266" s="3">
        <v>41495</v>
      </c>
      <c r="G266">
        <v>42</v>
      </c>
      <c r="H266">
        <v>12</v>
      </c>
      <c r="I266">
        <v>20</v>
      </c>
      <c r="J266">
        <v>31</v>
      </c>
      <c r="K266">
        <v>3.8</v>
      </c>
      <c r="L266" s="3">
        <v>4.4000000000000004</v>
      </c>
      <c r="M266" t="s">
        <v>1036</v>
      </c>
      <c r="N266">
        <v>57.8</v>
      </c>
    </row>
    <row r="267" spans="1:14" x14ac:dyDescent="0.3">
      <c r="A267" t="s">
        <v>279</v>
      </c>
      <c r="B267" t="s">
        <v>1018</v>
      </c>
      <c r="C267" t="s">
        <v>1032</v>
      </c>
      <c r="D267">
        <v>41</v>
      </c>
      <c r="E267">
        <v>0</v>
      </c>
      <c r="F267" s="3">
        <v>87182</v>
      </c>
      <c r="G267">
        <v>47</v>
      </c>
      <c r="H267">
        <v>6</v>
      </c>
      <c r="I267">
        <v>19</v>
      </c>
      <c r="J267">
        <v>24</v>
      </c>
      <c r="K267">
        <v>4.4000000000000004</v>
      </c>
      <c r="L267" s="3">
        <v>5.3</v>
      </c>
      <c r="M267" t="s">
        <v>1036</v>
      </c>
      <c r="N267">
        <v>55</v>
      </c>
    </row>
    <row r="268" spans="1:14" x14ac:dyDescent="0.3">
      <c r="A268" t="s">
        <v>280</v>
      </c>
      <c r="B268" t="s">
        <v>1017</v>
      </c>
      <c r="C268" t="s">
        <v>1026</v>
      </c>
      <c r="D268">
        <v>30</v>
      </c>
      <c r="E268">
        <v>4</v>
      </c>
      <c r="F268" s="3">
        <v>46015</v>
      </c>
      <c r="G268">
        <v>54</v>
      </c>
      <c r="H268">
        <v>12</v>
      </c>
      <c r="I268">
        <v>6</v>
      </c>
      <c r="J268">
        <v>30</v>
      </c>
      <c r="K268">
        <v>2.9</v>
      </c>
      <c r="L268" s="3">
        <v>9.8000000000000007</v>
      </c>
      <c r="M268" t="s">
        <v>1034</v>
      </c>
      <c r="N268">
        <v>87.5</v>
      </c>
    </row>
    <row r="269" spans="1:14" x14ac:dyDescent="0.3">
      <c r="A269" t="s">
        <v>281</v>
      </c>
      <c r="B269" t="s">
        <v>1016</v>
      </c>
      <c r="C269" t="s">
        <v>1023</v>
      </c>
      <c r="D269">
        <v>53</v>
      </c>
      <c r="E269">
        <v>7</v>
      </c>
      <c r="F269" s="3">
        <v>46357</v>
      </c>
      <c r="G269">
        <v>47</v>
      </c>
      <c r="H269">
        <v>5</v>
      </c>
      <c r="I269">
        <v>25</v>
      </c>
      <c r="J269">
        <v>25</v>
      </c>
      <c r="K269">
        <v>3.1</v>
      </c>
      <c r="L269" s="3">
        <v>9.5</v>
      </c>
      <c r="M269" t="s">
        <v>1034</v>
      </c>
      <c r="N269">
        <v>74.63</v>
      </c>
    </row>
    <row r="270" spans="1:14" x14ac:dyDescent="0.3">
      <c r="A270" t="s">
        <v>282</v>
      </c>
      <c r="B270" t="s">
        <v>1015</v>
      </c>
      <c r="C270" t="s">
        <v>1021</v>
      </c>
      <c r="D270">
        <v>33</v>
      </c>
      <c r="E270">
        <v>10</v>
      </c>
      <c r="F270" s="3">
        <v>75306</v>
      </c>
      <c r="G270">
        <v>52</v>
      </c>
      <c r="H270">
        <v>1</v>
      </c>
      <c r="I270">
        <v>23</v>
      </c>
      <c r="J270">
        <v>29</v>
      </c>
      <c r="K270">
        <v>4.8</v>
      </c>
      <c r="L270" s="3">
        <v>4.5</v>
      </c>
      <c r="M270" t="s">
        <v>1036</v>
      </c>
      <c r="N270">
        <v>43.07</v>
      </c>
    </row>
    <row r="271" spans="1:14" x14ac:dyDescent="0.3">
      <c r="A271" t="s">
        <v>283</v>
      </c>
      <c r="B271" t="s">
        <v>1014</v>
      </c>
      <c r="C271" t="s">
        <v>1031</v>
      </c>
      <c r="D271">
        <v>48</v>
      </c>
      <c r="E271">
        <v>15</v>
      </c>
      <c r="F271" s="3">
        <v>34121</v>
      </c>
      <c r="G271">
        <v>55</v>
      </c>
      <c r="H271">
        <v>5</v>
      </c>
      <c r="I271">
        <v>7</v>
      </c>
      <c r="J271">
        <v>16</v>
      </c>
      <c r="K271">
        <v>4</v>
      </c>
      <c r="L271" s="3">
        <v>8</v>
      </c>
      <c r="M271" t="s">
        <v>1034</v>
      </c>
      <c r="N271">
        <v>68.33</v>
      </c>
    </row>
    <row r="272" spans="1:14" x14ac:dyDescent="0.3">
      <c r="A272" t="s">
        <v>284</v>
      </c>
      <c r="B272" t="s">
        <v>1014</v>
      </c>
      <c r="C272" t="s">
        <v>1031</v>
      </c>
      <c r="D272">
        <v>50</v>
      </c>
      <c r="E272">
        <v>15</v>
      </c>
      <c r="F272" s="3">
        <v>63157</v>
      </c>
      <c r="G272">
        <v>47</v>
      </c>
      <c r="H272">
        <v>9</v>
      </c>
      <c r="I272">
        <v>16</v>
      </c>
      <c r="J272">
        <v>26</v>
      </c>
      <c r="K272">
        <v>3.6</v>
      </c>
      <c r="L272" s="3">
        <v>8.5</v>
      </c>
      <c r="M272" t="s">
        <v>1034</v>
      </c>
      <c r="N272">
        <v>76.8</v>
      </c>
    </row>
    <row r="273" spans="1:14" x14ac:dyDescent="0.3">
      <c r="A273" t="s">
        <v>285</v>
      </c>
      <c r="B273" t="s">
        <v>1015</v>
      </c>
      <c r="C273" t="s">
        <v>1020</v>
      </c>
      <c r="D273">
        <v>27</v>
      </c>
      <c r="E273">
        <v>0</v>
      </c>
      <c r="F273" s="3">
        <v>75394</v>
      </c>
      <c r="G273">
        <v>42</v>
      </c>
      <c r="H273">
        <v>11</v>
      </c>
      <c r="I273">
        <v>21</v>
      </c>
      <c r="J273">
        <v>22</v>
      </c>
      <c r="K273">
        <v>2.5</v>
      </c>
      <c r="L273" s="3">
        <v>7.3</v>
      </c>
      <c r="M273" t="s">
        <v>1035</v>
      </c>
      <c r="N273">
        <v>69.63</v>
      </c>
    </row>
    <row r="274" spans="1:14" x14ac:dyDescent="0.3">
      <c r="A274" t="s">
        <v>286</v>
      </c>
      <c r="B274" t="s">
        <v>1017</v>
      </c>
      <c r="C274" t="s">
        <v>1024</v>
      </c>
      <c r="D274">
        <v>43</v>
      </c>
      <c r="E274">
        <v>13</v>
      </c>
      <c r="F274" s="3">
        <v>31943</v>
      </c>
      <c r="G274">
        <v>35</v>
      </c>
      <c r="H274">
        <v>2</v>
      </c>
      <c r="I274">
        <v>8</v>
      </c>
      <c r="J274">
        <v>14</v>
      </c>
      <c r="K274">
        <v>3.5</v>
      </c>
      <c r="L274" s="3">
        <v>6.6</v>
      </c>
      <c r="M274" t="s">
        <v>1035</v>
      </c>
      <c r="N274">
        <v>53.43</v>
      </c>
    </row>
    <row r="275" spans="1:14" x14ac:dyDescent="0.3">
      <c r="A275" t="s">
        <v>287</v>
      </c>
      <c r="B275" t="s">
        <v>1015</v>
      </c>
      <c r="C275" t="s">
        <v>1029</v>
      </c>
      <c r="D275">
        <v>36</v>
      </c>
      <c r="E275">
        <v>14</v>
      </c>
      <c r="F275" s="3">
        <v>49518</v>
      </c>
      <c r="G275">
        <v>47</v>
      </c>
      <c r="H275">
        <v>8</v>
      </c>
      <c r="I275">
        <v>24</v>
      </c>
      <c r="J275">
        <v>37</v>
      </c>
      <c r="K275">
        <v>4.0999999999999996</v>
      </c>
      <c r="L275" s="3">
        <v>4.0999999999999996</v>
      </c>
      <c r="M275" t="s">
        <v>1036</v>
      </c>
      <c r="N275">
        <v>50.23</v>
      </c>
    </row>
    <row r="276" spans="1:14" x14ac:dyDescent="0.3">
      <c r="A276" t="s">
        <v>288</v>
      </c>
      <c r="B276" t="s">
        <v>1017</v>
      </c>
      <c r="C276" t="s">
        <v>1030</v>
      </c>
      <c r="D276">
        <v>28</v>
      </c>
      <c r="E276">
        <v>4</v>
      </c>
      <c r="F276" s="3">
        <v>52261</v>
      </c>
      <c r="G276">
        <v>37</v>
      </c>
      <c r="H276">
        <v>2</v>
      </c>
      <c r="I276">
        <v>23</v>
      </c>
      <c r="J276">
        <v>9</v>
      </c>
      <c r="K276">
        <v>3</v>
      </c>
      <c r="L276" s="3">
        <v>5.4</v>
      </c>
      <c r="M276" t="s">
        <v>1036</v>
      </c>
      <c r="N276">
        <v>44.73</v>
      </c>
    </row>
    <row r="277" spans="1:14" x14ac:dyDescent="0.3">
      <c r="A277" t="s">
        <v>289</v>
      </c>
      <c r="B277" t="s">
        <v>1015</v>
      </c>
      <c r="C277" t="s">
        <v>1020</v>
      </c>
      <c r="D277">
        <v>52</v>
      </c>
      <c r="E277">
        <v>11</v>
      </c>
      <c r="F277" s="3">
        <v>56205</v>
      </c>
      <c r="G277">
        <v>38</v>
      </c>
      <c r="H277">
        <v>8</v>
      </c>
      <c r="I277">
        <v>23</v>
      </c>
      <c r="J277">
        <v>28</v>
      </c>
      <c r="K277">
        <v>3</v>
      </c>
      <c r="L277" s="3">
        <v>5.0999999999999996</v>
      </c>
      <c r="M277" t="s">
        <v>1036</v>
      </c>
      <c r="N277">
        <v>52.93</v>
      </c>
    </row>
    <row r="278" spans="1:14" x14ac:dyDescent="0.3">
      <c r="A278" t="s">
        <v>290</v>
      </c>
      <c r="B278" t="s">
        <v>1014</v>
      </c>
      <c r="C278" t="s">
        <v>1025</v>
      </c>
      <c r="D278">
        <v>23</v>
      </c>
      <c r="E278">
        <v>1</v>
      </c>
      <c r="F278" s="3">
        <v>67465</v>
      </c>
      <c r="G278">
        <v>38</v>
      </c>
      <c r="H278">
        <v>11</v>
      </c>
      <c r="I278">
        <v>25</v>
      </c>
      <c r="J278">
        <v>10</v>
      </c>
      <c r="K278">
        <v>4.8</v>
      </c>
      <c r="L278" s="3">
        <v>8.1999999999999993</v>
      </c>
      <c r="M278" t="s">
        <v>1034</v>
      </c>
      <c r="N278">
        <v>81.93</v>
      </c>
    </row>
    <row r="279" spans="1:14" x14ac:dyDescent="0.3">
      <c r="A279" t="s">
        <v>291</v>
      </c>
      <c r="B279" t="s">
        <v>1018</v>
      </c>
      <c r="C279" t="s">
        <v>1027</v>
      </c>
      <c r="D279">
        <v>32</v>
      </c>
      <c r="E279">
        <v>5</v>
      </c>
      <c r="F279" s="3">
        <v>61690</v>
      </c>
      <c r="G279">
        <v>48</v>
      </c>
      <c r="H279">
        <v>8</v>
      </c>
      <c r="I279">
        <v>7</v>
      </c>
      <c r="J279">
        <v>25</v>
      </c>
      <c r="K279">
        <v>3.9</v>
      </c>
      <c r="L279" s="3">
        <v>4.3</v>
      </c>
      <c r="M279" t="s">
        <v>1036</v>
      </c>
      <c r="N279">
        <v>50.83</v>
      </c>
    </row>
    <row r="280" spans="1:14" x14ac:dyDescent="0.3">
      <c r="A280" t="s">
        <v>292</v>
      </c>
      <c r="B280" t="s">
        <v>1017</v>
      </c>
      <c r="C280" t="s">
        <v>1024</v>
      </c>
      <c r="D280">
        <v>47</v>
      </c>
      <c r="E280">
        <v>0</v>
      </c>
      <c r="F280" s="3">
        <v>73325</v>
      </c>
      <c r="G280">
        <v>54</v>
      </c>
      <c r="H280">
        <v>15</v>
      </c>
      <c r="I280">
        <v>6</v>
      </c>
      <c r="J280">
        <v>28</v>
      </c>
      <c r="K280">
        <v>3.8</v>
      </c>
      <c r="L280" s="3">
        <v>5.7</v>
      </c>
      <c r="M280" t="s">
        <v>1036</v>
      </c>
      <c r="N280">
        <v>70.599999999999994</v>
      </c>
    </row>
    <row r="281" spans="1:14" x14ac:dyDescent="0.3">
      <c r="A281" t="s">
        <v>293</v>
      </c>
      <c r="B281" t="s">
        <v>1018</v>
      </c>
      <c r="C281" t="s">
        <v>1032</v>
      </c>
      <c r="D281">
        <v>35</v>
      </c>
      <c r="E281">
        <v>4</v>
      </c>
      <c r="F281" s="3">
        <v>74304</v>
      </c>
      <c r="G281">
        <v>37</v>
      </c>
      <c r="H281">
        <v>10</v>
      </c>
      <c r="I281">
        <v>3</v>
      </c>
      <c r="J281">
        <v>34</v>
      </c>
      <c r="K281">
        <v>2.6</v>
      </c>
      <c r="L281" s="3">
        <v>5.3</v>
      </c>
      <c r="M281" t="s">
        <v>1036</v>
      </c>
      <c r="N281">
        <v>56.27</v>
      </c>
    </row>
    <row r="282" spans="1:14" x14ac:dyDescent="0.3">
      <c r="A282" t="s">
        <v>294</v>
      </c>
      <c r="B282" t="s">
        <v>1014</v>
      </c>
      <c r="C282" t="s">
        <v>1031</v>
      </c>
      <c r="D282">
        <v>38</v>
      </c>
      <c r="E282">
        <v>15</v>
      </c>
      <c r="F282" s="3">
        <v>59584</v>
      </c>
      <c r="G282">
        <v>55</v>
      </c>
      <c r="H282">
        <v>6</v>
      </c>
      <c r="I282">
        <v>19</v>
      </c>
      <c r="J282">
        <v>24</v>
      </c>
      <c r="K282">
        <v>3.8</v>
      </c>
      <c r="L282" s="3">
        <v>7.1</v>
      </c>
      <c r="M282" t="s">
        <v>1035</v>
      </c>
      <c r="N282">
        <v>64</v>
      </c>
    </row>
    <row r="283" spans="1:14" x14ac:dyDescent="0.3">
      <c r="A283" t="s">
        <v>295</v>
      </c>
      <c r="B283" t="s">
        <v>1016</v>
      </c>
      <c r="C283" t="s">
        <v>1023</v>
      </c>
      <c r="D283">
        <v>51</v>
      </c>
      <c r="E283">
        <v>5</v>
      </c>
      <c r="F283" s="3">
        <v>78329</v>
      </c>
      <c r="G283">
        <v>44</v>
      </c>
      <c r="H283">
        <v>15</v>
      </c>
      <c r="I283">
        <v>19</v>
      </c>
      <c r="J283">
        <v>37</v>
      </c>
      <c r="K283">
        <v>2.2999999999999998</v>
      </c>
      <c r="L283" s="3">
        <v>3.9</v>
      </c>
      <c r="M283" t="s">
        <v>1036</v>
      </c>
      <c r="N283">
        <v>55.3</v>
      </c>
    </row>
    <row r="284" spans="1:14" x14ac:dyDescent="0.3">
      <c r="A284" t="s">
        <v>296</v>
      </c>
      <c r="B284" t="s">
        <v>1018</v>
      </c>
      <c r="C284" t="s">
        <v>1027</v>
      </c>
      <c r="D284">
        <v>41</v>
      </c>
      <c r="E284">
        <v>3</v>
      </c>
      <c r="F284" s="3">
        <v>36996</v>
      </c>
      <c r="G284">
        <v>46</v>
      </c>
      <c r="H284">
        <v>12</v>
      </c>
      <c r="I284">
        <v>4</v>
      </c>
      <c r="J284">
        <v>32</v>
      </c>
      <c r="K284">
        <v>3.2</v>
      </c>
      <c r="L284" s="3">
        <v>7.2</v>
      </c>
      <c r="M284" t="s">
        <v>1035</v>
      </c>
      <c r="N284">
        <v>72.8</v>
      </c>
    </row>
    <row r="285" spans="1:14" x14ac:dyDescent="0.3">
      <c r="A285" t="s">
        <v>297</v>
      </c>
      <c r="B285" t="s">
        <v>1017</v>
      </c>
      <c r="C285" t="s">
        <v>1030</v>
      </c>
      <c r="D285">
        <v>49</v>
      </c>
      <c r="E285">
        <v>5</v>
      </c>
      <c r="F285" s="3">
        <v>56894</v>
      </c>
      <c r="G285">
        <v>55</v>
      </c>
      <c r="H285">
        <v>9</v>
      </c>
      <c r="I285">
        <v>22</v>
      </c>
      <c r="J285">
        <v>11</v>
      </c>
      <c r="K285">
        <v>3.7</v>
      </c>
      <c r="L285" s="3">
        <v>6.4</v>
      </c>
      <c r="M285" t="s">
        <v>1035</v>
      </c>
      <c r="N285">
        <v>64.5</v>
      </c>
    </row>
    <row r="286" spans="1:14" x14ac:dyDescent="0.3">
      <c r="A286" t="s">
        <v>298</v>
      </c>
      <c r="B286" t="s">
        <v>1018</v>
      </c>
      <c r="C286" t="s">
        <v>1032</v>
      </c>
      <c r="D286">
        <v>42</v>
      </c>
      <c r="E286">
        <v>14</v>
      </c>
      <c r="F286" s="3">
        <v>65593</v>
      </c>
      <c r="G286">
        <v>36</v>
      </c>
      <c r="H286">
        <v>14</v>
      </c>
      <c r="I286">
        <v>11</v>
      </c>
      <c r="J286">
        <v>0</v>
      </c>
      <c r="K286">
        <v>3.5</v>
      </c>
      <c r="L286" s="3">
        <v>4.4000000000000004</v>
      </c>
      <c r="M286" t="s">
        <v>1036</v>
      </c>
      <c r="N286">
        <v>60.23</v>
      </c>
    </row>
    <row r="287" spans="1:14" x14ac:dyDescent="0.3">
      <c r="A287" t="s">
        <v>299</v>
      </c>
      <c r="B287" t="s">
        <v>1015</v>
      </c>
      <c r="C287" t="s">
        <v>1029</v>
      </c>
      <c r="D287">
        <v>54</v>
      </c>
      <c r="E287">
        <v>15</v>
      </c>
      <c r="F287" s="3">
        <v>51813</v>
      </c>
      <c r="G287">
        <v>50</v>
      </c>
      <c r="H287">
        <v>7</v>
      </c>
      <c r="I287">
        <v>22</v>
      </c>
      <c r="J287">
        <v>28</v>
      </c>
      <c r="K287">
        <v>3.5</v>
      </c>
      <c r="L287" s="3">
        <v>3.6</v>
      </c>
      <c r="M287" t="s">
        <v>1036</v>
      </c>
      <c r="N287">
        <v>43.77</v>
      </c>
    </row>
    <row r="288" spans="1:14" x14ac:dyDescent="0.3">
      <c r="A288" t="s">
        <v>300</v>
      </c>
      <c r="B288" t="s">
        <v>1018</v>
      </c>
      <c r="C288" t="s">
        <v>1032</v>
      </c>
      <c r="D288">
        <v>40</v>
      </c>
      <c r="E288">
        <v>1</v>
      </c>
      <c r="F288" s="3">
        <v>43012</v>
      </c>
      <c r="G288">
        <v>42</v>
      </c>
      <c r="H288">
        <v>9</v>
      </c>
      <c r="I288">
        <v>9</v>
      </c>
      <c r="J288">
        <v>10</v>
      </c>
      <c r="K288">
        <v>4.3</v>
      </c>
      <c r="L288" s="3">
        <v>7</v>
      </c>
      <c r="M288" t="s">
        <v>1035</v>
      </c>
      <c r="N288">
        <v>69.900000000000006</v>
      </c>
    </row>
    <row r="289" spans="1:14" x14ac:dyDescent="0.3">
      <c r="A289" t="s">
        <v>301</v>
      </c>
      <c r="B289" t="s">
        <v>1015</v>
      </c>
      <c r="C289" t="s">
        <v>1029</v>
      </c>
      <c r="D289">
        <v>54</v>
      </c>
      <c r="E289">
        <v>3</v>
      </c>
      <c r="F289" s="3">
        <v>62533</v>
      </c>
      <c r="G289">
        <v>38</v>
      </c>
      <c r="H289">
        <v>5</v>
      </c>
      <c r="I289">
        <v>24</v>
      </c>
      <c r="J289">
        <v>34</v>
      </c>
      <c r="K289">
        <v>4.5</v>
      </c>
      <c r="L289" s="3">
        <v>5.6</v>
      </c>
      <c r="M289" t="s">
        <v>1036</v>
      </c>
      <c r="N289">
        <v>55.43</v>
      </c>
    </row>
    <row r="290" spans="1:14" x14ac:dyDescent="0.3">
      <c r="A290" t="s">
        <v>302</v>
      </c>
      <c r="B290" t="s">
        <v>1017</v>
      </c>
      <c r="C290" t="s">
        <v>1026</v>
      </c>
      <c r="D290">
        <v>35</v>
      </c>
      <c r="E290">
        <v>6</v>
      </c>
      <c r="F290" s="3">
        <v>31711</v>
      </c>
      <c r="G290">
        <v>55</v>
      </c>
      <c r="H290">
        <v>13</v>
      </c>
      <c r="I290">
        <v>7</v>
      </c>
      <c r="J290">
        <v>19</v>
      </c>
      <c r="K290">
        <v>4.5999999999999996</v>
      </c>
      <c r="L290" s="3">
        <v>3.2</v>
      </c>
      <c r="M290" t="s">
        <v>1036</v>
      </c>
      <c r="N290">
        <v>54.67</v>
      </c>
    </row>
    <row r="291" spans="1:14" x14ac:dyDescent="0.3">
      <c r="A291" t="s">
        <v>303</v>
      </c>
      <c r="B291" t="s">
        <v>1016</v>
      </c>
      <c r="C291" t="s">
        <v>1022</v>
      </c>
      <c r="D291">
        <v>27</v>
      </c>
      <c r="E291">
        <v>3</v>
      </c>
      <c r="F291" s="3">
        <v>81707</v>
      </c>
      <c r="G291">
        <v>38</v>
      </c>
      <c r="H291">
        <v>13</v>
      </c>
      <c r="I291">
        <v>25</v>
      </c>
      <c r="J291">
        <v>15</v>
      </c>
      <c r="K291">
        <v>2.6</v>
      </c>
      <c r="L291" s="3">
        <v>8.1999999999999993</v>
      </c>
      <c r="M291" t="s">
        <v>1034</v>
      </c>
      <c r="N291">
        <v>78.67</v>
      </c>
    </row>
    <row r="292" spans="1:14" x14ac:dyDescent="0.3">
      <c r="A292" t="s">
        <v>304</v>
      </c>
      <c r="B292" t="s">
        <v>1016</v>
      </c>
      <c r="C292" t="s">
        <v>1022</v>
      </c>
      <c r="D292">
        <v>49</v>
      </c>
      <c r="E292">
        <v>5</v>
      </c>
      <c r="F292" s="3">
        <v>65380</v>
      </c>
      <c r="G292">
        <v>39</v>
      </c>
      <c r="H292">
        <v>13</v>
      </c>
      <c r="I292">
        <v>6</v>
      </c>
      <c r="J292">
        <v>13</v>
      </c>
      <c r="K292">
        <v>4.4000000000000004</v>
      </c>
      <c r="L292" s="3">
        <v>7</v>
      </c>
      <c r="M292" t="s">
        <v>1035</v>
      </c>
      <c r="N292">
        <v>76.87</v>
      </c>
    </row>
    <row r="293" spans="1:14" x14ac:dyDescent="0.3">
      <c r="A293" t="s">
        <v>305</v>
      </c>
      <c r="B293" t="s">
        <v>1016</v>
      </c>
      <c r="C293" t="s">
        <v>1022</v>
      </c>
      <c r="D293">
        <v>32</v>
      </c>
      <c r="E293">
        <v>5</v>
      </c>
      <c r="F293" s="3">
        <v>89159</v>
      </c>
      <c r="G293">
        <v>44</v>
      </c>
      <c r="H293">
        <v>5</v>
      </c>
      <c r="I293">
        <v>18</v>
      </c>
      <c r="J293">
        <v>17</v>
      </c>
      <c r="K293">
        <v>4.9000000000000004</v>
      </c>
      <c r="L293" s="3">
        <v>6.6</v>
      </c>
      <c r="M293" t="s">
        <v>1035</v>
      </c>
      <c r="N293">
        <v>62.63</v>
      </c>
    </row>
    <row r="294" spans="1:14" x14ac:dyDescent="0.3">
      <c r="A294" t="s">
        <v>306</v>
      </c>
      <c r="B294" t="s">
        <v>1014</v>
      </c>
      <c r="C294" t="s">
        <v>1019</v>
      </c>
      <c r="D294">
        <v>30</v>
      </c>
      <c r="E294">
        <v>6</v>
      </c>
      <c r="F294" s="3">
        <v>85212</v>
      </c>
      <c r="G294">
        <v>36</v>
      </c>
      <c r="H294">
        <v>5</v>
      </c>
      <c r="I294">
        <v>20</v>
      </c>
      <c r="J294">
        <v>8</v>
      </c>
      <c r="K294">
        <v>4.0999999999999996</v>
      </c>
      <c r="L294" s="3">
        <v>3.9</v>
      </c>
      <c r="M294" t="s">
        <v>1036</v>
      </c>
      <c r="N294">
        <v>44.03</v>
      </c>
    </row>
    <row r="295" spans="1:14" x14ac:dyDescent="0.3">
      <c r="A295" t="s">
        <v>307</v>
      </c>
      <c r="B295" t="s">
        <v>1016</v>
      </c>
      <c r="C295" t="s">
        <v>1023</v>
      </c>
      <c r="D295">
        <v>37</v>
      </c>
      <c r="E295">
        <v>12</v>
      </c>
      <c r="F295" s="3">
        <v>57077</v>
      </c>
      <c r="G295">
        <v>39</v>
      </c>
      <c r="H295">
        <v>10</v>
      </c>
      <c r="I295">
        <v>20</v>
      </c>
      <c r="J295">
        <v>17</v>
      </c>
      <c r="K295">
        <v>3.9</v>
      </c>
      <c r="L295" s="3">
        <v>5.6</v>
      </c>
      <c r="M295" t="s">
        <v>1036</v>
      </c>
      <c r="N295">
        <v>61.97</v>
      </c>
    </row>
    <row r="296" spans="1:14" x14ac:dyDescent="0.3">
      <c r="A296" t="s">
        <v>308</v>
      </c>
      <c r="B296" t="s">
        <v>1014</v>
      </c>
      <c r="C296" t="s">
        <v>1025</v>
      </c>
      <c r="D296">
        <v>47</v>
      </c>
      <c r="E296">
        <v>8</v>
      </c>
      <c r="F296" s="3">
        <v>70528</v>
      </c>
      <c r="G296">
        <v>46</v>
      </c>
      <c r="H296">
        <v>8</v>
      </c>
      <c r="I296">
        <v>15</v>
      </c>
      <c r="J296">
        <v>20</v>
      </c>
      <c r="K296">
        <v>3.7</v>
      </c>
      <c r="L296" s="3">
        <v>9.1</v>
      </c>
      <c r="M296" t="s">
        <v>1034</v>
      </c>
      <c r="N296">
        <v>79.03</v>
      </c>
    </row>
    <row r="297" spans="1:14" x14ac:dyDescent="0.3">
      <c r="A297" t="s">
        <v>309</v>
      </c>
      <c r="B297" t="s">
        <v>1014</v>
      </c>
      <c r="C297" t="s">
        <v>1019</v>
      </c>
      <c r="D297">
        <v>51</v>
      </c>
      <c r="E297">
        <v>11</v>
      </c>
      <c r="F297" s="3">
        <v>80712</v>
      </c>
      <c r="G297">
        <v>37</v>
      </c>
      <c r="H297">
        <v>13</v>
      </c>
      <c r="I297">
        <v>17</v>
      </c>
      <c r="J297">
        <v>25</v>
      </c>
      <c r="K297">
        <v>2.7</v>
      </c>
      <c r="L297" s="3">
        <v>6</v>
      </c>
      <c r="M297" t="s">
        <v>1035</v>
      </c>
      <c r="N297">
        <v>65.77</v>
      </c>
    </row>
    <row r="298" spans="1:14" x14ac:dyDescent="0.3">
      <c r="A298" t="s">
        <v>310</v>
      </c>
      <c r="B298" t="s">
        <v>1017</v>
      </c>
      <c r="C298" t="s">
        <v>1026</v>
      </c>
      <c r="D298">
        <v>39</v>
      </c>
      <c r="E298">
        <v>10</v>
      </c>
      <c r="F298" s="3">
        <v>79286</v>
      </c>
      <c r="G298">
        <v>44</v>
      </c>
      <c r="H298">
        <v>6</v>
      </c>
      <c r="I298">
        <v>17</v>
      </c>
      <c r="J298">
        <v>36</v>
      </c>
      <c r="K298">
        <v>2.4</v>
      </c>
      <c r="L298" s="3">
        <v>9</v>
      </c>
      <c r="M298" t="s">
        <v>1034</v>
      </c>
      <c r="N298">
        <v>71.2</v>
      </c>
    </row>
    <row r="299" spans="1:14" x14ac:dyDescent="0.3">
      <c r="A299" t="s">
        <v>311</v>
      </c>
      <c r="B299" t="s">
        <v>1014</v>
      </c>
      <c r="C299" t="s">
        <v>1031</v>
      </c>
      <c r="D299">
        <v>24</v>
      </c>
      <c r="E299">
        <v>0</v>
      </c>
      <c r="F299" s="3">
        <v>66037</v>
      </c>
      <c r="G299">
        <v>49</v>
      </c>
      <c r="H299">
        <v>1</v>
      </c>
      <c r="I299">
        <v>3</v>
      </c>
      <c r="J299">
        <v>10</v>
      </c>
      <c r="K299">
        <v>3.3</v>
      </c>
      <c r="L299" s="3">
        <v>3</v>
      </c>
      <c r="M299" t="s">
        <v>1036</v>
      </c>
      <c r="N299">
        <v>29.57</v>
      </c>
    </row>
    <row r="300" spans="1:14" x14ac:dyDescent="0.3">
      <c r="A300" t="s">
        <v>312</v>
      </c>
      <c r="B300" t="s">
        <v>1018</v>
      </c>
      <c r="C300" t="s">
        <v>1027</v>
      </c>
      <c r="D300">
        <v>30</v>
      </c>
      <c r="E300">
        <v>4</v>
      </c>
      <c r="F300" s="3">
        <v>35418</v>
      </c>
      <c r="G300">
        <v>43</v>
      </c>
      <c r="H300">
        <v>2</v>
      </c>
      <c r="I300">
        <v>20</v>
      </c>
      <c r="J300">
        <v>23</v>
      </c>
      <c r="K300">
        <v>2.8</v>
      </c>
      <c r="L300" s="3">
        <v>5.6</v>
      </c>
      <c r="M300" t="s">
        <v>1036</v>
      </c>
      <c r="N300">
        <v>45.33</v>
      </c>
    </row>
    <row r="301" spans="1:14" x14ac:dyDescent="0.3">
      <c r="A301" t="s">
        <v>313</v>
      </c>
      <c r="B301" t="s">
        <v>1018</v>
      </c>
      <c r="C301" t="s">
        <v>1028</v>
      </c>
      <c r="D301">
        <v>25</v>
      </c>
      <c r="E301">
        <v>3</v>
      </c>
      <c r="F301" s="3">
        <v>65999</v>
      </c>
      <c r="G301">
        <v>44</v>
      </c>
      <c r="H301">
        <v>12</v>
      </c>
      <c r="I301">
        <v>22</v>
      </c>
      <c r="J301">
        <v>14</v>
      </c>
      <c r="K301">
        <v>3.3</v>
      </c>
      <c r="L301" s="3">
        <v>3.6</v>
      </c>
      <c r="M301" t="s">
        <v>1036</v>
      </c>
      <c r="N301">
        <v>51.5</v>
      </c>
    </row>
    <row r="302" spans="1:14" x14ac:dyDescent="0.3">
      <c r="A302" t="s">
        <v>314</v>
      </c>
      <c r="B302" t="s">
        <v>1014</v>
      </c>
      <c r="C302" t="s">
        <v>1025</v>
      </c>
      <c r="D302">
        <v>35</v>
      </c>
      <c r="E302">
        <v>7</v>
      </c>
      <c r="F302" s="3">
        <v>30107</v>
      </c>
      <c r="G302">
        <v>39</v>
      </c>
      <c r="H302">
        <v>10</v>
      </c>
      <c r="I302">
        <v>7</v>
      </c>
      <c r="J302">
        <v>33</v>
      </c>
      <c r="K302">
        <v>4</v>
      </c>
      <c r="L302" s="3">
        <v>3.1</v>
      </c>
      <c r="M302" t="s">
        <v>1036</v>
      </c>
      <c r="N302">
        <v>47.27</v>
      </c>
    </row>
    <row r="303" spans="1:14" x14ac:dyDescent="0.3">
      <c r="A303" t="s">
        <v>315</v>
      </c>
      <c r="B303" t="s">
        <v>1016</v>
      </c>
      <c r="C303" t="s">
        <v>1023</v>
      </c>
      <c r="D303">
        <v>29</v>
      </c>
      <c r="E303">
        <v>6</v>
      </c>
      <c r="F303" s="3">
        <v>70484</v>
      </c>
      <c r="G303">
        <v>39</v>
      </c>
      <c r="H303">
        <v>8</v>
      </c>
      <c r="I303">
        <v>2</v>
      </c>
      <c r="J303">
        <v>14</v>
      </c>
      <c r="K303">
        <v>3.1</v>
      </c>
      <c r="L303" s="3">
        <v>8.1</v>
      </c>
      <c r="M303" t="s">
        <v>1034</v>
      </c>
      <c r="N303">
        <v>71.23</v>
      </c>
    </row>
    <row r="304" spans="1:14" x14ac:dyDescent="0.3">
      <c r="A304" t="s">
        <v>316</v>
      </c>
      <c r="B304" t="s">
        <v>1014</v>
      </c>
      <c r="C304" t="s">
        <v>1019</v>
      </c>
      <c r="D304">
        <v>42</v>
      </c>
      <c r="E304">
        <v>11</v>
      </c>
      <c r="F304" s="3">
        <v>82736</v>
      </c>
      <c r="G304">
        <v>44</v>
      </c>
      <c r="H304">
        <v>3</v>
      </c>
      <c r="I304">
        <v>12</v>
      </c>
      <c r="J304">
        <v>8</v>
      </c>
      <c r="K304">
        <v>3.9</v>
      </c>
      <c r="L304" s="3">
        <v>7.7</v>
      </c>
      <c r="M304" t="s">
        <v>1035</v>
      </c>
      <c r="N304">
        <v>62.9</v>
      </c>
    </row>
    <row r="305" spans="1:14" x14ac:dyDescent="0.3">
      <c r="A305" t="s">
        <v>317</v>
      </c>
      <c r="B305" t="s">
        <v>1015</v>
      </c>
      <c r="C305" t="s">
        <v>1020</v>
      </c>
      <c r="D305">
        <v>22</v>
      </c>
      <c r="E305">
        <v>0</v>
      </c>
      <c r="F305" s="3">
        <v>53842</v>
      </c>
      <c r="G305">
        <v>46</v>
      </c>
      <c r="H305">
        <v>12</v>
      </c>
      <c r="I305">
        <v>6</v>
      </c>
      <c r="J305">
        <v>40</v>
      </c>
      <c r="K305">
        <v>4.2</v>
      </c>
      <c r="L305" s="3">
        <v>9.4</v>
      </c>
      <c r="M305" t="s">
        <v>1034</v>
      </c>
      <c r="N305">
        <v>89</v>
      </c>
    </row>
    <row r="306" spans="1:14" x14ac:dyDescent="0.3">
      <c r="A306" t="s">
        <v>318</v>
      </c>
      <c r="B306" t="s">
        <v>1017</v>
      </c>
      <c r="C306" t="s">
        <v>1026</v>
      </c>
      <c r="D306">
        <v>35</v>
      </c>
      <c r="E306">
        <v>1</v>
      </c>
      <c r="F306" s="3">
        <v>83759</v>
      </c>
      <c r="G306">
        <v>38</v>
      </c>
      <c r="H306">
        <v>3</v>
      </c>
      <c r="I306">
        <v>24</v>
      </c>
      <c r="J306">
        <v>7</v>
      </c>
      <c r="K306">
        <v>3.8</v>
      </c>
      <c r="L306" s="3">
        <v>5.7</v>
      </c>
      <c r="M306" t="s">
        <v>1036</v>
      </c>
      <c r="N306">
        <v>50.6</v>
      </c>
    </row>
    <row r="307" spans="1:14" x14ac:dyDescent="0.3">
      <c r="A307" t="s">
        <v>319</v>
      </c>
      <c r="B307" t="s">
        <v>1016</v>
      </c>
      <c r="C307" t="s">
        <v>1033</v>
      </c>
      <c r="D307">
        <v>30</v>
      </c>
      <c r="E307">
        <v>3</v>
      </c>
      <c r="F307" s="3">
        <v>43151</v>
      </c>
      <c r="G307">
        <v>55</v>
      </c>
      <c r="H307">
        <v>2</v>
      </c>
      <c r="I307">
        <v>7</v>
      </c>
      <c r="J307">
        <v>35</v>
      </c>
      <c r="K307">
        <v>3.8</v>
      </c>
      <c r="L307" s="3">
        <v>8</v>
      </c>
      <c r="M307" t="s">
        <v>1034</v>
      </c>
      <c r="N307">
        <v>62.73</v>
      </c>
    </row>
    <row r="308" spans="1:14" x14ac:dyDescent="0.3">
      <c r="A308" t="s">
        <v>320</v>
      </c>
      <c r="B308" t="s">
        <v>1014</v>
      </c>
      <c r="C308" t="s">
        <v>1019</v>
      </c>
      <c r="D308">
        <v>41</v>
      </c>
      <c r="E308">
        <v>6</v>
      </c>
      <c r="F308" s="3">
        <v>58931</v>
      </c>
      <c r="G308">
        <v>54</v>
      </c>
      <c r="H308">
        <v>9</v>
      </c>
      <c r="I308">
        <v>6</v>
      </c>
      <c r="J308">
        <v>25</v>
      </c>
      <c r="K308">
        <v>2.9</v>
      </c>
      <c r="L308" s="3">
        <v>3.4</v>
      </c>
      <c r="M308" t="s">
        <v>1036</v>
      </c>
      <c r="N308">
        <v>44.1</v>
      </c>
    </row>
    <row r="309" spans="1:14" x14ac:dyDescent="0.3">
      <c r="A309" t="s">
        <v>321</v>
      </c>
      <c r="B309" t="s">
        <v>1017</v>
      </c>
      <c r="C309" t="s">
        <v>1026</v>
      </c>
      <c r="D309">
        <v>46</v>
      </c>
      <c r="E309">
        <v>3</v>
      </c>
      <c r="F309" s="3">
        <v>40799</v>
      </c>
      <c r="G309">
        <v>50</v>
      </c>
      <c r="H309">
        <v>11</v>
      </c>
      <c r="I309">
        <v>19</v>
      </c>
      <c r="J309">
        <v>4</v>
      </c>
      <c r="K309">
        <v>3.6</v>
      </c>
      <c r="L309" s="3">
        <v>9.8000000000000007</v>
      </c>
      <c r="M309" t="s">
        <v>1034</v>
      </c>
      <c r="N309">
        <v>87.93</v>
      </c>
    </row>
    <row r="310" spans="1:14" x14ac:dyDescent="0.3">
      <c r="A310" t="s">
        <v>322</v>
      </c>
      <c r="B310" t="s">
        <v>1016</v>
      </c>
      <c r="C310" t="s">
        <v>1023</v>
      </c>
      <c r="D310">
        <v>30</v>
      </c>
      <c r="E310">
        <v>6</v>
      </c>
      <c r="F310" s="3">
        <v>81414</v>
      </c>
      <c r="G310">
        <v>53</v>
      </c>
      <c r="H310">
        <v>7</v>
      </c>
      <c r="I310">
        <v>11</v>
      </c>
      <c r="J310">
        <v>34</v>
      </c>
      <c r="K310">
        <v>4</v>
      </c>
      <c r="L310" s="3">
        <v>8.3000000000000007</v>
      </c>
      <c r="M310" t="s">
        <v>1034</v>
      </c>
      <c r="N310">
        <v>73.47</v>
      </c>
    </row>
    <row r="311" spans="1:14" x14ac:dyDescent="0.3">
      <c r="A311" t="s">
        <v>323</v>
      </c>
      <c r="B311" t="s">
        <v>1014</v>
      </c>
      <c r="C311" t="s">
        <v>1025</v>
      </c>
      <c r="D311">
        <v>26</v>
      </c>
      <c r="E311">
        <v>0</v>
      </c>
      <c r="F311" s="3">
        <v>42182</v>
      </c>
      <c r="G311">
        <v>41</v>
      </c>
      <c r="H311">
        <v>1</v>
      </c>
      <c r="I311">
        <v>1</v>
      </c>
      <c r="J311">
        <v>25</v>
      </c>
      <c r="K311">
        <v>3.5</v>
      </c>
      <c r="L311" s="3">
        <v>7.4</v>
      </c>
      <c r="M311" t="s">
        <v>1035</v>
      </c>
      <c r="N311">
        <v>56.57</v>
      </c>
    </row>
    <row r="312" spans="1:14" x14ac:dyDescent="0.3">
      <c r="A312" t="s">
        <v>324</v>
      </c>
      <c r="B312" t="s">
        <v>1017</v>
      </c>
      <c r="C312" t="s">
        <v>1030</v>
      </c>
      <c r="D312">
        <v>49</v>
      </c>
      <c r="E312">
        <v>12</v>
      </c>
      <c r="F312" s="3">
        <v>30401</v>
      </c>
      <c r="G312">
        <v>55</v>
      </c>
      <c r="H312">
        <v>9</v>
      </c>
      <c r="I312">
        <v>17</v>
      </c>
      <c r="J312">
        <v>39</v>
      </c>
      <c r="K312">
        <v>2.5</v>
      </c>
      <c r="L312" s="3">
        <v>3.6</v>
      </c>
      <c r="M312" t="s">
        <v>1036</v>
      </c>
      <c r="N312">
        <v>44.1</v>
      </c>
    </row>
    <row r="313" spans="1:14" x14ac:dyDescent="0.3">
      <c r="A313" t="s">
        <v>325</v>
      </c>
      <c r="B313" t="s">
        <v>1015</v>
      </c>
      <c r="C313" t="s">
        <v>1020</v>
      </c>
      <c r="D313">
        <v>35</v>
      </c>
      <c r="E313">
        <v>12</v>
      </c>
      <c r="F313" s="3">
        <v>35182</v>
      </c>
      <c r="G313">
        <v>52</v>
      </c>
      <c r="H313">
        <v>6</v>
      </c>
      <c r="I313">
        <v>12</v>
      </c>
      <c r="J313">
        <v>37</v>
      </c>
      <c r="K313">
        <v>3.9</v>
      </c>
      <c r="L313" s="3">
        <v>8.8000000000000007</v>
      </c>
      <c r="M313" t="s">
        <v>1034</v>
      </c>
      <c r="N313">
        <v>74.5</v>
      </c>
    </row>
    <row r="314" spans="1:14" x14ac:dyDescent="0.3">
      <c r="A314" t="s">
        <v>326</v>
      </c>
      <c r="B314" t="s">
        <v>1014</v>
      </c>
      <c r="C314" t="s">
        <v>1025</v>
      </c>
      <c r="D314">
        <v>41</v>
      </c>
      <c r="E314">
        <v>13</v>
      </c>
      <c r="F314" s="3">
        <v>72838</v>
      </c>
      <c r="G314">
        <v>42</v>
      </c>
      <c r="H314">
        <v>1</v>
      </c>
      <c r="I314">
        <v>7</v>
      </c>
      <c r="J314">
        <v>5</v>
      </c>
      <c r="K314">
        <v>4.8</v>
      </c>
      <c r="L314" s="3">
        <v>3.8</v>
      </c>
      <c r="M314" t="s">
        <v>1036</v>
      </c>
      <c r="N314">
        <v>38.869999999999997</v>
      </c>
    </row>
    <row r="315" spans="1:14" x14ac:dyDescent="0.3">
      <c r="A315" t="s">
        <v>327</v>
      </c>
      <c r="B315" t="s">
        <v>1015</v>
      </c>
      <c r="C315" t="s">
        <v>1021</v>
      </c>
      <c r="D315">
        <v>25</v>
      </c>
      <c r="E315">
        <v>2</v>
      </c>
      <c r="F315" s="3">
        <v>68652</v>
      </c>
      <c r="G315">
        <v>40</v>
      </c>
      <c r="H315">
        <v>2</v>
      </c>
      <c r="I315">
        <v>0</v>
      </c>
      <c r="J315">
        <v>8</v>
      </c>
      <c r="K315">
        <v>4.0999999999999996</v>
      </c>
      <c r="L315" s="3">
        <v>4.0999999999999996</v>
      </c>
      <c r="M315" t="s">
        <v>1036</v>
      </c>
      <c r="N315">
        <v>40.229999999999997</v>
      </c>
    </row>
    <row r="316" spans="1:14" x14ac:dyDescent="0.3">
      <c r="A316" t="s">
        <v>328</v>
      </c>
      <c r="B316" t="s">
        <v>1015</v>
      </c>
      <c r="C316" t="s">
        <v>1029</v>
      </c>
      <c r="D316">
        <v>55</v>
      </c>
      <c r="E316">
        <v>8</v>
      </c>
      <c r="F316" s="3">
        <v>35942</v>
      </c>
      <c r="G316">
        <v>46</v>
      </c>
      <c r="H316">
        <v>3</v>
      </c>
      <c r="I316">
        <v>23</v>
      </c>
      <c r="J316">
        <v>17</v>
      </c>
      <c r="K316">
        <v>4.2</v>
      </c>
      <c r="L316" s="3">
        <v>3.8</v>
      </c>
      <c r="M316" t="s">
        <v>1036</v>
      </c>
      <c r="N316">
        <v>40.4</v>
      </c>
    </row>
    <row r="317" spans="1:14" x14ac:dyDescent="0.3">
      <c r="A317" t="s">
        <v>329</v>
      </c>
      <c r="B317" t="s">
        <v>1016</v>
      </c>
      <c r="C317" t="s">
        <v>1022</v>
      </c>
      <c r="D317">
        <v>49</v>
      </c>
      <c r="E317">
        <v>8</v>
      </c>
      <c r="F317" s="3">
        <v>59331</v>
      </c>
      <c r="G317">
        <v>37</v>
      </c>
      <c r="H317">
        <v>5</v>
      </c>
      <c r="I317">
        <v>22</v>
      </c>
      <c r="J317">
        <v>36</v>
      </c>
      <c r="K317">
        <v>3.9</v>
      </c>
      <c r="L317" s="3">
        <v>6.5</v>
      </c>
      <c r="M317" t="s">
        <v>1035</v>
      </c>
      <c r="N317">
        <v>59.03</v>
      </c>
    </row>
    <row r="318" spans="1:14" x14ac:dyDescent="0.3">
      <c r="A318" t="s">
        <v>330</v>
      </c>
      <c r="B318" t="s">
        <v>1016</v>
      </c>
      <c r="C318" t="s">
        <v>1022</v>
      </c>
      <c r="D318">
        <v>25</v>
      </c>
      <c r="E318">
        <v>3</v>
      </c>
      <c r="F318" s="3">
        <v>81319</v>
      </c>
      <c r="G318">
        <v>53</v>
      </c>
      <c r="H318">
        <v>3</v>
      </c>
      <c r="I318">
        <v>11</v>
      </c>
      <c r="J318">
        <v>10</v>
      </c>
      <c r="K318">
        <v>2.8</v>
      </c>
      <c r="L318" s="3">
        <v>3.7</v>
      </c>
      <c r="M318" t="s">
        <v>1036</v>
      </c>
      <c r="N318">
        <v>35.6</v>
      </c>
    </row>
    <row r="319" spans="1:14" x14ac:dyDescent="0.3">
      <c r="A319" t="s">
        <v>331</v>
      </c>
      <c r="B319" t="s">
        <v>1014</v>
      </c>
      <c r="C319" t="s">
        <v>1019</v>
      </c>
      <c r="D319">
        <v>36</v>
      </c>
      <c r="E319">
        <v>0</v>
      </c>
      <c r="F319" s="3">
        <v>27886</v>
      </c>
      <c r="G319">
        <v>35</v>
      </c>
      <c r="H319">
        <v>4</v>
      </c>
      <c r="I319">
        <v>1</v>
      </c>
      <c r="J319">
        <v>30</v>
      </c>
      <c r="K319">
        <v>3.1</v>
      </c>
      <c r="L319" s="3">
        <v>9.4</v>
      </c>
      <c r="M319" t="s">
        <v>1034</v>
      </c>
      <c r="N319">
        <v>72.37</v>
      </c>
    </row>
    <row r="320" spans="1:14" x14ac:dyDescent="0.3">
      <c r="A320" t="s">
        <v>332</v>
      </c>
      <c r="B320" t="s">
        <v>1014</v>
      </c>
      <c r="C320" t="s">
        <v>1031</v>
      </c>
      <c r="D320">
        <v>48</v>
      </c>
      <c r="E320">
        <v>7</v>
      </c>
      <c r="F320" s="3">
        <v>46089</v>
      </c>
      <c r="G320">
        <v>42</v>
      </c>
      <c r="H320">
        <v>7</v>
      </c>
      <c r="I320">
        <v>23</v>
      </c>
      <c r="J320">
        <v>20</v>
      </c>
      <c r="K320">
        <v>2.8</v>
      </c>
      <c r="L320" s="3">
        <v>3.5</v>
      </c>
      <c r="M320" t="s">
        <v>1036</v>
      </c>
      <c r="N320">
        <v>41.07</v>
      </c>
    </row>
    <row r="321" spans="1:14" x14ac:dyDescent="0.3">
      <c r="A321" t="s">
        <v>333</v>
      </c>
      <c r="B321" t="s">
        <v>1014</v>
      </c>
      <c r="C321" t="s">
        <v>1031</v>
      </c>
      <c r="D321">
        <v>54</v>
      </c>
      <c r="E321">
        <v>1</v>
      </c>
      <c r="F321" s="3">
        <v>36753</v>
      </c>
      <c r="G321">
        <v>42</v>
      </c>
      <c r="H321">
        <v>13</v>
      </c>
      <c r="I321">
        <v>16</v>
      </c>
      <c r="J321">
        <v>2</v>
      </c>
      <c r="K321">
        <v>4.9000000000000004</v>
      </c>
      <c r="L321" s="3">
        <v>3.5</v>
      </c>
      <c r="M321" t="s">
        <v>1036</v>
      </c>
      <c r="N321">
        <v>57.37</v>
      </c>
    </row>
    <row r="322" spans="1:14" x14ac:dyDescent="0.3">
      <c r="A322" t="s">
        <v>334</v>
      </c>
      <c r="B322" t="s">
        <v>1016</v>
      </c>
      <c r="C322" t="s">
        <v>1033</v>
      </c>
      <c r="D322">
        <v>41</v>
      </c>
      <c r="E322">
        <v>10</v>
      </c>
      <c r="F322" s="3">
        <v>30661</v>
      </c>
      <c r="G322">
        <v>52</v>
      </c>
      <c r="H322">
        <v>8</v>
      </c>
      <c r="I322">
        <v>0</v>
      </c>
      <c r="J322">
        <v>23</v>
      </c>
      <c r="K322">
        <v>2.6</v>
      </c>
      <c r="L322" s="3">
        <v>6.9</v>
      </c>
      <c r="M322" t="s">
        <v>1035</v>
      </c>
      <c r="N322">
        <v>62.53</v>
      </c>
    </row>
    <row r="323" spans="1:14" x14ac:dyDescent="0.3">
      <c r="A323" t="s">
        <v>335</v>
      </c>
      <c r="B323" t="s">
        <v>1015</v>
      </c>
      <c r="C323" t="s">
        <v>1029</v>
      </c>
      <c r="D323">
        <v>37</v>
      </c>
      <c r="E323">
        <v>14</v>
      </c>
      <c r="F323" s="3">
        <v>49135</v>
      </c>
      <c r="G323">
        <v>53</v>
      </c>
      <c r="H323">
        <v>8</v>
      </c>
      <c r="I323">
        <v>24</v>
      </c>
      <c r="J323">
        <v>12</v>
      </c>
      <c r="K323">
        <v>4.2</v>
      </c>
      <c r="L323" s="3">
        <v>6.8</v>
      </c>
      <c r="M323" t="s">
        <v>1035</v>
      </c>
      <c r="N323">
        <v>66.73</v>
      </c>
    </row>
    <row r="324" spans="1:14" x14ac:dyDescent="0.3">
      <c r="A324" t="s">
        <v>336</v>
      </c>
      <c r="B324" t="s">
        <v>1018</v>
      </c>
      <c r="C324" t="s">
        <v>1032</v>
      </c>
      <c r="D324">
        <v>22</v>
      </c>
      <c r="E324">
        <v>1</v>
      </c>
      <c r="F324" s="3">
        <v>26566</v>
      </c>
      <c r="G324">
        <v>42</v>
      </c>
      <c r="H324">
        <v>9</v>
      </c>
      <c r="I324">
        <v>11</v>
      </c>
      <c r="J324">
        <v>40</v>
      </c>
      <c r="K324">
        <v>4.5</v>
      </c>
      <c r="L324" s="3">
        <v>9.1</v>
      </c>
      <c r="M324" t="s">
        <v>1034</v>
      </c>
      <c r="N324">
        <v>83.1</v>
      </c>
    </row>
    <row r="325" spans="1:14" x14ac:dyDescent="0.3">
      <c r="A325" t="s">
        <v>337</v>
      </c>
      <c r="B325" t="s">
        <v>1014</v>
      </c>
      <c r="C325" t="s">
        <v>1019</v>
      </c>
      <c r="D325">
        <v>46</v>
      </c>
      <c r="E325">
        <v>9</v>
      </c>
      <c r="F325" s="3">
        <v>31812</v>
      </c>
      <c r="G325">
        <v>41</v>
      </c>
      <c r="H325">
        <v>9</v>
      </c>
      <c r="I325">
        <v>7</v>
      </c>
      <c r="J325">
        <v>26</v>
      </c>
      <c r="K325">
        <v>3.5</v>
      </c>
      <c r="L325" s="3">
        <v>3.4</v>
      </c>
      <c r="M325" t="s">
        <v>1036</v>
      </c>
      <c r="N325">
        <v>45.9</v>
      </c>
    </row>
    <row r="326" spans="1:14" x14ac:dyDescent="0.3">
      <c r="A326" t="s">
        <v>338</v>
      </c>
      <c r="B326" t="s">
        <v>1016</v>
      </c>
      <c r="C326" t="s">
        <v>1022</v>
      </c>
      <c r="D326">
        <v>27</v>
      </c>
      <c r="E326">
        <v>0</v>
      </c>
      <c r="F326" s="3">
        <v>85376</v>
      </c>
      <c r="G326">
        <v>42</v>
      </c>
      <c r="H326">
        <v>15</v>
      </c>
      <c r="I326">
        <v>16</v>
      </c>
      <c r="J326">
        <v>26</v>
      </c>
      <c r="K326">
        <v>4.0999999999999996</v>
      </c>
      <c r="L326" s="3">
        <v>5.6</v>
      </c>
      <c r="M326" t="s">
        <v>1036</v>
      </c>
      <c r="N326">
        <v>70.900000000000006</v>
      </c>
    </row>
    <row r="327" spans="1:14" x14ac:dyDescent="0.3">
      <c r="A327" t="s">
        <v>339</v>
      </c>
      <c r="B327" t="s">
        <v>1014</v>
      </c>
      <c r="C327" t="s">
        <v>1019</v>
      </c>
      <c r="D327">
        <v>28</v>
      </c>
      <c r="E327">
        <v>2</v>
      </c>
      <c r="F327" s="3">
        <v>66760</v>
      </c>
      <c r="G327">
        <v>47</v>
      </c>
      <c r="H327">
        <v>2</v>
      </c>
      <c r="I327">
        <v>18</v>
      </c>
      <c r="J327">
        <v>36</v>
      </c>
      <c r="K327">
        <v>2.2000000000000002</v>
      </c>
      <c r="L327" s="3">
        <v>7.6</v>
      </c>
      <c r="M327" t="s">
        <v>1035</v>
      </c>
      <c r="N327">
        <v>55.53</v>
      </c>
    </row>
    <row r="328" spans="1:14" x14ac:dyDescent="0.3">
      <c r="A328" t="s">
        <v>340</v>
      </c>
      <c r="B328" t="s">
        <v>1018</v>
      </c>
      <c r="C328" t="s">
        <v>1032</v>
      </c>
      <c r="D328">
        <v>40</v>
      </c>
      <c r="E328">
        <v>8</v>
      </c>
      <c r="F328" s="3">
        <v>80765</v>
      </c>
      <c r="G328">
        <v>45</v>
      </c>
      <c r="H328">
        <v>15</v>
      </c>
      <c r="I328">
        <v>25</v>
      </c>
      <c r="J328">
        <v>25</v>
      </c>
      <c r="K328">
        <v>4.0999999999999996</v>
      </c>
      <c r="L328" s="3">
        <v>8.1</v>
      </c>
      <c r="M328" t="s">
        <v>1034</v>
      </c>
      <c r="N328">
        <v>85.9</v>
      </c>
    </row>
    <row r="329" spans="1:14" x14ac:dyDescent="0.3">
      <c r="A329" t="s">
        <v>341</v>
      </c>
      <c r="B329" t="s">
        <v>1017</v>
      </c>
      <c r="C329" t="s">
        <v>1026</v>
      </c>
      <c r="D329">
        <v>39</v>
      </c>
      <c r="E329">
        <v>7</v>
      </c>
      <c r="F329" s="3">
        <v>29894</v>
      </c>
      <c r="G329">
        <v>41</v>
      </c>
      <c r="H329">
        <v>3</v>
      </c>
      <c r="I329">
        <v>24</v>
      </c>
      <c r="J329">
        <v>37</v>
      </c>
      <c r="K329">
        <v>2.2999999999999998</v>
      </c>
      <c r="L329" s="3">
        <v>3.7</v>
      </c>
      <c r="M329" t="s">
        <v>1036</v>
      </c>
      <c r="N329">
        <v>34.1</v>
      </c>
    </row>
    <row r="330" spans="1:14" x14ac:dyDescent="0.3">
      <c r="A330" t="s">
        <v>342</v>
      </c>
      <c r="B330" t="s">
        <v>1017</v>
      </c>
      <c r="C330" t="s">
        <v>1030</v>
      </c>
      <c r="D330">
        <v>42</v>
      </c>
      <c r="E330">
        <v>13</v>
      </c>
      <c r="F330" s="3">
        <v>32912</v>
      </c>
      <c r="G330">
        <v>52</v>
      </c>
      <c r="H330">
        <v>6</v>
      </c>
      <c r="I330">
        <v>24</v>
      </c>
      <c r="J330">
        <v>13</v>
      </c>
      <c r="K330">
        <v>3.4</v>
      </c>
      <c r="L330" s="3">
        <v>6.2</v>
      </c>
      <c r="M330" t="s">
        <v>1035</v>
      </c>
      <c r="N330">
        <v>57.4</v>
      </c>
    </row>
    <row r="331" spans="1:14" x14ac:dyDescent="0.3">
      <c r="A331" t="s">
        <v>343</v>
      </c>
      <c r="B331" t="s">
        <v>1014</v>
      </c>
      <c r="C331" t="s">
        <v>1031</v>
      </c>
      <c r="D331">
        <v>32</v>
      </c>
      <c r="E331">
        <v>10</v>
      </c>
      <c r="F331" s="3">
        <v>44937</v>
      </c>
      <c r="G331">
        <v>54</v>
      </c>
      <c r="H331">
        <v>1</v>
      </c>
      <c r="I331">
        <v>6</v>
      </c>
      <c r="J331">
        <v>20</v>
      </c>
      <c r="K331">
        <v>2.4</v>
      </c>
      <c r="L331" s="3">
        <v>8</v>
      </c>
      <c r="M331" t="s">
        <v>1034</v>
      </c>
      <c r="N331">
        <v>56.87</v>
      </c>
    </row>
    <row r="332" spans="1:14" x14ac:dyDescent="0.3">
      <c r="A332" t="s">
        <v>344</v>
      </c>
      <c r="B332" t="s">
        <v>1017</v>
      </c>
      <c r="C332" t="s">
        <v>1024</v>
      </c>
      <c r="D332">
        <v>54</v>
      </c>
      <c r="E332">
        <v>1</v>
      </c>
      <c r="F332" s="3">
        <v>69379</v>
      </c>
      <c r="G332">
        <v>44</v>
      </c>
      <c r="H332">
        <v>5</v>
      </c>
      <c r="I332">
        <v>5</v>
      </c>
      <c r="J332">
        <v>1</v>
      </c>
      <c r="K332">
        <v>4.9000000000000004</v>
      </c>
      <c r="L332" s="3">
        <v>9</v>
      </c>
      <c r="M332" t="s">
        <v>1034</v>
      </c>
      <c r="N332">
        <v>77.03</v>
      </c>
    </row>
    <row r="333" spans="1:14" x14ac:dyDescent="0.3">
      <c r="A333" t="s">
        <v>345</v>
      </c>
      <c r="B333" t="s">
        <v>1015</v>
      </c>
      <c r="C333" t="s">
        <v>1029</v>
      </c>
      <c r="D333">
        <v>37</v>
      </c>
      <c r="E333">
        <v>3</v>
      </c>
      <c r="F333" s="3">
        <v>55280</v>
      </c>
      <c r="G333">
        <v>38</v>
      </c>
      <c r="H333">
        <v>13</v>
      </c>
      <c r="I333">
        <v>25</v>
      </c>
      <c r="J333">
        <v>8</v>
      </c>
      <c r="K333">
        <v>2.4</v>
      </c>
      <c r="L333" s="3">
        <v>3.4</v>
      </c>
      <c r="M333" t="s">
        <v>1036</v>
      </c>
      <c r="N333">
        <v>49.27</v>
      </c>
    </row>
    <row r="334" spans="1:14" x14ac:dyDescent="0.3">
      <c r="A334" t="s">
        <v>346</v>
      </c>
      <c r="B334" t="s">
        <v>1018</v>
      </c>
      <c r="C334" t="s">
        <v>1028</v>
      </c>
      <c r="D334">
        <v>34</v>
      </c>
      <c r="E334">
        <v>13</v>
      </c>
      <c r="F334" s="3">
        <v>51252</v>
      </c>
      <c r="G334">
        <v>46</v>
      </c>
      <c r="H334">
        <v>11</v>
      </c>
      <c r="I334">
        <v>20</v>
      </c>
      <c r="J334">
        <v>5</v>
      </c>
      <c r="K334">
        <v>3.7</v>
      </c>
      <c r="L334" s="3">
        <v>4.8</v>
      </c>
      <c r="M334" t="s">
        <v>1036</v>
      </c>
      <c r="N334">
        <v>58.23</v>
      </c>
    </row>
    <row r="335" spans="1:14" x14ac:dyDescent="0.3">
      <c r="A335" t="s">
        <v>347</v>
      </c>
      <c r="B335" t="s">
        <v>1014</v>
      </c>
      <c r="C335" t="s">
        <v>1031</v>
      </c>
      <c r="D335">
        <v>26</v>
      </c>
      <c r="E335">
        <v>1</v>
      </c>
      <c r="F335" s="3">
        <v>84145</v>
      </c>
      <c r="G335">
        <v>55</v>
      </c>
      <c r="H335">
        <v>8</v>
      </c>
      <c r="I335">
        <v>25</v>
      </c>
      <c r="J335">
        <v>8</v>
      </c>
      <c r="K335">
        <v>2.2999999999999998</v>
      </c>
      <c r="L335" s="3">
        <v>8.9</v>
      </c>
      <c r="M335" t="s">
        <v>1034</v>
      </c>
      <c r="N335">
        <v>73.63</v>
      </c>
    </row>
    <row r="336" spans="1:14" x14ac:dyDescent="0.3">
      <c r="A336" t="s">
        <v>348</v>
      </c>
      <c r="B336" t="s">
        <v>1014</v>
      </c>
      <c r="C336" t="s">
        <v>1019</v>
      </c>
      <c r="D336">
        <v>24</v>
      </c>
      <c r="E336">
        <v>3</v>
      </c>
      <c r="F336" s="3">
        <v>28318</v>
      </c>
      <c r="G336">
        <v>40</v>
      </c>
      <c r="H336">
        <v>15</v>
      </c>
      <c r="I336">
        <v>18</v>
      </c>
      <c r="J336">
        <v>27</v>
      </c>
      <c r="K336">
        <v>4.5</v>
      </c>
      <c r="L336" s="3">
        <v>5.8</v>
      </c>
      <c r="M336" t="s">
        <v>1036</v>
      </c>
      <c r="N336">
        <v>73.3</v>
      </c>
    </row>
    <row r="337" spans="1:14" x14ac:dyDescent="0.3">
      <c r="A337" t="s">
        <v>349</v>
      </c>
      <c r="B337" t="s">
        <v>1017</v>
      </c>
      <c r="C337" t="s">
        <v>1030</v>
      </c>
      <c r="D337">
        <v>49</v>
      </c>
      <c r="E337">
        <v>5</v>
      </c>
      <c r="F337" s="3">
        <v>48196</v>
      </c>
      <c r="G337">
        <v>41</v>
      </c>
      <c r="H337">
        <v>15</v>
      </c>
      <c r="I337">
        <v>5</v>
      </c>
      <c r="J337">
        <v>17</v>
      </c>
      <c r="K337">
        <v>2.8</v>
      </c>
      <c r="L337" s="3">
        <v>9.1999999999999993</v>
      </c>
      <c r="M337" t="s">
        <v>1034</v>
      </c>
      <c r="N337">
        <v>88.6</v>
      </c>
    </row>
    <row r="338" spans="1:14" x14ac:dyDescent="0.3">
      <c r="A338" t="s">
        <v>350</v>
      </c>
      <c r="B338" t="s">
        <v>1015</v>
      </c>
      <c r="C338" t="s">
        <v>1029</v>
      </c>
      <c r="D338">
        <v>37</v>
      </c>
      <c r="E338">
        <v>9</v>
      </c>
      <c r="F338" s="3">
        <v>57695</v>
      </c>
      <c r="G338">
        <v>48</v>
      </c>
      <c r="H338">
        <v>15</v>
      </c>
      <c r="I338">
        <v>17</v>
      </c>
      <c r="J338">
        <v>30</v>
      </c>
      <c r="K338">
        <v>2.2000000000000002</v>
      </c>
      <c r="L338" s="3">
        <v>5</v>
      </c>
      <c r="M338" t="s">
        <v>1036</v>
      </c>
      <c r="N338">
        <v>61.6</v>
      </c>
    </row>
    <row r="339" spans="1:14" x14ac:dyDescent="0.3">
      <c r="A339" t="s">
        <v>351</v>
      </c>
      <c r="B339" t="s">
        <v>1017</v>
      </c>
      <c r="C339" t="s">
        <v>1024</v>
      </c>
      <c r="D339">
        <v>34</v>
      </c>
      <c r="E339">
        <v>10</v>
      </c>
      <c r="F339" s="3">
        <v>82976</v>
      </c>
      <c r="G339">
        <v>51</v>
      </c>
      <c r="H339">
        <v>4</v>
      </c>
      <c r="I339">
        <v>20</v>
      </c>
      <c r="J339">
        <v>34</v>
      </c>
      <c r="K339">
        <v>4.4000000000000004</v>
      </c>
      <c r="L339" s="3">
        <v>9.9</v>
      </c>
      <c r="M339" t="s">
        <v>1034</v>
      </c>
      <c r="N339">
        <v>79.27</v>
      </c>
    </row>
    <row r="340" spans="1:14" x14ac:dyDescent="0.3">
      <c r="A340" t="s">
        <v>352</v>
      </c>
      <c r="B340" t="s">
        <v>1016</v>
      </c>
      <c r="C340" t="s">
        <v>1022</v>
      </c>
      <c r="D340">
        <v>52</v>
      </c>
      <c r="E340">
        <v>15</v>
      </c>
      <c r="F340" s="3">
        <v>47546</v>
      </c>
      <c r="G340">
        <v>53</v>
      </c>
      <c r="H340">
        <v>9</v>
      </c>
      <c r="I340">
        <v>10</v>
      </c>
      <c r="J340">
        <v>24</v>
      </c>
      <c r="K340">
        <v>2.8</v>
      </c>
      <c r="L340" s="3">
        <v>3.2</v>
      </c>
      <c r="M340" t="s">
        <v>1036</v>
      </c>
      <c r="N340">
        <v>42.6</v>
      </c>
    </row>
    <row r="341" spans="1:14" x14ac:dyDescent="0.3">
      <c r="A341" t="s">
        <v>353</v>
      </c>
      <c r="B341" t="s">
        <v>1018</v>
      </c>
      <c r="C341" t="s">
        <v>1028</v>
      </c>
      <c r="D341">
        <v>23</v>
      </c>
      <c r="E341">
        <v>1</v>
      </c>
      <c r="F341" s="3">
        <v>28839</v>
      </c>
      <c r="G341">
        <v>50</v>
      </c>
      <c r="H341">
        <v>9</v>
      </c>
      <c r="I341">
        <v>11</v>
      </c>
      <c r="J341">
        <v>37</v>
      </c>
      <c r="K341">
        <v>5</v>
      </c>
      <c r="L341" s="3">
        <v>9.8000000000000007</v>
      </c>
      <c r="M341" t="s">
        <v>1034</v>
      </c>
      <c r="N341">
        <v>88.8</v>
      </c>
    </row>
    <row r="342" spans="1:14" x14ac:dyDescent="0.3">
      <c r="A342" t="s">
        <v>354</v>
      </c>
      <c r="B342" t="s">
        <v>1018</v>
      </c>
      <c r="C342" t="s">
        <v>1032</v>
      </c>
      <c r="D342">
        <v>37</v>
      </c>
      <c r="E342">
        <v>8</v>
      </c>
      <c r="F342" s="3">
        <v>59975</v>
      </c>
      <c r="G342">
        <v>36</v>
      </c>
      <c r="H342">
        <v>13</v>
      </c>
      <c r="I342">
        <v>7</v>
      </c>
      <c r="J342">
        <v>36</v>
      </c>
      <c r="K342">
        <v>4.5</v>
      </c>
      <c r="L342" s="3">
        <v>8.6</v>
      </c>
      <c r="M342" t="s">
        <v>1034</v>
      </c>
      <c r="N342">
        <v>86.77</v>
      </c>
    </row>
    <row r="343" spans="1:14" x14ac:dyDescent="0.3">
      <c r="A343" t="s">
        <v>355</v>
      </c>
      <c r="B343" t="s">
        <v>1018</v>
      </c>
      <c r="C343" t="s">
        <v>1027</v>
      </c>
      <c r="D343">
        <v>33</v>
      </c>
      <c r="E343">
        <v>3</v>
      </c>
      <c r="F343" s="3">
        <v>63831</v>
      </c>
      <c r="G343">
        <v>45</v>
      </c>
      <c r="H343">
        <v>13</v>
      </c>
      <c r="I343">
        <v>23</v>
      </c>
      <c r="J343">
        <v>22</v>
      </c>
      <c r="K343">
        <v>4.7</v>
      </c>
      <c r="L343" s="3">
        <v>3.2</v>
      </c>
      <c r="M343" t="s">
        <v>1036</v>
      </c>
      <c r="N343">
        <v>54.97</v>
      </c>
    </row>
    <row r="344" spans="1:14" x14ac:dyDescent="0.3">
      <c r="A344" t="s">
        <v>356</v>
      </c>
      <c r="B344" t="s">
        <v>1016</v>
      </c>
      <c r="C344" t="s">
        <v>1023</v>
      </c>
      <c r="D344">
        <v>31</v>
      </c>
      <c r="E344">
        <v>9</v>
      </c>
      <c r="F344" s="3">
        <v>87152</v>
      </c>
      <c r="G344">
        <v>41</v>
      </c>
      <c r="H344">
        <v>14</v>
      </c>
      <c r="I344">
        <v>25</v>
      </c>
      <c r="J344">
        <v>31</v>
      </c>
      <c r="K344">
        <v>3.6</v>
      </c>
      <c r="L344" s="3">
        <v>4.2</v>
      </c>
      <c r="M344" t="s">
        <v>1036</v>
      </c>
      <c r="N344">
        <v>59.33</v>
      </c>
    </row>
    <row r="345" spans="1:14" x14ac:dyDescent="0.3">
      <c r="A345" t="s">
        <v>357</v>
      </c>
      <c r="B345" t="s">
        <v>1014</v>
      </c>
      <c r="C345" t="s">
        <v>1019</v>
      </c>
      <c r="D345">
        <v>25</v>
      </c>
      <c r="E345">
        <v>1</v>
      </c>
      <c r="F345" s="3">
        <v>64430</v>
      </c>
      <c r="G345">
        <v>42</v>
      </c>
      <c r="H345">
        <v>1</v>
      </c>
      <c r="I345">
        <v>16</v>
      </c>
      <c r="J345">
        <v>30</v>
      </c>
      <c r="K345">
        <v>2</v>
      </c>
      <c r="L345" s="3">
        <v>9.4</v>
      </c>
      <c r="M345" t="s">
        <v>1034</v>
      </c>
      <c r="N345">
        <v>64.069999999999993</v>
      </c>
    </row>
    <row r="346" spans="1:14" x14ac:dyDescent="0.3">
      <c r="A346" t="s">
        <v>358</v>
      </c>
      <c r="B346" t="s">
        <v>1018</v>
      </c>
      <c r="C346" t="s">
        <v>1028</v>
      </c>
      <c r="D346">
        <v>43</v>
      </c>
      <c r="E346">
        <v>5</v>
      </c>
      <c r="F346" s="3">
        <v>85213</v>
      </c>
      <c r="G346">
        <v>45</v>
      </c>
      <c r="H346">
        <v>1</v>
      </c>
      <c r="I346">
        <v>0</v>
      </c>
      <c r="J346">
        <v>9</v>
      </c>
      <c r="K346">
        <v>3.8</v>
      </c>
      <c r="L346" s="3">
        <v>9.4</v>
      </c>
      <c r="M346" t="s">
        <v>1034</v>
      </c>
      <c r="N346">
        <v>69.47</v>
      </c>
    </row>
    <row r="347" spans="1:14" x14ac:dyDescent="0.3">
      <c r="A347" t="s">
        <v>359</v>
      </c>
      <c r="B347" t="s">
        <v>1015</v>
      </c>
      <c r="C347" t="s">
        <v>1029</v>
      </c>
      <c r="D347">
        <v>45</v>
      </c>
      <c r="E347">
        <v>2</v>
      </c>
      <c r="F347" s="3">
        <v>49483</v>
      </c>
      <c r="G347">
        <v>47</v>
      </c>
      <c r="H347">
        <v>10</v>
      </c>
      <c r="I347">
        <v>3</v>
      </c>
      <c r="J347">
        <v>21</v>
      </c>
      <c r="K347">
        <v>2.9</v>
      </c>
      <c r="L347" s="3">
        <v>4</v>
      </c>
      <c r="M347" t="s">
        <v>1036</v>
      </c>
      <c r="N347">
        <v>49.37</v>
      </c>
    </row>
    <row r="348" spans="1:14" x14ac:dyDescent="0.3">
      <c r="A348" t="s">
        <v>360</v>
      </c>
      <c r="B348" t="s">
        <v>1017</v>
      </c>
      <c r="C348" t="s">
        <v>1030</v>
      </c>
      <c r="D348">
        <v>53</v>
      </c>
      <c r="E348">
        <v>10</v>
      </c>
      <c r="F348" s="3">
        <v>36416</v>
      </c>
      <c r="G348">
        <v>52</v>
      </c>
      <c r="H348">
        <v>12</v>
      </c>
      <c r="I348">
        <v>19</v>
      </c>
      <c r="J348">
        <v>22</v>
      </c>
      <c r="K348">
        <v>2.7</v>
      </c>
      <c r="L348" s="3">
        <v>7.1</v>
      </c>
      <c r="M348" t="s">
        <v>1035</v>
      </c>
      <c r="N348">
        <v>70.7</v>
      </c>
    </row>
    <row r="349" spans="1:14" x14ac:dyDescent="0.3">
      <c r="A349" t="s">
        <v>361</v>
      </c>
      <c r="B349" t="s">
        <v>1017</v>
      </c>
      <c r="C349" t="s">
        <v>1024</v>
      </c>
      <c r="D349">
        <v>41</v>
      </c>
      <c r="E349">
        <v>9</v>
      </c>
      <c r="F349" s="3">
        <v>33345</v>
      </c>
      <c r="G349">
        <v>40</v>
      </c>
      <c r="H349">
        <v>12</v>
      </c>
      <c r="I349">
        <v>0</v>
      </c>
      <c r="J349">
        <v>36</v>
      </c>
      <c r="K349">
        <v>3.2</v>
      </c>
      <c r="L349" s="3">
        <v>10</v>
      </c>
      <c r="M349" t="s">
        <v>1034</v>
      </c>
      <c r="N349">
        <v>89.6</v>
      </c>
    </row>
    <row r="350" spans="1:14" x14ac:dyDescent="0.3">
      <c r="A350" t="s">
        <v>362</v>
      </c>
      <c r="B350" t="s">
        <v>1014</v>
      </c>
      <c r="C350" t="s">
        <v>1031</v>
      </c>
      <c r="D350">
        <v>33</v>
      </c>
      <c r="E350">
        <v>9</v>
      </c>
      <c r="F350" s="3">
        <v>45854</v>
      </c>
      <c r="G350">
        <v>54</v>
      </c>
      <c r="H350">
        <v>4</v>
      </c>
      <c r="I350">
        <v>20</v>
      </c>
      <c r="J350">
        <v>36</v>
      </c>
      <c r="K350">
        <v>2.2999999999999998</v>
      </c>
      <c r="L350" s="3">
        <v>6.5</v>
      </c>
      <c r="M350" t="s">
        <v>1035</v>
      </c>
      <c r="N350">
        <v>52.57</v>
      </c>
    </row>
    <row r="351" spans="1:14" x14ac:dyDescent="0.3">
      <c r="A351" t="s">
        <v>363</v>
      </c>
      <c r="B351" t="s">
        <v>1014</v>
      </c>
      <c r="C351" t="s">
        <v>1025</v>
      </c>
      <c r="D351">
        <v>37</v>
      </c>
      <c r="E351">
        <v>11</v>
      </c>
      <c r="F351" s="3">
        <v>89381</v>
      </c>
      <c r="G351">
        <v>45</v>
      </c>
      <c r="H351">
        <v>3</v>
      </c>
      <c r="I351">
        <v>20</v>
      </c>
      <c r="J351">
        <v>5</v>
      </c>
      <c r="K351">
        <v>4.5</v>
      </c>
      <c r="L351" s="3">
        <v>7.7</v>
      </c>
      <c r="M351" t="s">
        <v>1035</v>
      </c>
      <c r="N351">
        <v>64.7</v>
      </c>
    </row>
    <row r="352" spans="1:14" x14ac:dyDescent="0.3">
      <c r="A352" t="s">
        <v>364</v>
      </c>
      <c r="B352" t="s">
        <v>1016</v>
      </c>
      <c r="C352" t="s">
        <v>1022</v>
      </c>
      <c r="D352">
        <v>50</v>
      </c>
      <c r="E352">
        <v>0</v>
      </c>
      <c r="F352" s="3">
        <v>42380</v>
      </c>
      <c r="G352">
        <v>41</v>
      </c>
      <c r="H352">
        <v>4</v>
      </c>
      <c r="I352">
        <v>22</v>
      </c>
      <c r="J352">
        <v>4</v>
      </c>
      <c r="K352">
        <v>3.1</v>
      </c>
      <c r="L352" s="3">
        <v>8.5</v>
      </c>
      <c r="M352" t="s">
        <v>1034</v>
      </c>
      <c r="N352">
        <v>66.97</v>
      </c>
    </row>
    <row r="353" spans="1:14" x14ac:dyDescent="0.3">
      <c r="A353" t="s">
        <v>365</v>
      </c>
      <c r="B353" t="s">
        <v>1014</v>
      </c>
      <c r="C353" t="s">
        <v>1031</v>
      </c>
      <c r="D353">
        <v>25</v>
      </c>
      <c r="E353">
        <v>3</v>
      </c>
      <c r="F353" s="3">
        <v>53719</v>
      </c>
      <c r="G353">
        <v>48</v>
      </c>
      <c r="H353">
        <v>3</v>
      </c>
      <c r="I353">
        <v>13</v>
      </c>
      <c r="J353">
        <v>31</v>
      </c>
      <c r="K353">
        <v>4.5999999999999996</v>
      </c>
      <c r="L353" s="3">
        <v>5.5</v>
      </c>
      <c r="M353" t="s">
        <v>1036</v>
      </c>
      <c r="N353">
        <v>51.8</v>
      </c>
    </row>
    <row r="354" spans="1:14" x14ac:dyDescent="0.3">
      <c r="A354" t="s">
        <v>366</v>
      </c>
      <c r="B354" t="s">
        <v>1014</v>
      </c>
      <c r="C354" t="s">
        <v>1019</v>
      </c>
      <c r="D354">
        <v>52</v>
      </c>
      <c r="E354">
        <v>7</v>
      </c>
      <c r="F354" s="3">
        <v>35659</v>
      </c>
      <c r="G354">
        <v>49</v>
      </c>
      <c r="H354">
        <v>2</v>
      </c>
      <c r="I354">
        <v>25</v>
      </c>
      <c r="J354">
        <v>2</v>
      </c>
      <c r="K354">
        <v>2.9</v>
      </c>
      <c r="L354" s="3">
        <v>5.2</v>
      </c>
      <c r="M354" t="s">
        <v>1036</v>
      </c>
      <c r="N354">
        <v>43.23</v>
      </c>
    </row>
    <row r="355" spans="1:14" x14ac:dyDescent="0.3">
      <c r="A355" t="s">
        <v>367</v>
      </c>
      <c r="B355" t="s">
        <v>1014</v>
      </c>
      <c r="C355" t="s">
        <v>1019</v>
      </c>
      <c r="D355">
        <v>43</v>
      </c>
      <c r="E355">
        <v>5</v>
      </c>
      <c r="F355" s="3">
        <v>83191</v>
      </c>
      <c r="G355">
        <v>47</v>
      </c>
      <c r="H355">
        <v>3</v>
      </c>
      <c r="I355">
        <v>23</v>
      </c>
      <c r="J355">
        <v>4</v>
      </c>
      <c r="K355">
        <v>3.6</v>
      </c>
      <c r="L355" s="3">
        <v>9.3000000000000007</v>
      </c>
      <c r="M355" t="s">
        <v>1034</v>
      </c>
      <c r="N355">
        <v>71.599999999999994</v>
      </c>
    </row>
    <row r="356" spans="1:14" x14ac:dyDescent="0.3">
      <c r="A356" t="s">
        <v>368</v>
      </c>
      <c r="B356" t="s">
        <v>1016</v>
      </c>
      <c r="C356" t="s">
        <v>1023</v>
      </c>
      <c r="D356">
        <v>52</v>
      </c>
      <c r="E356">
        <v>0</v>
      </c>
      <c r="F356" s="3">
        <v>53267</v>
      </c>
      <c r="G356">
        <v>55</v>
      </c>
      <c r="H356">
        <v>3</v>
      </c>
      <c r="I356">
        <v>19</v>
      </c>
      <c r="J356">
        <v>27</v>
      </c>
      <c r="K356">
        <v>2.5</v>
      </c>
      <c r="L356" s="3">
        <v>3.7</v>
      </c>
      <c r="M356" t="s">
        <v>1036</v>
      </c>
      <c r="N356">
        <v>34.700000000000003</v>
      </c>
    </row>
    <row r="357" spans="1:14" x14ac:dyDescent="0.3">
      <c r="A357" t="s">
        <v>369</v>
      </c>
      <c r="B357" t="s">
        <v>1018</v>
      </c>
      <c r="C357" t="s">
        <v>1032</v>
      </c>
      <c r="D357">
        <v>48</v>
      </c>
      <c r="E357">
        <v>8</v>
      </c>
      <c r="F357" s="3">
        <v>68292</v>
      </c>
      <c r="G357">
        <v>44</v>
      </c>
      <c r="H357">
        <v>5</v>
      </c>
      <c r="I357">
        <v>7</v>
      </c>
      <c r="J357">
        <v>6</v>
      </c>
      <c r="K357">
        <v>2.1</v>
      </c>
      <c r="L357" s="3">
        <v>7</v>
      </c>
      <c r="M357" t="s">
        <v>1035</v>
      </c>
      <c r="N357">
        <v>56.63</v>
      </c>
    </row>
    <row r="358" spans="1:14" x14ac:dyDescent="0.3">
      <c r="A358" t="s">
        <v>370</v>
      </c>
      <c r="B358" t="s">
        <v>1018</v>
      </c>
      <c r="C358" t="s">
        <v>1028</v>
      </c>
      <c r="D358">
        <v>25</v>
      </c>
      <c r="E358">
        <v>2</v>
      </c>
      <c r="F358" s="3">
        <v>25250</v>
      </c>
      <c r="G358">
        <v>48</v>
      </c>
      <c r="H358">
        <v>2</v>
      </c>
      <c r="I358">
        <v>9</v>
      </c>
      <c r="J358">
        <v>40</v>
      </c>
      <c r="K358">
        <v>3.8</v>
      </c>
      <c r="L358" s="3">
        <v>4.4000000000000004</v>
      </c>
      <c r="M358" t="s">
        <v>1036</v>
      </c>
      <c r="N358">
        <v>41.13</v>
      </c>
    </row>
    <row r="359" spans="1:14" x14ac:dyDescent="0.3">
      <c r="A359" t="s">
        <v>371</v>
      </c>
      <c r="B359" t="s">
        <v>1018</v>
      </c>
      <c r="C359" t="s">
        <v>1027</v>
      </c>
      <c r="D359">
        <v>32</v>
      </c>
      <c r="E359">
        <v>10</v>
      </c>
      <c r="F359" s="3">
        <v>44124</v>
      </c>
      <c r="G359">
        <v>37</v>
      </c>
      <c r="H359">
        <v>8</v>
      </c>
      <c r="I359">
        <v>3</v>
      </c>
      <c r="J359">
        <v>19</v>
      </c>
      <c r="K359">
        <v>4.4000000000000004</v>
      </c>
      <c r="L359" s="3">
        <v>6.3</v>
      </c>
      <c r="M359" t="s">
        <v>1035</v>
      </c>
      <c r="N359">
        <v>64.33</v>
      </c>
    </row>
    <row r="360" spans="1:14" x14ac:dyDescent="0.3">
      <c r="A360" t="s">
        <v>372</v>
      </c>
      <c r="B360" t="s">
        <v>1016</v>
      </c>
      <c r="C360" t="s">
        <v>1033</v>
      </c>
      <c r="D360">
        <v>27</v>
      </c>
      <c r="E360">
        <v>5</v>
      </c>
      <c r="F360" s="3">
        <v>60659</v>
      </c>
      <c r="G360">
        <v>47</v>
      </c>
      <c r="H360">
        <v>3</v>
      </c>
      <c r="I360">
        <v>11</v>
      </c>
      <c r="J360">
        <v>24</v>
      </c>
      <c r="K360">
        <v>3.1</v>
      </c>
      <c r="L360" s="3">
        <v>6.1</v>
      </c>
      <c r="M360" t="s">
        <v>1035</v>
      </c>
      <c r="N360">
        <v>50.9</v>
      </c>
    </row>
    <row r="361" spans="1:14" x14ac:dyDescent="0.3">
      <c r="A361" t="s">
        <v>373</v>
      </c>
      <c r="B361" t="s">
        <v>1017</v>
      </c>
      <c r="C361" t="s">
        <v>1030</v>
      </c>
      <c r="D361">
        <v>51</v>
      </c>
      <c r="E361">
        <v>8</v>
      </c>
      <c r="F361" s="3">
        <v>39827</v>
      </c>
      <c r="G361">
        <v>43</v>
      </c>
      <c r="H361">
        <v>10</v>
      </c>
      <c r="I361">
        <v>1</v>
      </c>
      <c r="J361">
        <v>9</v>
      </c>
      <c r="K361">
        <v>4.3</v>
      </c>
      <c r="L361" s="3">
        <v>7.7</v>
      </c>
      <c r="M361" t="s">
        <v>1035</v>
      </c>
      <c r="N361">
        <v>75.77</v>
      </c>
    </row>
    <row r="362" spans="1:14" x14ac:dyDescent="0.3">
      <c r="A362" t="s">
        <v>374</v>
      </c>
      <c r="B362" t="s">
        <v>1016</v>
      </c>
      <c r="C362" t="s">
        <v>1033</v>
      </c>
      <c r="D362">
        <v>48</v>
      </c>
      <c r="E362">
        <v>7</v>
      </c>
      <c r="F362" s="3">
        <v>61280</v>
      </c>
      <c r="G362">
        <v>36</v>
      </c>
      <c r="H362">
        <v>14</v>
      </c>
      <c r="I362">
        <v>12</v>
      </c>
      <c r="J362">
        <v>33</v>
      </c>
      <c r="K362">
        <v>3.3</v>
      </c>
      <c r="L362" s="3">
        <v>6.7</v>
      </c>
      <c r="M362" t="s">
        <v>1035</v>
      </c>
      <c r="N362">
        <v>73.430000000000007</v>
      </c>
    </row>
    <row r="363" spans="1:14" x14ac:dyDescent="0.3">
      <c r="A363" t="s">
        <v>375</v>
      </c>
      <c r="B363" t="s">
        <v>1015</v>
      </c>
      <c r="C363" t="s">
        <v>1020</v>
      </c>
      <c r="D363">
        <v>37</v>
      </c>
      <c r="E363">
        <v>15</v>
      </c>
      <c r="F363" s="3">
        <v>44585</v>
      </c>
      <c r="G363">
        <v>37</v>
      </c>
      <c r="H363">
        <v>7</v>
      </c>
      <c r="I363">
        <v>22</v>
      </c>
      <c r="J363">
        <v>2</v>
      </c>
      <c r="K363">
        <v>3.5</v>
      </c>
      <c r="L363" s="3">
        <v>9.3000000000000007</v>
      </c>
      <c r="M363" t="s">
        <v>1034</v>
      </c>
      <c r="N363">
        <v>77.97</v>
      </c>
    </row>
    <row r="364" spans="1:14" x14ac:dyDescent="0.3">
      <c r="A364" t="s">
        <v>376</v>
      </c>
      <c r="B364" t="s">
        <v>1015</v>
      </c>
      <c r="C364" t="s">
        <v>1021</v>
      </c>
      <c r="D364">
        <v>31</v>
      </c>
      <c r="E364">
        <v>1</v>
      </c>
      <c r="F364" s="3">
        <v>87210</v>
      </c>
      <c r="G364">
        <v>49</v>
      </c>
      <c r="H364">
        <v>3</v>
      </c>
      <c r="I364">
        <v>5</v>
      </c>
      <c r="J364">
        <v>13</v>
      </c>
      <c r="K364">
        <v>4.4000000000000004</v>
      </c>
      <c r="L364" s="3">
        <v>3.9</v>
      </c>
      <c r="M364" t="s">
        <v>1036</v>
      </c>
      <c r="N364">
        <v>41.6</v>
      </c>
    </row>
    <row r="365" spans="1:14" x14ac:dyDescent="0.3">
      <c r="A365" t="s">
        <v>377</v>
      </c>
      <c r="B365" t="s">
        <v>1014</v>
      </c>
      <c r="C365" t="s">
        <v>1019</v>
      </c>
      <c r="D365">
        <v>49</v>
      </c>
      <c r="E365">
        <v>6</v>
      </c>
      <c r="F365" s="3">
        <v>78907</v>
      </c>
      <c r="G365">
        <v>55</v>
      </c>
      <c r="H365">
        <v>3</v>
      </c>
      <c r="I365">
        <v>19</v>
      </c>
      <c r="J365">
        <v>16</v>
      </c>
      <c r="K365">
        <v>3</v>
      </c>
      <c r="L365" s="3">
        <v>8.1</v>
      </c>
      <c r="M365" t="s">
        <v>1034</v>
      </c>
      <c r="N365">
        <v>62.6</v>
      </c>
    </row>
    <row r="366" spans="1:14" x14ac:dyDescent="0.3">
      <c r="A366" t="s">
        <v>378</v>
      </c>
      <c r="B366" t="s">
        <v>1014</v>
      </c>
      <c r="C366" t="s">
        <v>1025</v>
      </c>
      <c r="D366">
        <v>46</v>
      </c>
      <c r="E366">
        <v>12</v>
      </c>
      <c r="F366" s="3">
        <v>61179</v>
      </c>
      <c r="G366">
        <v>45</v>
      </c>
      <c r="H366">
        <v>14</v>
      </c>
      <c r="I366">
        <v>8</v>
      </c>
      <c r="J366">
        <v>33</v>
      </c>
      <c r="K366">
        <v>3.4</v>
      </c>
      <c r="L366" s="3">
        <v>9.1</v>
      </c>
      <c r="M366" t="s">
        <v>1034</v>
      </c>
      <c r="N366">
        <v>88.13</v>
      </c>
    </row>
    <row r="367" spans="1:14" x14ac:dyDescent="0.3">
      <c r="A367" t="s">
        <v>379</v>
      </c>
      <c r="B367" t="s">
        <v>1015</v>
      </c>
      <c r="C367" t="s">
        <v>1029</v>
      </c>
      <c r="D367">
        <v>55</v>
      </c>
      <c r="E367">
        <v>13</v>
      </c>
      <c r="F367" s="3">
        <v>32374</v>
      </c>
      <c r="G367">
        <v>48</v>
      </c>
      <c r="H367">
        <v>3</v>
      </c>
      <c r="I367">
        <v>4</v>
      </c>
      <c r="J367">
        <v>36</v>
      </c>
      <c r="K367">
        <v>3.8</v>
      </c>
      <c r="L367" s="3">
        <v>8.3000000000000007</v>
      </c>
      <c r="M367" t="s">
        <v>1034</v>
      </c>
      <c r="N367">
        <v>66.2</v>
      </c>
    </row>
    <row r="368" spans="1:14" x14ac:dyDescent="0.3">
      <c r="A368" t="s">
        <v>380</v>
      </c>
      <c r="B368" t="s">
        <v>1014</v>
      </c>
      <c r="C368" t="s">
        <v>1025</v>
      </c>
      <c r="D368">
        <v>28</v>
      </c>
      <c r="E368">
        <v>4</v>
      </c>
      <c r="F368" s="3">
        <v>81850</v>
      </c>
      <c r="G368">
        <v>52</v>
      </c>
      <c r="H368">
        <v>15</v>
      </c>
      <c r="I368">
        <v>11</v>
      </c>
      <c r="J368">
        <v>26</v>
      </c>
      <c r="K368">
        <v>2.8</v>
      </c>
      <c r="L368" s="3">
        <v>7.6</v>
      </c>
      <c r="M368" t="s">
        <v>1035</v>
      </c>
      <c r="N368">
        <v>79</v>
      </c>
    </row>
    <row r="369" spans="1:14" x14ac:dyDescent="0.3">
      <c r="A369" t="s">
        <v>381</v>
      </c>
      <c r="B369" t="s">
        <v>1015</v>
      </c>
      <c r="C369" t="s">
        <v>1029</v>
      </c>
      <c r="D369">
        <v>52</v>
      </c>
      <c r="E369">
        <v>1</v>
      </c>
      <c r="F369" s="3">
        <v>36285</v>
      </c>
      <c r="G369">
        <v>43</v>
      </c>
      <c r="H369">
        <v>7</v>
      </c>
      <c r="I369">
        <v>4</v>
      </c>
      <c r="J369">
        <v>39</v>
      </c>
      <c r="K369">
        <v>3.8</v>
      </c>
      <c r="L369" s="3">
        <v>7.9</v>
      </c>
      <c r="M369" t="s">
        <v>1035</v>
      </c>
      <c r="N369">
        <v>70.47</v>
      </c>
    </row>
    <row r="370" spans="1:14" x14ac:dyDescent="0.3">
      <c r="A370" t="s">
        <v>382</v>
      </c>
      <c r="B370" t="s">
        <v>1017</v>
      </c>
      <c r="C370" t="s">
        <v>1026</v>
      </c>
      <c r="D370">
        <v>43</v>
      </c>
      <c r="E370">
        <v>7</v>
      </c>
      <c r="F370" s="3">
        <v>28230</v>
      </c>
      <c r="G370">
        <v>50</v>
      </c>
      <c r="H370">
        <v>15</v>
      </c>
      <c r="I370">
        <v>8</v>
      </c>
      <c r="J370">
        <v>23</v>
      </c>
      <c r="K370">
        <v>2.1</v>
      </c>
      <c r="L370" s="3">
        <v>8.6999999999999993</v>
      </c>
      <c r="M370" t="s">
        <v>1034</v>
      </c>
      <c r="N370">
        <v>83.5</v>
      </c>
    </row>
    <row r="371" spans="1:14" x14ac:dyDescent="0.3">
      <c r="A371" t="s">
        <v>383</v>
      </c>
      <c r="B371" t="s">
        <v>1016</v>
      </c>
      <c r="C371" t="s">
        <v>1033</v>
      </c>
      <c r="D371">
        <v>39</v>
      </c>
      <c r="E371">
        <v>15</v>
      </c>
      <c r="F371" s="3">
        <v>81245</v>
      </c>
      <c r="G371">
        <v>38</v>
      </c>
      <c r="H371">
        <v>14</v>
      </c>
      <c r="I371">
        <v>7</v>
      </c>
      <c r="J371">
        <v>8</v>
      </c>
      <c r="K371">
        <v>2.9</v>
      </c>
      <c r="L371" s="3">
        <v>8.1999999999999993</v>
      </c>
      <c r="M371" t="s">
        <v>1034</v>
      </c>
      <c r="N371">
        <v>81.23</v>
      </c>
    </row>
    <row r="372" spans="1:14" x14ac:dyDescent="0.3">
      <c r="A372" t="s">
        <v>384</v>
      </c>
      <c r="B372" t="s">
        <v>1016</v>
      </c>
      <c r="C372" t="s">
        <v>1023</v>
      </c>
      <c r="D372">
        <v>48</v>
      </c>
      <c r="E372">
        <v>2</v>
      </c>
      <c r="F372" s="3">
        <v>37316</v>
      </c>
      <c r="G372">
        <v>49</v>
      </c>
      <c r="H372">
        <v>4</v>
      </c>
      <c r="I372">
        <v>13</v>
      </c>
      <c r="J372">
        <v>31</v>
      </c>
      <c r="K372">
        <v>4.3</v>
      </c>
      <c r="L372" s="3">
        <v>9.1</v>
      </c>
      <c r="M372" t="s">
        <v>1034</v>
      </c>
      <c r="N372">
        <v>74.17</v>
      </c>
    </row>
    <row r="373" spans="1:14" x14ac:dyDescent="0.3">
      <c r="A373" t="s">
        <v>385</v>
      </c>
      <c r="B373" t="s">
        <v>1015</v>
      </c>
      <c r="C373" t="s">
        <v>1029</v>
      </c>
      <c r="D373">
        <v>32</v>
      </c>
      <c r="E373">
        <v>1</v>
      </c>
      <c r="F373" s="3">
        <v>45389</v>
      </c>
      <c r="G373">
        <v>51</v>
      </c>
      <c r="H373">
        <v>7</v>
      </c>
      <c r="I373">
        <v>4</v>
      </c>
      <c r="J373">
        <v>33</v>
      </c>
      <c r="K373">
        <v>4.5999999999999996</v>
      </c>
      <c r="L373" s="3">
        <v>3.2</v>
      </c>
      <c r="M373" t="s">
        <v>1036</v>
      </c>
      <c r="N373">
        <v>44.67</v>
      </c>
    </row>
    <row r="374" spans="1:14" x14ac:dyDescent="0.3">
      <c r="A374" t="s">
        <v>386</v>
      </c>
      <c r="B374" t="s">
        <v>1018</v>
      </c>
      <c r="C374" t="s">
        <v>1027</v>
      </c>
      <c r="D374">
        <v>25</v>
      </c>
      <c r="E374">
        <v>1</v>
      </c>
      <c r="F374" s="3">
        <v>27167</v>
      </c>
      <c r="G374">
        <v>49</v>
      </c>
      <c r="H374">
        <v>1</v>
      </c>
      <c r="I374">
        <v>11</v>
      </c>
      <c r="J374">
        <v>12</v>
      </c>
      <c r="K374">
        <v>2.8</v>
      </c>
      <c r="L374" s="3">
        <v>8.8000000000000007</v>
      </c>
      <c r="M374" t="s">
        <v>1034</v>
      </c>
      <c r="N374">
        <v>62.87</v>
      </c>
    </row>
    <row r="375" spans="1:14" x14ac:dyDescent="0.3">
      <c r="A375" t="s">
        <v>387</v>
      </c>
      <c r="B375" t="s">
        <v>1017</v>
      </c>
      <c r="C375" t="s">
        <v>1024</v>
      </c>
      <c r="D375">
        <v>29</v>
      </c>
      <c r="E375">
        <v>0</v>
      </c>
      <c r="F375" s="3">
        <v>40855</v>
      </c>
      <c r="G375">
        <v>46</v>
      </c>
      <c r="H375">
        <v>8</v>
      </c>
      <c r="I375">
        <v>19</v>
      </c>
      <c r="J375">
        <v>28</v>
      </c>
      <c r="K375">
        <v>2.5</v>
      </c>
      <c r="L375" s="3">
        <v>9.1</v>
      </c>
      <c r="M375" t="s">
        <v>1034</v>
      </c>
      <c r="N375">
        <v>75.430000000000007</v>
      </c>
    </row>
    <row r="376" spans="1:14" x14ac:dyDescent="0.3">
      <c r="A376" t="s">
        <v>388</v>
      </c>
      <c r="B376" t="s">
        <v>1015</v>
      </c>
      <c r="C376" t="s">
        <v>1029</v>
      </c>
      <c r="D376">
        <v>44</v>
      </c>
      <c r="E376">
        <v>11</v>
      </c>
      <c r="F376" s="3">
        <v>35716</v>
      </c>
      <c r="G376">
        <v>43</v>
      </c>
      <c r="H376">
        <v>12</v>
      </c>
      <c r="I376">
        <v>22</v>
      </c>
      <c r="J376">
        <v>5</v>
      </c>
      <c r="K376">
        <v>2.9</v>
      </c>
      <c r="L376" s="3">
        <v>5.7</v>
      </c>
      <c r="M376" t="s">
        <v>1036</v>
      </c>
      <c r="N376">
        <v>62.9</v>
      </c>
    </row>
    <row r="377" spans="1:14" x14ac:dyDescent="0.3">
      <c r="A377" t="s">
        <v>389</v>
      </c>
      <c r="B377" t="s">
        <v>1015</v>
      </c>
      <c r="C377" t="s">
        <v>1029</v>
      </c>
      <c r="D377">
        <v>35</v>
      </c>
      <c r="E377">
        <v>13</v>
      </c>
      <c r="F377" s="3">
        <v>39506</v>
      </c>
      <c r="G377">
        <v>55</v>
      </c>
      <c r="H377">
        <v>4</v>
      </c>
      <c r="I377">
        <v>21</v>
      </c>
      <c r="J377">
        <v>13</v>
      </c>
      <c r="K377">
        <v>2.8</v>
      </c>
      <c r="L377" s="3">
        <v>5.9</v>
      </c>
      <c r="M377" t="s">
        <v>1036</v>
      </c>
      <c r="N377">
        <v>50.47</v>
      </c>
    </row>
    <row r="378" spans="1:14" x14ac:dyDescent="0.3">
      <c r="A378" t="s">
        <v>390</v>
      </c>
      <c r="B378" t="s">
        <v>1014</v>
      </c>
      <c r="C378" t="s">
        <v>1031</v>
      </c>
      <c r="D378">
        <v>52</v>
      </c>
      <c r="E378">
        <v>4</v>
      </c>
      <c r="F378" s="3">
        <v>67426</v>
      </c>
      <c r="G378">
        <v>40</v>
      </c>
      <c r="H378">
        <v>10</v>
      </c>
      <c r="I378">
        <v>25</v>
      </c>
      <c r="J378">
        <v>0</v>
      </c>
      <c r="K378">
        <v>2.7</v>
      </c>
      <c r="L378" s="3">
        <v>7.3</v>
      </c>
      <c r="M378" t="s">
        <v>1035</v>
      </c>
      <c r="N378">
        <v>68.569999999999993</v>
      </c>
    </row>
    <row r="379" spans="1:14" x14ac:dyDescent="0.3">
      <c r="A379" t="s">
        <v>391</v>
      </c>
      <c r="B379" t="s">
        <v>1016</v>
      </c>
      <c r="C379" t="s">
        <v>1022</v>
      </c>
      <c r="D379">
        <v>49</v>
      </c>
      <c r="E379">
        <v>12</v>
      </c>
      <c r="F379" s="3">
        <v>80809</v>
      </c>
      <c r="G379">
        <v>46</v>
      </c>
      <c r="H379">
        <v>8</v>
      </c>
      <c r="I379">
        <v>8</v>
      </c>
      <c r="J379">
        <v>13</v>
      </c>
      <c r="K379">
        <v>3.4</v>
      </c>
      <c r="L379" s="3">
        <v>7.7</v>
      </c>
      <c r="M379" t="s">
        <v>1035</v>
      </c>
      <c r="N379">
        <v>69.73</v>
      </c>
    </row>
    <row r="380" spans="1:14" x14ac:dyDescent="0.3">
      <c r="A380" t="s">
        <v>392</v>
      </c>
      <c r="B380" t="s">
        <v>1017</v>
      </c>
      <c r="C380" t="s">
        <v>1030</v>
      </c>
      <c r="D380">
        <v>28</v>
      </c>
      <c r="E380">
        <v>0</v>
      </c>
      <c r="F380" s="3">
        <v>58522</v>
      </c>
      <c r="G380">
        <v>46</v>
      </c>
      <c r="H380">
        <v>9</v>
      </c>
      <c r="I380">
        <v>20</v>
      </c>
      <c r="J380">
        <v>38</v>
      </c>
      <c r="K380">
        <v>3.8</v>
      </c>
      <c r="L380" s="3">
        <v>5.0999999999999996</v>
      </c>
      <c r="M380" t="s">
        <v>1036</v>
      </c>
      <c r="N380">
        <v>57</v>
      </c>
    </row>
    <row r="381" spans="1:14" x14ac:dyDescent="0.3">
      <c r="A381" t="s">
        <v>393</v>
      </c>
      <c r="B381" t="s">
        <v>1017</v>
      </c>
      <c r="C381" t="s">
        <v>1024</v>
      </c>
      <c r="D381">
        <v>26</v>
      </c>
      <c r="E381">
        <v>2</v>
      </c>
      <c r="F381" s="3">
        <v>89773</v>
      </c>
      <c r="G381">
        <v>43</v>
      </c>
      <c r="H381">
        <v>11</v>
      </c>
      <c r="I381">
        <v>10</v>
      </c>
      <c r="J381">
        <v>17</v>
      </c>
      <c r="K381">
        <v>2.8</v>
      </c>
      <c r="L381" s="3">
        <v>8</v>
      </c>
      <c r="M381" t="s">
        <v>1034</v>
      </c>
      <c r="N381">
        <v>74.73</v>
      </c>
    </row>
    <row r="382" spans="1:14" x14ac:dyDescent="0.3">
      <c r="A382" t="s">
        <v>394</v>
      </c>
      <c r="B382" t="s">
        <v>1016</v>
      </c>
      <c r="C382" t="s">
        <v>1023</v>
      </c>
      <c r="D382">
        <v>34</v>
      </c>
      <c r="E382">
        <v>2</v>
      </c>
      <c r="F382" s="3">
        <v>58901</v>
      </c>
      <c r="G382">
        <v>42</v>
      </c>
      <c r="H382">
        <v>15</v>
      </c>
      <c r="I382">
        <v>1</v>
      </c>
      <c r="J382">
        <v>38</v>
      </c>
      <c r="K382">
        <v>3.2</v>
      </c>
      <c r="L382" s="3">
        <v>5.2</v>
      </c>
      <c r="M382" t="s">
        <v>1036</v>
      </c>
      <c r="N382">
        <v>65.8</v>
      </c>
    </row>
    <row r="383" spans="1:14" x14ac:dyDescent="0.3">
      <c r="A383" t="s">
        <v>395</v>
      </c>
      <c r="B383" t="s">
        <v>1014</v>
      </c>
      <c r="C383" t="s">
        <v>1019</v>
      </c>
      <c r="D383">
        <v>53</v>
      </c>
      <c r="E383">
        <v>9</v>
      </c>
      <c r="F383" s="3">
        <v>42001</v>
      </c>
      <c r="G383">
        <v>48</v>
      </c>
      <c r="H383">
        <v>7</v>
      </c>
      <c r="I383">
        <v>12</v>
      </c>
      <c r="J383">
        <v>2</v>
      </c>
      <c r="K383">
        <v>3.7</v>
      </c>
      <c r="L383" s="3">
        <v>10</v>
      </c>
      <c r="M383" t="s">
        <v>1034</v>
      </c>
      <c r="N383">
        <v>82.77</v>
      </c>
    </row>
    <row r="384" spans="1:14" x14ac:dyDescent="0.3">
      <c r="A384" t="s">
        <v>396</v>
      </c>
      <c r="B384" t="s">
        <v>1016</v>
      </c>
      <c r="C384" t="s">
        <v>1023</v>
      </c>
      <c r="D384">
        <v>36</v>
      </c>
      <c r="E384">
        <v>15</v>
      </c>
      <c r="F384" s="3">
        <v>84410</v>
      </c>
      <c r="G384">
        <v>46</v>
      </c>
      <c r="H384">
        <v>9</v>
      </c>
      <c r="I384">
        <v>9</v>
      </c>
      <c r="J384">
        <v>10</v>
      </c>
      <c r="K384">
        <v>4.5</v>
      </c>
      <c r="L384" s="3">
        <v>9.1</v>
      </c>
      <c r="M384" t="s">
        <v>1034</v>
      </c>
      <c r="N384">
        <v>83.1</v>
      </c>
    </row>
    <row r="385" spans="1:14" x14ac:dyDescent="0.3">
      <c r="A385" t="s">
        <v>397</v>
      </c>
      <c r="B385" t="s">
        <v>1016</v>
      </c>
      <c r="C385" t="s">
        <v>1022</v>
      </c>
      <c r="D385">
        <v>28</v>
      </c>
      <c r="E385">
        <v>7</v>
      </c>
      <c r="F385" s="3">
        <v>33384</v>
      </c>
      <c r="G385">
        <v>43</v>
      </c>
      <c r="H385">
        <v>12</v>
      </c>
      <c r="I385">
        <v>25</v>
      </c>
      <c r="J385">
        <v>35</v>
      </c>
      <c r="K385">
        <v>4.3</v>
      </c>
      <c r="L385" s="3">
        <v>4.3</v>
      </c>
      <c r="M385" t="s">
        <v>1036</v>
      </c>
      <c r="N385">
        <v>58.7</v>
      </c>
    </row>
    <row r="386" spans="1:14" x14ac:dyDescent="0.3">
      <c r="A386" t="s">
        <v>398</v>
      </c>
      <c r="B386" t="s">
        <v>1016</v>
      </c>
      <c r="C386" t="s">
        <v>1033</v>
      </c>
      <c r="D386">
        <v>27</v>
      </c>
      <c r="E386">
        <v>1</v>
      </c>
      <c r="F386" s="3">
        <v>48283</v>
      </c>
      <c r="G386">
        <v>42</v>
      </c>
      <c r="H386">
        <v>12</v>
      </c>
      <c r="I386">
        <v>9</v>
      </c>
      <c r="J386">
        <v>26</v>
      </c>
      <c r="K386">
        <v>4.4000000000000004</v>
      </c>
      <c r="L386" s="3">
        <v>5.3</v>
      </c>
      <c r="M386" t="s">
        <v>1036</v>
      </c>
      <c r="N386">
        <v>65</v>
      </c>
    </row>
    <row r="387" spans="1:14" x14ac:dyDescent="0.3">
      <c r="A387" t="s">
        <v>399</v>
      </c>
      <c r="B387" t="s">
        <v>1015</v>
      </c>
      <c r="C387" t="s">
        <v>1029</v>
      </c>
      <c r="D387">
        <v>40</v>
      </c>
      <c r="E387">
        <v>14</v>
      </c>
      <c r="F387" s="3">
        <v>80785</v>
      </c>
      <c r="G387">
        <v>38</v>
      </c>
      <c r="H387">
        <v>8</v>
      </c>
      <c r="I387">
        <v>1</v>
      </c>
      <c r="J387">
        <v>40</v>
      </c>
      <c r="K387">
        <v>3.8</v>
      </c>
      <c r="L387" s="3">
        <v>9.6</v>
      </c>
      <c r="M387" t="s">
        <v>1034</v>
      </c>
      <c r="N387">
        <v>82.33</v>
      </c>
    </row>
    <row r="388" spans="1:14" x14ac:dyDescent="0.3">
      <c r="A388" t="s">
        <v>400</v>
      </c>
      <c r="B388" t="s">
        <v>1017</v>
      </c>
      <c r="C388" t="s">
        <v>1030</v>
      </c>
      <c r="D388">
        <v>34</v>
      </c>
      <c r="E388">
        <v>8</v>
      </c>
      <c r="F388" s="3">
        <v>32852</v>
      </c>
      <c r="G388">
        <v>47</v>
      </c>
      <c r="H388">
        <v>9</v>
      </c>
      <c r="I388">
        <v>9</v>
      </c>
      <c r="J388">
        <v>26</v>
      </c>
      <c r="K388">
        <v>2.2000000000000002</v>
      </c>
      <c r="L388" s="3">
        <v>9</v>
      </c>
      <c r="M388" t="s">
        <v>1034</v>
      </c>
      <c r="N388">
        <v>75.599999999999994</v>
      </c>
    </row>
    <row r="389" spans="1:14" x14ac:dyDescent="0.3">
      <c r="A389" t="s">
        <v>401</v>
      </c>
      <c r="B389" t="s">
        <v>1018</v>
      </c>
      <c r="C389" t="s">
        <v>1028</v>
      </c>
      <c r="D389">
        <v>43</v>
      </c>
      <c r="E389">
        <v>13</v>
      </c>
      <c r="F389" s="3">
        <v>89696</v>
      </c>
      <c r="G389">
        <v>53</v>
      </c>
      <c r="H389">
        <v>15</v>
      </c>
      <c r="I389">
        <v>14</v>
      </c>
      <c r="J389">
        <v>9</v>
      </c>
      <c r="K389">
        <v>2.9</v>
      </c>
      <c r="L389" s="3">
        <v>8</v>
      </c>
      <c r="M389" t="s">
        <v>1034</v>
      </c>
      <c r="N389">
        <v>81.7</v>
      </c>
    </row>
    <row r="390" spans="1:14" x14ac:dyDescent="0.3">
      <c r="A390" t="s">
        <v>402</v>
      </c>
      <c r="B390" t="s">
        <v>1017</v>
      </c>
      <c r="C390" t="s">
        <v>1030</v>
      </c>
      <c r="D390">
        <v>43</v>
      </c>
      <c r="E390">
        <v>5</v>
      </c>
      <c r="F390" s="3">
        <v>45539</v>
      </c>
      <c r="G390">
        <v>55</v>
      </c>
      <c r="H390">
        <v>1</v>
      </c>
      <c r="I390">
        <v>0</v>
      </c>
      <c r="J390">
        <v>28</v>
      </c>
      <c r="K390">
        <v>2.8</v>
      </c>
      <c r="L390" s="3">
        <v>8.3000000000000007</v>
      </c>
      <c r="M390" t="s">
        <v>1034</v>
      </c>
      <c r="N390">
        <v>59.87</v>
      </c>
    </row>
    <row r="391" spans="1:14" x14ac:dyDescent="0.3">
      <c r="A391" t="s">
        <v>403</v>
      </c>
      <c r="B391" t="s">
        <v>1015</v>
      </c>
      <c r="C391" t="s">
        <v>1021</v>
      </c>
      <c r="D391">
        <v>32</v>
      </c>
      <c r="E391">
        <v>7</v>
      </c>
      <c r="F391" s="3">
        <v>76459</v>
      </c>
      <c r="G391">
        <v>37</v>
      </c>
      <c r="H391">
        <v>3</v>
      </c>
      <c r="I391">
        <v>19</v>
      </c>
      <c r="J391">
        <v>27</v>
      </c>
      <c r="K391">
        <v>3.9</v>
      </c>
      <c r="L391" s="3">
        <v>5.8</v>
      </c>
      <c r="M391" t="s">
        <v>1036</v>
      </c>
      <c r="N391">
        <v>51.5</v>
      </c>
    </row>
    <row r="392" spans="1:14" x14ac:dyDescent="0.3">
      <c r="A392" t="s">
        <v>404</v>
      </c>
      <c r="B392" t="s">
        <v>1017</v>
      </c>
      <c r="C392" t="s">
        <v>1024</v>
      </c>
      <c r="D392">
        <v>22</v>
      </c>
      <c r="E392">
        <v>0</v>
      </c>
      <c r="F392" s="3">
        <v>59981</v>
      </c>
      <c r="G392">
        <v>41</v>
      </c>
      <c r="H392">
        <v>12</v>
      </c>
      <c r="I392">
        <v>11</v>
      </c>
      <c r="J392">
        <v>0</v>
      </c>
      <c r="K392">
        <v>4.7</v>
      </c>
      <c r="L392" s="3">
        <v>8.3000000000000007</v>
      </c>
      <c r="M392" t="s">
        <v>1034</v>
      </c>
      <c r="N392">
        <v>83.9</v>
      </c>
    </row>
    <row r="393" spans="1:14" x14ac:dyDescent="0.3">
      <c r="A393" t="s">
        <v>405</v>
      </c>
      <c r="B393" t="s">
        <v>1018</v>
      </c>
      <c r="C393" t="s">
        <v>1028</v>
      </c>
      <c r="D393">
        <v>23</v>
      </c>
      <c r="E393">
        <v>2</v>
      </c>
      <c r="F393" s="3">
        <v>25270</v>
      </c>
      <c r="G393">
        <v>55</v>
      </c>
      <c r="H393">
        <v>12</v>
      </c>
      <c r="I393">
        <v>7</v>
      </c>
      <c r="J393">
        <v>14</v>
      </c>
      <c r="K393">
        <v>4.0999999999999996</v>
      </c>
      <c r="L393" s="3">
        <v>5.4</v>
      </c>
      <c r="M393" t="s">
        <v>1036</v>
      </c>
      <c r="N393">
        <v>64.7</v>
      </c>
    </row>
    <row r="394" spans="1:14" x14ac:dyDescent="0.3">
      <c r="A394" t="s">
        <v>406</v>
      </c>
      <c r="B394" t="s">
        <v>1014</v>
      </c>
      <c r="C394" t="s">
        <v>1025</v>
      </c>
      <c r="D394">
        <v>46</v>
      </c>
      <c r="E394">
        <v>9</v>
      </c>
      <c r="F394" s="3">
        <v>35945</v>
      </c>
      <c r="G394">
        <v>37</v>
      </c>
      <c r="H394">
        <v>14</v>
      </c>
      <c r="I394">
        <v>1</v>
      </c>
      <c r="J394">
        <v>19</v>
      </c>
      <c r="K394">
        <v>4.8</v>
      </c>
      <c r="L394" s="3">
        <v>6.2</v>
      </c>
      <c r="M394" t="s">
        <v>1035</v>
      </c>
      <c r="N394">
        <v>74.930000000000007</v>
      </c>
    </row>
    <row r="395" spans="1:14" x14ac:dyDescent="0.3">
      <c r="A395" t="s">
        <v>407</v>
      </c>
      <c r="B395" t="s">
        <v>1015</v>
      </c>
      <c r="C395" t="s">
        <v>1021</v>
      </c>
      <c r="D395">
        <v>55</v>
      </c>
      <c r="E395">
        <v>10</v>
      </c>
      <c r="F395" s="3">
        <v>53420</v>
      </c>
      <c r="G395">
        <v>39</v>
      </c>
      <c r="H395">
        <v>6</v>
      </c>
      <c r="I395">
        <v>15</v>
      </c>
      <c r="J395">
        <v>22</v>
      </c>
      <c r="K395">
        <v>4.3</v>
      </c>
      <c r="L395" s="3">
        <v>4.2</v>
      </c>
      <c r="M395" t="s">
        <v>1036</v>
      </c>
      <c r="N395">
        <v>48.1</v>
      </c>
    </row>
    <row r="396" spans="1:14" x14ac:dyDescent="0.3">
      <c r="A396" t="s">
        <v>408</v>
      </c>
      <c r="B396" t="s">
        <v>1014</v>
      </c>
      <c r="C396" t="s">
        <v>1031</v>
      </c>
      <c r="D396">
        <v>36</v>
      </c>
      <c r="E396">
        <v>7</v>
      </c>
      <c r="F396" s="3">
        <v>72655</v>
      </c>
      <c r="G396">
        <v>39</v>
      </c>
      <c r="H396">
        <v>4</v>
      </c>
      <c r="I396">
        <v>23</v>
      </c>
      <c r="J396">
        <v>1</v>
      </c>
      <c r="K396">
        <v>3.8</v>
      </c>
      <c r="L396" s="3">
        <v>4.2</v>
      </c>
      <c r="M396" t="s">
        <v>1036</v>
      </c>
      <c r="N396">
        <v>43.27</v>
      </c>
    </row>
    <row r="397" spans="1:14" x14ac:dyDescent="0.3">
      <c r="A397" t="s">
        <v>409</v>
      </c>
      <c r="B397" t="s">
        <v>1014</v>
      </c>
      <c r="C397" t="s">
        <v>1025</v>
      </c>
      <c r="D397">
        <v>46</v>
      </c>
      <c r="E397">
        <v>8</v>
      </c>
      <c r="F397" s="3">
        <v>75544</v>
      </c>
      <c r="G397">
        <v>52</v>
      </c>
      <c r="H397">
        <v>10</v>
      </c>
      <c r="I397">
        <v>1</v>
      </c>
      <c r="J397">
        <v>38</v>
      </c>
      <c r="K397">
        <v>5</v>
      </c>
      <c r="L397" s="3">
        <v>7.6</v>
      </c>
      <c r="M397" t="s">
        <v>1035</v>
      </c>
      <c r="N397">
        <v>77.27</v>
      </c>
    </row>
    <row r="398" spans="1:14" x14ac:dyDescent="0.3">
      <c r="A398" t="s">
        <v>410</v>
      </c>
      <c r="B398" t="s">
        <v>1014</v>
      </c>
      <c r="C398" t="s">
        <v>1019</v>
      </c>
      <c r="D398">
        <v>25</v>
      </c>
      <c r="E398">
        <v>0</v>
      </c>
      <c r="F398" s="3">
        <v>52313</v>
      </c>
      <c r="G398">
        <v>49</v>
      </c>
      <c r="H398">
        <v>7</v>
      </c>
      <c r="I398">
        <v>3</v>
      </c>
      <c r="J398">
        <v>35</v>
      </c>
      <c r="K398">
        <v>2.8</v>
      </c>
      <c r="L398" s="3">
        <v>7.9</v>
      </c>
      <c r="M398" t="s">
        <v>1035</v>
      </c>
      <c r="N398">
        <v>67.47</v>
      </c>
    </row>
    <row r="399" spans="1:14" x14ac:dyDescent="0.3">
      <c r="A399" t="s">
        <v>411</v>
      </c>
      <c r="B399" t="s">
        <v>1014</v>
      </c>
      <c r="C399" t="s">
        <v>1031</v>
      </c>
      <c r="D399">
        <v>41</v>
      </c>
      <c r="E399">
        <v>13</v>
      </c>
      <c r="F399" s="3">
        <v>68362</v>
      </c>
      <c r="G399">
        <v>38</v>
      </c>
      <c r="H399">
        <v>11</v>
      </c>
      <c r="I399">
        <v>16</v>
      </c>
      <c r="J399">
        <v>17</v>
      </c>
      <c r="K399">
        <v>3.9</v>
      </c>
      <c r="L399" s="3">
        <v>7.9</v>
      </c>
      <c r="M399" t="s">
        <v>1035</v>
      </c>
      <c r="N399">
        <v>77.430000000000007</v>
      </c>
    </row>
    <row r="400" spans="1:14" x14ac:dyDescent="0.3">
      <c r="A400" t="s">
        <v>412</v>
      </c>
      <c r="B400" t="s">
        <v>1014</v>
      </c>
      <c r="C400" t="s">
        <v>1031</v>
      </c>
      <c r="D400">
        <v>54</v>
      </c>
      <c r="E400">
        <v>3</v>
      </c>
      <c r="F400" s="3">
        <v>43527</v>
      </c>
      <c r="G400">
        <v>38</v>
      </c>
      <c r="H400">
        <v>13</v>
      </c>
      <c r="I400">
        <v>3</v>
      </c>
      <c r="J400">
        <v>31</v>
      </c>
      <c r="K400">
        <v>2.6</v>
      </c>
      <c r="L400" s="3">
        <v>4.4000000000000004</v>
      </c>
      <c r="M400" t="s">
        <v>1036</v>
      </c>
      <c r="N400">
        <v>55.87</v>
      </c>
    </row>
    <row r="401" spans="1:14" x14ac:dyDescent="0.3">
      <c r="A401" t="s">
        <v>413</v>
      </c>
      <c r="B401" t="s">
        <v>1015</v>
      </c>
      <c r="C401" t="s">
        <v>1020</v>
      </c>
      <c r="D401">
        <v>34</v>
      </c>
      <c r="E401">
        <v>5</v>
      </c>
      <c r="F401" s="3">
        <v>71100</v>
      </c>
      <c r="G401">
        <v>48</v>
      </c>
      <c r="H401">
        <v>5</v>
      </c>
      <c r="I401">
        <v>5</v>
      </c>
      <c r="J401">
        <v>2</v>
      </c>
      <c r="K401">
        <v>3.6</v>
      </c>
      <c r="L401" s="3">
        <v>9.4</v>
      </c>
      <c r="M401" t="s">
        <v>1034</v>
      </c>
      <c r="N401">
        <v>75.53</v>
      </c>
    </row>
    <row r="402" spans="1:14" x14ac:dyDescent="0.3">
      <c r="A402" t="s">
        <v>414</v>
      </c>
      <c r="B402" t="s">
        <v>1017</v>
      </c>
      <c r="C402" t="s">
        <v>1030</v>
      </c>
      <c r="D402">
        <v>43</v>
      </c>
      <c r="E402">
        <v>7</v>
      </c>
      <c r="F402" s="3">
        <v>25179</v>
      </c>
      <c r="G402">
        <v>35</v>
      </c>
      <c r="H402">
        <v>11</v>
      </c>
      <c r="I402">
        <v>2</v>
      </c>
      <c r="J402">
        <v>7</v>
      </c>
      <c r="K402">
        <v>4.5</v>
      </c>
      <c r="L402" s="3">
        <v>7.7</v>
      </c>
      <c r="M402" t="s">
        <v>1035</v>
      </c>
      <c r="N402">
        <v>78.03</v>
      </c>
    </row>
    <row r="403" spans="1:14" x14ac:dyDescent="0.3">
      <c r="A403" t="s">
        <v>415</v>
      </c>
      <c r="B403" t="s">
        <v>1014</v>
      </c>
      <c r="C403" t="s">
        <v>1031</v>
      </c>
      <c r="D403">
        <v>54</v>
      </c>
      <c r="E403">
        <v>2</v>
      </c>
      <c r="F403" s="3">
        <v>72419</v>
      </c>
      <c r="G403">
        <v>38</v>
      </c>
      <c r="H403">
        <v>15</v>
      </c>
      <c r="I403">
        <v>8</v>
      </c>
      <c r="J403">
        <v>14</v>
      </c>
      <c r="K403">
        <v>3.4</v>
      </c>
      <c r="L403" s="3">
        <v>9.8000000000000007</v>
      </c>
      <c r="M403" t="s">
        <v>1034</v>
      </c>
      <c r="N403">
        <v>94</v>
      </c>
    </row>
    <row r="404" spans="1:14" x14ac:dyDescent="0.3">
      <c r="A404" t="s">
        <v>416</v>
      </c>
      <c r="B404" t="s">
        <v>1017</v>
      </c>
      <c r="C404" t="s">
        <v>1026</v>
      </c>
      <c r="D404">
        <v>25</v>
      </c>
      <c r="E404">
        <v>0</v>
      </c>
      <c r="F404" s="3">
        <v>78292</v>
      </c>
      <c r="G404">
        <v>40</v>
      </c>
      <c r="H404">
        <v>14</v>
      </c>
      <c r="I404">
        <v>1</v>
      </c>
      <c r="J404">
        <v>18</v>
      </c>
      <c r="K404">
        <v>3.1</v>
      </c>
      <c r="L404" s="3">
        <v>7.7</v>
      </c>
      <c r="M404" t="s">
        <v>1035</v>
      </c>
      <c r="N404">
        <v>78.83</v>
      </c>
    </row>
    <row r="405" spans="1:14" x14ac:dyDescent="0.3">
      <c r="A405" t="s">
        <v>417</v>
      </c>
      <c r="B405" t="s">
        <v>1014</v>
      </c>
      <c r="C405" t="s">
        <v>1025</v>
      </c>
      <c r="D405">
        <v>28</v>
      </c>
      <c r="E405">
        <v>0</v>
      </c>
      <c r="F405" s="3">
        <v>25633</v>
      </c>
      <c r="G405">
        <v>39</v>
      </c>
      <c r="H405">
        <v>11</v>
      </c>
      <c r="I405">
        <v>20</v>
      </c>
      <c r="J405">
        <v>10</v>
      </c>
      <c r="K405">
        <v>3</v>
      </c>
      <c r="L405" s="3">
        <v>9.3000000000000007</v>
      </c>
      <c r="M405" t="s">
        <v>1034</v>
      </c>
      <c r="N405">
        <v>83.13</v>
      </c>
    </row>
    <row r="406" spans="1:14" x14ac:dyDescent="0.3">
      <c r="A406" t="s">
        <v>418</v>
      </c>
      <c r="B406" t="s">
        <v>1016</v>
      </c>
      <c r="C406" t="s">
        <v>1033</v>
      </c>
      <c r="D406">
        <v>27</v>
      </c>
      <c r="E406">
        <v>2</v>
      </c>
      <c r="F406" s="3">
        <v>78409</v>
      </c>
      <c r="G406">
        <v>45</v>
      </c>
      <c r="H406">
        <v>3</v>
      </c>
      <c r="I406">
        <v>3</v>
      </c>
      <c r="J406">
        <v>25</v>
      </c>
      <c r="K406">
        <v>3.2</v>
      </c>
      <c r="L406" s="3">
        <v>6.2</v>
      </c>
      <c r="M406" t="s">
        <v>1035</v>
      </c>
      <c r="N406">
        <v>51.8</v>
      </c>
    </row>
    <row r="407" spans="1:14" x14ac:dyDescent="0.3">
      <c r="A407" t="s">
        <v>419</v>
      </c>
      <c r="B407" t="s">
        <v>1017</v>
      </c>
      <c r="C407" t="s">
        <v>1030</v>
      </c>
      <c r="D407">
        <v>48</v>
      </c>
      <c r="E407">
        <v>5</v>
      </c>
      <c r="F407" s="3">
        <v>32409</v>
      </c>
      <c r="G407">
        <v>39</v>
      </c>
      <c r="H407">
        <v>12</v>
      </c>
      <c r="I407">
        <v>23</v>
      </c>
      <c r="J407">
        <v>3</v>
      </c>
      <c r="K407">
        <v>4.9000000000000004</v>
      </c>
      <c r="L407" s="3">
        <v>8.9</v>
      </c>
      <c r="M407" t="s">
        <v>1034</v>
      </c>
      <c r="N407">
        <v>88.1</v>
      </c>
    </row>
    <row r="408" spans="1:14" x14ac:dyDescent="0.3">
      <c r="A408" t="s">
        <v>420</v>
      </c>
      <c r="B408" t="s">
        <v>1017</v>
      </c>
      <c r="C408" t="s">
        <v>1024</v>
      </c>
      <c r="D408">
        <v>52</v>
      </c>
      <c r="E408">
        <v>14</v>
      </c>
      <c r="F408" s="3">
        <v>36879</v>
      </c>
      <c r="G408">
        <v>54</v>
      </c>
      <c r="H408">
        <v>7</v>
      </c>
      <c r="I408">
        <v>24</v>
      </c>
      <c r="J408">
        <v>22</v>
      </c>
      <c r="K408">
        <v>3.8</v>
      </c>
      <c r="L408" s="3">
        <v>9</v>
      </c>
      <c r="M408" t="s">
        <v>1034</v>
      </c>
      <c r="N408">
        <v>77.069999999999993</v>
      </c>
    </row>
    <row r="409" spans="1:14" x14ac:dyDescent="0.3">
      <c r="A409" t="s">
        <v>421</v>
      </c>
      <c r="B409" t="s">
        <v>1018</v>
      </c>
      <c r="C409" t="s">
        <v>1027</v>
      </c>
      <c r="D409">
        <v>52</v>
      </c>
      <c r="E409">
        <v>15</v>
      </c>
      <c r="F409" s="3">
        <v>32401</v>
      </c>
      <c r="G409">
        <v>48</v>
      </c>
      <c r="H409">
        <v>8</v>
      </c>
      <c r="I409">
        <v>1</v>
      </c>
      <c r="J409">
        <v>4</v>
      </c>
      <c r="K409">
        <v>2.8</v>
      </c>
      <c r="L409" s="3">
        <v>5.2</v>
      </c>
      <c r="M409" t="s">
        <v>1036</v>
      </c>
      <c r="N409">
        <v>52.93</v>
      </c>
    </row>
    <row r="410" spans="1:14" x14ac:dyDescent="0.3">
      <c r="A410" t="s">
        <v>422</v>
      </c>
      <c r="B410" t="s">
        <v>1015</v>
      </c>
      <c r="C410" t="s">
        <v>1029</v>
      </c>
      <c r="D410">
        <v>36</v>
      </c>
      <c r="E410">
        <v>10</v>
      </c>
      <c r="F410" s="3">
        <v>59019</v>
      </c>
      <c r="G410">
        <v>51</v>
      </c>
      <c r="H410">
        <v>12</v>
      </c>
      <c r="I410">
        <v>22</v>
      </c>
      <c r="J410">
        <v>39</v>
      </c>
      <c r="K410">
        <v>2.2999999999999998</v>
      </c>
      <c r="L410" s="3">
        <v>7.6</v>
      </c>
      <c r="M410" t="s">
        <v>1035</v>
      </c>
      <c r="N410">
        <v>72.5</v>
      </c>
    </row>
    <row r="411" spans="1:14" x14ac:dyDescent="0.3">
      <c r="A411" t="s">
        <v>423</v>
      </c>
      <c r="B411" t="s">
        <v>1017</v>
      </c>
      <c r="C411" t="s">
        <v>1024</v>
      </c>
      <c r="D411">
        <v>44</v>
      </c>
      <c r="E411">
        <v>12</v>
      </c>
      <c r="F411" s="3">
        <v>34742</v>
      </c>
      <c r="G411">
        <v>52</v>
      </c>
      <c r="H411">
        <v>15</v>
      </c>
      <c r="I411">
        <v>19</v>
      </c>
      <c r="J411">
        <v>3</v>
      </c>
      <c r="K411">
        <v>2</v>
      </c>
      <c r="L411" s="3">
        <v>9.5</v>
      </c>
      <c r="M411" t="s">
        <v>1034</v>
      </c>
      <c r="N411">
        <v>88</v>
      </c>
    </row>
    <row r="412" spans="1:14" x14ac:dyDescent="0.3">
      <c r="A412" t="s">
        <v>424</v>
      </c>
      <c r="B412" t="s">
        <v>1017</v>
      </c>
      <c r="C412" t="s">
        <v>1030</v>
      </c>
      <c r="D412">
        <v>53</v>
      </c>
      <c r="E412">
        <v>5</v>
      </c>
      <c r="F412" s="3">
        <v>29906</v>
      </c>
      <c r="G412">
        <v>50</v>
      </c>
      <c r="H412">
        <v>6</v>
      </c>
      <c r="I412">
        <v>7</v>
      </c>
      <c r="J412">
        <v>21</v>
      </c>
      <c r="K412">
        <v>4.9000000000000004</v>
      </c>
      <c r="L412" s="3">
        <v>3.4</v>
      </c>
      <c r="M412" t="s">
        <v>1036</v>
      </c>
      <c r="N412">
        <v>45.1</v>
      </c>
    </row>
    <row r="413" spans="1:14" x14ac:dyDescent="0.3">
      <c r="A413" t="s">
        <v>425</v>
      </c>
      <c r="B413" t="s">
        <v>1015</v>
      </c>
      <c r="C413" t="s">
        <v>1021</v>
      </c>
      <c r="D413">
        <v>46</v>
      </c>
      <c r="E413">
        <v>12</v>
      </c>
      <c r="F413" s="3">
        <v>78549</v>
      </c>
      <c r="G413">
        <v>42</v>
      </c>
      <c r="H413">
        <v>2</v>
      </c>
      <c r="I413">
        <v>14</v>
      </c>
      <c r="J413">
        <v>28</v>
      </c>
      <c r="K413">
        <v>4.4000000000000004</v>
      </c>
      <c r="L413" s="3">
        <v>6.1</v>
      </c>
      <c r="M413" t="s">
        <v>1035</v>
      </c>
      <c r="N413">
        <v>53.13</v>
      </c>
    </row>
    <row r="414" spans="1:14" x14ac:dyDescent="0.3">
      <c r="A414" t="s">
        <v>426</v>
      </c>
      <c r="B414" t="s">
        <v>1017</v>
      </c>
      <c r="C414" t="s">
        <v>1024</v>
      </c>
      <c r="D414">
        <v>42</v>
      </c>
      <c r="E414">
        <v>3</v>
      </c>
      <c r="F414" s="3">
        <v>89269</v>
      </c>
      <c r="G414">
        <v>50</v>
      </c>
      <c r="H414">
        <v>12</v>
      </c>
      <c r="I414">
        <v>20</v>
      </c>
      <c r="J414">
        <v>1</v>
      </c>
      <c r="K414">
        <v>2.2999999999999998</v>
      </c>
      <c r="L414" s="3">
        <v>5.9</v>
      </c>
      <c r="M414" t="s">
        <v>1036</v>
      </c>
      <c r="N414">
        <v>62.3</v>
      </c>
    </row>
    <row r="415" spans="1:14" x14ac:dyDescent="0.3">
      <c r="A415" t="s">
        <v>427</v>
      </c>
      <c r="B415" t="s">
        <v>1015</v>
      </c>
      <c r="C415" t="s">
        <v>1020</v>
      </c>
      <c r="D415">
        <v>22</v>
      </c>
      <c r="E415">
        <v>0</v>
      </c>
      <c r="F415" s="3">
        <v>76890</v>
      </c>
      <c r="G415">
        <v>54</v>
      </c>
      <c r="H415">
        <v>10</v>
      </c>
      <c r="I415">
        <v>20</v>
      </c>
      <c r="J415">
        <v>19</v>
      </c>
      <c r="K415">
        <v>4.7</v>
      </c>
      <c r="L415" s="3">
        <v>6.9</v>
      </c>
      <c r="M415" t="s">
        <v>1035</v>
      </c>
      <c r="N415">
        <v>72.17</v>
      </c>
    </row>
    <row r="416" spans="1:14" x14ac:dyDescent="0.3">
      <c r="A416" t="s">
        <v>428</v>
      </c>
      <c r="B416" t="s">
        <v>1017</v>
      </c>
      <c r="C416" t="s">
        <v>1024</v>
      </c>
      <c r="D416">
        <v>43</v>
      </c>
      <c r="E416">
        <v>11</v>
      </c>
      <c r="F416" s="3">
        <v>79087</v>
      </c>
      <c r="G416">
        <v>36</v>
      </c>
      <c r="H416">
        <v>14</v>
      </c>
      <c r="I416">
        <v>7</v>
      </c>
      <c r="J416">
        <v>29</v>
      </c>
      <c r="K416">
        <v>3</v>
      </c>
      <c r="L416" s="3">
        <v>8.4</v>
      </c>
      <c r="M416" t="s">
        <v>1034</v>
      </c>
      <c r="N416">
        <v>82.73</v>
      </c>
    </row>
    <row r="417" spans="1:14" x14ac:dyDescent="0.3">
      <c r="A417" t="s">
        <v>429</v>
      </c>
      <c r="B417" t="s">
        <v>1017</v>
      </c>
      <c r="C417" t="s">
        <v>1024</v>
      </c>
      <c r="D417">
        <v>45</v>
      </c>
      <c r="E417">
        <v>14</v>
      </c>
      <c r="F417" s="3">
        <v>32472</v>
      </c>
      <c r="G417">
        <v>38</v>
      </c>
      <c r="H417">
        <v>13</v>
      </c>
      <c r="I417">
        <v>21</v>
      </c>
      <c r="J417">
        <v>14</v>
      </c>
      <c r="K417">
        <v>2</v>
      </c>
      <c r="L417" s="3">
        <v>5.5</v>
      </c>
      <c r="M417" t="s">
        <v>1036</v>
      </c>
      <c r="N417">
        <v>60.67</v>
      </c>
    </row>
    <row r="418" spans="1:14" x14ac:dyDescent="0.3">
      <c r="A418" t="s">
        <v>430</v>
      </c>
      <c r="B418" t="s">
        <v>1016</v>
      </c>
      <c r="C418" t="s">
        <v>1022</v>
      </c>
      <c r="D418">
        <v>55</v>
      </c>
      <c r="E418">
        <v>11</v>
      </c>
      <c r="F418" s="3">
        <v>71012</v>
      </c>
      <c r="G418">
        <v>38</v>
      </c>
      <c r="H418">
        <v>1</v>
      </c>
      <c r="I418">
        <v>5</v>
      </c>
      <c r="J418">
        <v>31</v>
      </c>
      <c r="K418">
        <v>2.4</v>
      </c>
      <c r="L418" s="3">
        <v>8</v>
      </c>
      <c r="M418" t="s">
        <v>1034</v>
      </c>
      <c r="N418">
        <v>56.87</v>
      </c>
    </row>
    <row r="419" spans="1:14" x14ac:dyDescent="0.3">
      <c r="A419" t="s">
        <v>431</v>
      </c>
      <c r="B419" t="s">
        <v>1017</v>
      </c>
      <c r="C419" t="s">
        <v>1030</v>
      </c>
      <c r="D419">
        <v>28</v>
      </c>
      <c r="E419">
        <v>4</v>
      </c>
      <c r="F419" s="3">
        <v>65032</v>
      </c>
      <c r="G419">
        <v>41</v>
      </c>
      <c r="H419">
        <v>4</v>
      </c>
      <c r="I419">
        <v>3</v>
      </c>
      <c r="J419">
        <v>25</v>
      </c>
      <c r="K419">
        <v>2.6</v>
      </c>
      <c r="L419" s="3">
        <v>8.8000000000000007</v>
      </c>
      <c r="M419" t="s">
        <v>1034</v>
      </c>
      <c r="N419">
        <v>67.27</v>
      </c>
    </row>
    <row r="420" spans="1:14" x14ac:dyDescent="0.3">
      <c r="A420" t="s">
        <v>432</v>
      </c>
      <c r="B420" t="s">
        <v>1016</v>
      </c>
      <c r="C420" t="s">
        <v>1033</v>
      </c>
      <c r="D420">
        <v>28</v>
      </c>
      <c r="E420">
        <v>6</v>
      </c>
      <c r="F420" s="3">
        <v>28047</v>
      </c>
      <c r="G420">
        <v>55</v>
      </c>
      <c r="H420">
        <v>14</v>
      </c>
      <c r="I420">
        <v>21</v>
      </c>
      <c r="J420">
        <v>37</v>
      </c>
      <c r="K420">
        <v>2.4</v>
      </c>
      <c r="L420" s="3">
        <v>9.1999999999999993</v>
      </c>
      <c r="M420" t="s">
        <v>1034</v>
      </c>
      <c r="N420">
        <v>85.73</v>
      </c>
    </row>
    <row r="421" spans="1:14" x14ac:dyDescent="0.3">
      <c r="A421" t="s">
        <v>433</v>
      </c>
      <c r="B421" t="s">
        <v>1015</v>
      </c>
      <c r="C421" t="s">
        <v>1020</v>
      </c>
      <c r="D421">
        <v>54</v>
      </c>
      <c r="E421">
        <v>4</v>
      </c>
      <c r="F421" s="3">
        <v>88167</v>
      </c>
      <c r="G421">
        <v>50</v>
      </c>
      <c r="H421">
        <v>1</v>
      </c>
      <c r="I421">
        <v>16</v>
      </c>
      <c r="J421">
        <v>3</v>
      </c>
      <c r="K421">
        <v>3.7</v>
      </c>
      <c r="L421" s="3">
        <v>6</v>
      </c>
      <c r="M421" t="s">
        <v>1035</v>
      </c>
      <c r="N421">
        <v>48.77</v>
      </c>
    </row>
    <row r="422" spans="1:14" x14ac:dyDescent="0.3">
      <c r="A422" t="s">
        <v>434</v>
      </c>
      <c r="B422" t="s">
        <v>1017</v>
      </c>
      <c r="C422" t="s">
        <v>1024</v>
      </c>
      <c r="D422">
        <v>54</v>
      </c>
      <c r="E422">
        <v>5</v>
      </c>
      <c r="F422" s="3">
        <v>70338</v>
      </c>
      <c r="G422">
        <v>53</v>
      </c>
      <c r="H422">
        <v>3</v>
      </c>
      <c r="I422">
        <v>23</v>
      </c>
      <c r="J422">
        <v>8</v>
      </c>
      <c r="K422">
        <v>2.2999999999999998</v>
      </c>
      <c r="L422" s="3">
        <v>7.6</v>
      </c>
      <c r="M422" t="s">
        <v>1035</v>
      </c>
      <c r="N422">
        <v>57.5</v>
      </c>
    </row>
    <row r="423" spans="1:14" x14ac:dyDescent="0.3">
      <c r="A423" t="s">
        <v>435</v>
      </c>
      <c r="B423" t="s">
        <v>1016</v>
      </c>
      <c r="C423" t="s">
        <v>1033</v>
      </c>
      <c r="D423">
        <v>54</v>
      </c>
      <c r="E423">
        <v>12</v>
      </c>
      <c r="F423" s="3">
        <v>52437</v>
      </c>
      <c r="G423">
        <v>54</v>
      </c>
      <c r="H423">
        <v>15</v>
      </c>
      <c r="I423">
        <v>22</v>
      </c>
      <c r="J423">
        <v>15</v>
      </c>
      <c r="K423">
        <v>2.8</v>
      </c>
      <c r="L423" s="3">
        <v>9.6999999999999993</v>
      </c>
      <c r="M423" t="s">
        <v>1034</v>
      </c>
      <c r="N423">
        <v>91.6</v>
      </c>
    </row>
    <row r="424" spans="1:14" x14ac:dyDescent="0.3">
      <c r="A424" t="s">
        <v>436</v>
      </c>
      <c r="B424" t="s">
        <v>1017</v>
      </c>
      <c r="C424" t="s">
        <v>1026</v>
      </c>
      <c r="D424">
        <v>30</v>
      </c>
      <c r="E424">
        <v>2</v>
      </c>
      <c r="F424" s="3">
        <v>52049</v>
      </c>
      <c r="G424">
        <v>54</v>
      </c>
      <c r="H424">
        <v>12</v>
      </c>
      <c r="I424">
        <v>23</v>
      </c>
      <c r="J424">
        <v>32</v>
      </c>
      <c r="K424">
        <v>2.9</v>
      </c>
      <c r="L424" s="3">
        <v>7.9</v>
      </c>
      <c r="M424" t="s">
        <v>1035</v>
      </c>
      <c r="N424">
        <v>76.099999999999994</v>
      </c>
    </row>
    <row r="425" spans="1:14" x14ac:dyDescent="0.3">
      <c r="A425" t="s">
        <v>437</v>
      </c>
      <c r="B425" t="s">
        <v>1015</v>
      </c>
      <c r="C425" t="s">
        <v>1020</v>
      </c>
      <c r="D425">
        <v>35</v>
      </c>
      <c r="E425">
        <v>3</v>
      </c>
      <c r="F425" s="3">
        <v>38743</v>
      </c>
      <c r="G425">
        <v>54</v>
      </c>
      <c r="H425">
        <v>12</v>
      </c>
      <c r="I425">
        <v>9</v>
      </c>
      <c r="J425">
        <v>22</v>
      </c>
      <c r="K425">
        <v>4.8</v>
      </c>
      <c r="L425" s="3">
        <v>3.9</v>
      </c>
      <c r="M425" t="s">
        <v>1036</v>
      </c>
      <c r="N425">
        <v>57.8</v>
      </c>
    </row>
    <row r="426" spans="1:14" x14ac:dyDescent="0.3">
      <c r="A426" t="s">
        <v>438</v>
      </c>
      <c r="B426" t="s">
        <v>1018</v>
      </c>
      <c r="C426" t="s">
        <v>1027</v>
      </c>
      <c r="D426">
        <v>54</v>
      </c>
      <c r="E426">
        <v>10</v>
      </c>
      <c r="F426" s="3">
        <v>71553</v>
      </c>
      <c r="G426">
        <v>38</v>
      </c>
      <c r="H426">
        <v>13</v>
      </c>
      <c r="I426">
        <v>11</v>
      </c>
      <c r="J426">
        <v>35</v>
      </c>
      <c r="K426">
        <v>3.4</v>
      </c>
      <c r="L426" s="3">
        <v>7</v>
      </c>
      <c r="M426" t="s">
        <v>1035</v>
      </c>
      <c r="N426">
        <v>73.87</v>
      </c>
    </row>
    <row r="427" spans="1:14" x14ac:dyDescent="0.3">
      <c r="A427" t="s">
        <v>439</v>
      </c>
      <c r="B427" t="s">
        <v>1017</v>
      </c>
      <c r="C427" t="s">
        <v>1030</v>
      </c>
      <c r="D427">
        <v>40</v>
      </c>
      <c r="E427">
        <v>13</v>
      </c>
      <c r="F427" s="3">
        <v>77973</v>
      </c>
      <c r="G427">
        <v>35</v>
      </c>
      <c r="H427">
        <v>9</v>
      </c>
      <c r="I427">
        <v>3</v>
      </c>
      <c r="J427">
        <v>1</v>
      </c>
      <c r="K427">
        <v>3.1</v>
      </c>
      <c r="L427" s="3">
        <v>3.4</v>
      </c>
      <c r="M427" t="s">
        <v>1036</v>
      </c>
      <c r="N427">
        <v>44.7</v>
      </c>
    </row>
    <row r="428" spans="1:14" x14ac:dyDescent="0.3">
      <c r="A428" t="s">
        <v>440</v>
      </c>
      <c r="B428" t="s">
        <v>1018</v>
      </c>
      <c r="C428" t="s">
        <v>1032</v>
      </c>
      <c r="D428">
        <v>39</v>
      </c>
      <c r="E428">
        <v>5</v>
      </c>
      <c r="F428" s="3">
        <v>89456</v>
      </c>
      <c r="G428">
        <v>44</v>
      </c>
      <c r="H428">
        <v>11</v>
      </c>
      <c r="I428">
        <v>8</v>
      </c>
      <c r="J428">
        <v>9</v>
      </c>
      <c r="K428">
        <v>4.5</v>
      </c>
      <c r="L428" s="3">
        <v>7.8</v>
      </c>
      <c r="M428" t="s">
        <v>1035</v>
      </c>
      <c r="N428">
        <v>78.63</v>
      </c>
    </row>
    <row r="429" spans="1:14" x14ac:dyDescent="0.3">
      <c r="A429" t="s">
        <v>441</v>
      </c>
      <c r="B429" t="s">
        <v>1018</v>
      </c>
      <c r="C429" t="s">
        <v>1027</v>
      </c>
      <c r="D429">
        <v>24</v>
      </c>
      <c r="E429">
        <v>2</v>
      </c>
      <c r="F429" s="3">
        <v>78348</v>
      </c>
      <c r="G429">
        <v>49</v>
      </c>
      <c r="H429">
        <v>2</v>
      </c>
      <c r="I429">
        <v>19</v>
      </c>
      <c r="J429">
        <v>35</v>
      </c>
      <c r="K429">
        <v>4.5999999999999996</v>
      </c>
      <c r="L429" s="3">
        <v>8.1999999999999993</v>
      </c>
      <c r="M429" t="s">
        <v>1034</v>
      </c>
      <c r="N429">
        <v>66.33</v>
      </c>
    </row>
    <row r="430" spans="1:14" x14ac:dyDescent="0.3">
      <c r="A430" t="s">
        <v>442</v>
      </c>
      <c r="B430" t="s">
        <v>1017</v>
      </c>
      <c r="C430" t="s">
        <v>1024</v>
      </c>
      <c r="D430">
        <v>37</v>
      </c>
      <c r="E430">
        <v>9</v>
      </c>
      <c r="F430" s="3">
        <v>70412</v>
      </c>
      <c r="G430">
        <v>36</v>
      </c>
      <c r="H430">
        <v>15</v>
      </c>
      <c r="I430">
        <v>12</v>
      </c>
      <c r="J430">
        <v>24</v>
      </c>
      <c r="K430">
        <v>3.2</v>
      </c>
      <c r="L430" s="3">
        <v>8.5</v>
      </c>
      <c r="M430" t="s">
        <v>1034</v>
      </c>
      <c r="N430">
        <v>85.6</v>
      </c>
    </row>
    <row r="431" spans="1:14" x14ac:dyDescent="0.3">
      <c r="A431" t="s">
        <v>443</v>
      </c>
      <c r="B431" t="s">
        <v>1016</v>
      </c>
      <c r="C431" t="s">
        <v>1022</v>
      </c>
      <c r="D431">
        <v>25</v>
      </c>
      <c r="E431">
        <v>0</v>
      </c>
      <c r="F431" s="3">
        <v>73737</v>
      </c>
      <c r="G431">
        <v>43</v>
      </c>
      <c r="H431">
        <v>4</v>
      </c>
      <c r="I431">
        <v>19</v>
      </c>
      <c r="J431">
        <v>28</v>
      </c>
      <c r="K431">
        <v>4.5</v>
      </c>
      <c r="L431" s="3">
        <v>9.4</v>
      </c>
      <c r="M431" t="s">
        <v>1034</v>
      </c>
      <c r="N431">
        <v>76.569999999999993</v>
      </c>
    </row>
    <row r="432" spans="1:14" x14ac:dyDescent="0.3">
      <c r="A432" t="s">
        <v>444</v>
      </c>
      <c r="B432" t="s">
        <v>1016</v>
      </c>
      <c r="C432" t="s">
        <v>1023</v>
      </c>
      <c r="D432">
        <v>34</v>
      </c>
      <c r="E432">
        <v>12</v>
      </c>
      <c r="F432" s="3">
        <v>72507</v>
      </c>
      <c r="G432">
        <v>41</v>
      </c>
      <c r="H432">
        <v>5</v>
      </c>
      <c r="I432">
        <v>14</v>
      </c>
      <c r="J432">
        <v>11</v>
      </c>
      <c r="K432">
        <v>5</v>
      </c>
      <c r="L432" s="3">
        <v>3.5</v>
      </c>
      <c r="M432" t="s">
        <v>1036</v>
      </c>
      <c r="N432">
        <v>44.33</v>
      </c>
    </row>
    <row r="433" spans="1:14" x14ac:dyDescent="0.3">
      <c r="A433" t="s">
        <v>445</v>
      </c>
      <c r="B433" t="s">
        <v>1015</v>
      </c>
      <c r="C433" t="s">
        <v>1021</v>
      </c>
      <c r="D433">
        <v>29</v>
      </c>
      <c r="E433">
        <v>6</v>
      </c>
      <c r="F433" s="3">
        <v>27663</v>
      </c>
      <c r="G433">
        <v>48</v>
      </c>
      <c r="H433">
        <v>5</v>
      </c>
      <c r="I433">
        <v>17</v>
      </c>
      <c r="J433">
        <v>16</v>
      </c>
      <c r="K433">
        <v>2.4</v>
      </c>
      <c r="L433" s="3">
        <v>7.1</v>
      </c>
      <c r="M433" t="s">
        <v>1035</v>
      </c>
      <c r="N433">
        <v>58.13</v>
      </c>
    </row>
    <row r="434" spans="1:14" x14ac:dyDescent="0.3">
      <c r="A434" t="s">
        <v>446</v>
      </c>
      <c r="B434" t="s">
        <v>1014</v>
      </c>
      <c r="C434" t="s">
        <v>1025</v>
      </c>
      <c r="D434">
        <v>43</v>
      </c>
      <c r="E434">
        <v>14</v>
      </c>
      <c r="F434" s="3">
        <v>71510</v>
      </c>
      <c r="G434">
        <v>39</v>
      </c>
      <c r="H434">
        <v>1</v>
      </c>
      <c r="I434">
        <v>4</v>
      </c>
      <c r="J434">
        <v>20</v>
      </c>
      <c r="K434">
        <v>3.8</v>
      </c>
      <c r="L434" s="3">
        <v>8.4</v>
      </c>
      <c r="M434" t="s">
        <v>1034</v>
      </c>
      <c r="N434">
        <v>63.47</v>
      </c>
    </row>
    <row r="435" spans="1:14" x14ac:dyDescent="0.3">
      <c r="A435" t="s">
        <v>447</v>
      </c>
      <c r="B435" t="s">
        <v>1015</v>
      </c>
      <c r="C435" t="s">
        <v>1029</v>
      </c>
      <c r="D435">
        <v>41</v>
      </c>
      <c r="E435">
        <v>15</v>
      </c>
      <c r="F435" s="3">
        <v>76767</v>
      </c>
      <c r="G435">
        <v>53</v>
      </c>
      <c r="H435">
        <v>9</v>
      </c>
      <c r="I435">
        <v>11</v>
      </c>
      <c r="J435">
        <v>4</v>
      </c>
      <c r="K435">
        <v>4.4000000000000004</v>
      </c>
      <c r="L435" s="3">
        <v>5.2</v>
      </c>
      <c r="M435" t="s">
        <v>1036</v>
      </c>
      <c r="N435">
        <v>59.4</v>
      </c>
    </row>
    <row r="436" spans="1:14" x14ac:dyDescent="0.3">
      <c r="A436" t="s">
        <v>448</v>
      </c>
      <c r="B436" t="s">
        <v>1018</v>
      </c>
      <c r="C436" t="s">
        <v>1028</v>
      </c>
      <c r="D436">
        <v>55</v>
      </c>
      <c r="E436">
        <v>2</v>
      </c>
      <c r="F436" s="3">
        <v>76528</v>
      </c>
      <c r="G436">
        <v>51</v>
      </c>
      <c r="H436">
        <v>3</v>
      </c>
      <c r="I436">
        <v>13</v>
      </c>
      <c r="J436">
        <v>34</v>
      </c>
      <c r="K436">
        <v>3.6</v>
      </c>
      <c r="L436" s="3">
        <v>3.6</v>
      </c>
      <c r="M436" t="s">
        <v>1036</v>
      </c>
      <c r="N436">
        <v>37.4</v>
      </c>
    </row>
    <row r="437" spans="1:14" x14ac:dyDescent="0.3">
      <c r="A437" t="s">
        <v>449</v>
      </c>
      <c r="B437" t="s">
        <v>1018</v>
      </c>
      <c r="C437" t="s">
        <v>1027</v>
      </c>
      <c r="D437">
        <v>43</v>
      </c>
      <c r="E437">
        <v>10</v>
      </c>
      <c r="F437" s="3">
        <v>48645</v>
      </c>
      <c r="G437">
        <v>44</v>
      </c>
      <c r="H437">
        <v>4</v>
      </c>
      <c r="I437">
        <v>24</v>
      </c>
      <c r="J437">
        <v>39</v>
      </c>
      <c r="K437">
        <v>3.6</v>
      </c>
      <c r="L437" s="3">
        <v>10</v>
      </c>
      <c r="M437" t="s">
        <v>1034</v>
      </c>
      <c r="N437">
        <v>77.47</v>
      </c>
    </row>
    <row r="438" spans="1:14" x14ac:dyDescent="0.3">
      <c r="A438" t="s">
        <v>450</v>
      </c>
      <c r="B438" t="s">
        <v>1014</v>
      </c>
      <c r="C438" t="s">
        <v>1019</v>
      </c>
      <c r="D438">
        <v>29</v>
      </c>
      <c r="E438">
        <v>5</v>
      </c>
      <c r="F438" s="3">
        <v>54207</v>
      </c>
      <c r="G438">
        <v>42</v>
      </c>
      <c r="H438">
        <v>15</v>
      </c>
      <c r="I438">
        <v>20</v>
      </c>
      <c r="J438">
        <v>39</v>
      </c>
      <c r="K438">
        <v>4.8</v>
      </c>
      <c r="L438" s="3">
        <v>4.7</v>
      </c>
      <c r="M438" t="s">
        <v>1036</v>
      </c>
      <c r="N438">
        <v>67.599999999999994</v>
      </c>
    </row>
    <row r="439" spans="1:14" x14ac:dyDescent="0.3">
      <c r="A439" t="s">
        <v>451</v>
      </c>
      <c r="B439" t="s">
        <v>1016</v>
      </c>
      <c r="C439" t="s">
        <v>1033</v>
      </c>
      <c r="D439">
        <v>46</v>
      </c>
      <c r="E439">
        <v>3</v>
      </c>
      <c r="F439" s="3">
        <v>50288</v>
      </c>
      <c r="G439">
        <v>43</v>
      </c>
      <c r="H439">
        <v>9</v>
      </c>
      <c r="I439">
        <v>23</v>
      </c>
      <c r="J439">
        <v>18</v>
      </c>
      <c r="K439">
        <v>2.1</v>
      </c>
      <c r="L439" s="3">
        <v>6.6</v>
      </c>
      <c r="M439" t="s">
        <v>1035</v>
      </c>
      <c r="N439">
        <v>60.9</v>
      </c>
    </row>
    <row r="440" spans="1:14" x14ac:dyDescent="0.3">
      <c r="A440" t="s">
        <v>452</v>
      </c>
      <c r="B440" t="s">
        <v>1015</v>
      </c>
      <c r="C440" t="s">
        <v>1029</v>
      </c>
      <c r="D440">
        <v>54</v>
      </c>
      <c r="E440">
        <v>14</v>
      </c>
      <c r="F440" s="3">
        <v>56903</v>
      </c>
      <c r="G440">
        <v>36</v>
      </c>
      <c r="H440">
        <v>5</v>
      </c>
      <c r="I440">
        <v>20</v>
      </c>
      <c r="J440">
        <v>12</v>
      </c>
      <c r="K440">
        <v>3</v>
      </c>
      <c r="L440" s="3">
        <v>3.6</v>
      </c>
      <c r="M440" t="s">
        <v>1036</v>
      </c>
      <c r="N440">
        <v>38.93</v>
      </c>
    </row>
    <row r="441" spans="1:14" x14ac:dyDescent="0.3">
      <c r="A441" t="s">
        <v>453</v>
      </c>
      <c r="B441" t="s">
        <v>1018</v>
      </c>
      <c r="C441" t="s">
        <v>1027</v>
      </c>
      <c r="D441">
        <v>22</v>
      </c>
      <c r="E441">
        <v>0</v>
      </c>
      <c r="F441" s="3">
        <v>38813</v>
      </c>
      <c r="G441">
        <v>55</v>
      </c>
      <c r="H441">
        <v>13</v>
      </c>
      <c r="I441">
        <v>6</v>
      </c>
      <c r="J441">
        <v>27</v>
      </c>
      <c r="K441">
        <v>4.5</v>
      </c>
      <c r="L441" s="3">
        <v>4.4000000000000004</v>
      </c>
      <c r="M441" t="s">
        <v>1036</v>
      </c>
      <c r="N441">
        <v>61.57</v>
      </c>
    </row>
    <row r="442" spans="1:14" x14ac:dyDescent="0.3">
      <c r="A442" t="s">
        <v>454</v>
      </c>
      <c r="B442" t="s">
        <v>1017</v>
      </c>
      <c r="C442" t="s">
        <v>1030</v>
      </c>
      <c r="D442">
        <v>26</v>
      </c>
      <c r="E442">
        <v>5</v>
      </c>
      <c r="F442" s="3">
        <v>69960</v>
      </c>
      <c r="G442">
        <v>39</v>
      </c>
      <c r="H442">
        <v>1</v>
      </c>
      <c r="I442">
        <v>14</v>
      </c>
      <c r="J442">
        <v>21</v>
      </c>
      <c r="K442">
        <v>2.1</v>
      </c>
      <c r="L442" s="3">
        <v>3.5</v>
      </c>
      <c r="M442" t="s">
        <v>1036</v>
      </c>
      <c r="N442">
        <v>28.97</v>
      </c>
    </row>
    <row r="443" spans="1:14" x14ac:dyDescent="0.3">
      <c r="A443" t="s">
        <v>455</v>
      </c>
      <c r="B443" t="s">
        <v>1016</v>
      </c>
      <c r="C443" t="s">
        <v>1033</v>
      </c>
      <c r="D443">
        <v>26</v>
      </c>
      <c r="E443">
        <v>4</v>
      </c>
      <c r="F443" s="3">
        <v>78845</v>
      </c>
      <c r="G443">
        <v>42</v>
      </c>
      <c r="H443">
        <v>15</v>
      </c>
      <c r="I443">
        <v>8</v>
      </c>
      <c r="J443">
        <v>26</v>
      </c>
      <c r="K443">
        <v>3.2</v>
      </c>
      <c r="L443" s="3">
        <v>7.4</v>
      </c>
      <c r="M443" t="s">
        <v>1035</v>
      </c>
      <c r="N443">
        <v>79</v>
      </c>
    </row>
    <row r="444" spans="1:14" x14ac:dyDescent="0.3">
      <c r="A444" t="s">
        <v>456</v>
      </c>
      <c r="B444" t="s">
        <v>1016</v>
      </c>
      <c r="C444" t="s">
        <v>1023</v>
      </c>
      <c r="D444">
        <v>23</v>
      </c>
      <c r="E444">
        <v>1</v>
      </c>
      <c r="F444" s="3">
        <v>69125</v>
      </c>
      <c r="G444">
        <v>38</v>
      </c>
      <c r="H444">
        <v>9</v>
      </c>
      <c r="I444">
        <v>0</v>
      </c>
      <c r="J444">
        <v>39</v>
      </c>
      <c r="K444">
        <v>2.2000000000000002</v>
      </c>
      <c r="L444" s="3">
        <v>8.1999999999999993</v>
      </c>
      <c r="M444" t="s">
        <v>1034</v>
      </c>
      <c r="N444">
        <v>70.8</v>
      </c>
    </row>
    <row r="445" spans="1:14" x14ac:dyDescent="0.3">
      <c r="A445" t="s">
        <v>457</v>
      </c>
      <c r="B445" t="s">
        <v>1014</v>
      </c>
      <c r="C445" t="s">
        <v>1031</v>
      </c>
      <c r="D445">
        <v>44</v>
      </c>
      <c r="E445">
        <v>3</v>
      </c>
      <c r="F445" s="3">
        <v>43994</v>
      </c>
      <c r="G445">
        <v>44</v>
      </c>
      <c r="H445">
        <v>10</v>
      </c>
      <c r="I445">
        <v>2</v>
      </c>
      <c r="J445">
        <v>18</v>
      </c>
      <c r="K445">
        <v>4.3</v>
      </c>
      <c r="L445" s="3">
        <v>6.1</v>
      </c>
      <c r="M445" t="s">
        <v>1035</v>
      </c>
      <c r="N445">
        <v>66.17</v>
      </c>
    </row>
    <row r="446" spans="1:14" x14ac:dyDescent="0.3">
      <c r="A446" t="s">
        <v>458</v>
      </c>
      <c r="B446" t="s">
        <v>1014</v>
      </c>
      <c r="C446" t="s">
        <v>1031</v>
      </c>
      <c r="D446">
        <v>52</v>
      </c>
      <c r="E446">
        <v>5</v>
      </c>
      <c r="F446" s="3">
        <v>59961</v>
      </c>
      <c r="G446">
        <v>42</v>
      </c>
      <c r="H446">
        <v>3</v>
      </c>
      <c r="I446">
        <v>23</v>
      </c>
      <c r="J446">
        <v>25</v>
      </c>
      <c r="K446">
        <v>4.4000000000000004</v>
      </c>
      <c r="L446" s="3">
        <v>8.9</v>
      </c>
      <c r="M446" t="s">
        <v>1034</v>
      </c>
      <c r="N446">
        <v>71.599999999999994</v>
      </c>
    </row>
    <row r="447" spans="1:14" x14ac:dyDescent="0.3">
      <c r="A447" t="s">
        <v>459</v>
      </c>
      <c r="B447" t="s">
        <v>1018</v>
      </c>
      <c r="C447" t="s">
        <v>1027</v>
      </c>
      <c r="D447">
        <v>41</v>
      </c>
      <c r="E447">
        <v>11</v>
      </c>
      <c r="F447" s="3">
        <v>87743</v>
      </c>
      <c r="G447">
        <v>35</v>
      </c>
      <c r="H447">
        <v>9</v>
      </c>
      <c r="I447">
        <v>17</v>
      </c>
      <c r="J447">
        <v>9</v>
      </c>
      <c r="K447">
        <v>2.4</v>
      </c>
      <c r="L447" s="3">
        <v>3</v>
      </c>
      <c r="M447" t="s">
        <v>1036</v>
      </c>
      <c r="N447">
        <v>40.200000000000003</v>
      </c>
    </row>
    <row r="448" spans="1:14" x14ac:dyDescent="0.3">
      <c r="A448" t="s">
        <v>460</v>
      </c>
      <c r="B448" t="s">
        <v>1017</v>
      </c>
      <c r="C448" t="s">
        <v>1024</v>
      </c>
      <c r="D448">
        <v>27</v>
      </c>
      <c r="E448">
        <v>2</v>
      </c>
      <c r="F448" s="3">
        <v>38766</v>
      </c>
      <c r="G448">
        <v>46</v>
      </c>
      <c r="H448">
        <v>4</v>
      </c>
      <c r="I448">
        <v>13</v>
      </c>
      <c r="J448">
        <v>32</v>
      </c>
      <c r="K448">
        <v>2.4</v>
      </c>
      <c r="L448" s="3">
        <v>4.3</v>
      </c>
      <c r="M448" t="s">
        <v>1036</v>
      </c>
      <c r="N448">
        <v>39.67</v>
      </c>
    </row>
    <row r="449" spans="1:14" x14ac:dyDescent="0.3">
      <c r="A449" t="s">
        <v>461</v>
      </c>
      <c r="B449" t="s">
        <v>1016</v>
      </c>
      <c r="C449" t="s">
        <v>1033</v>
      </c>
      <c r="D449">
        <v>34</v>
      </c>
      <c r="E449">
        <v>1</v>
      </c>
      <c r="F449" s="3">
        <v>36885</v>
      </c>
      <c r="G449">
        <v>53</v>
      </c>
      <c r="H449">
        <v>14</v>
      </c>
      <c r="I449">
        <v>1</v>
      </c>
      <c r="J449">
        <v>35</v>
      </c>
      <c r="K449">
        <v>3.4</v>
      </c>
      <c r="L449" s="3">
        <v>6.8</v>
      </c>
      <c r="M449" t="s">
        <v>1035</v>
      </c>
      <c r="N449">
        <v>74.33</v>
      </c>
    </row>
    <row r="450" spans="1:14" x14ac:dyDescent="0.3">
      <c r="A450" t="s">
        <v>462</v>
      </c>
      <c r="B450" t="s">
        <v>1014</v>
      </c>
      <c r="C450" t="s">
        <v>1019</v>
      </c>
      <c r="D450">
        <v>38</v>
      </c>
      <c r="E450">
        <v>3</v>
      </c>
      <c r="F450" s="3">
        <v>37937</v>
      </c>
      <c r="G450">
        <v>53</v>
      </c>
      <c r="H450">
        <v>8</v>
      </c>
      <c r="I450">
        <v>10</v>
      </c>
      <c r="J450">
        <v>22</v>
      </c>
      <c r="K450">
        <v>2.4</v>
      </c>
      <c r="L450" s="3">
        <v>7.6</v>
      </c>
      <c r="M450" t="s">
        <v>1035</v>
      </c>
      <c r="N450">
        <v>66.13</v>
      </c>
    </row>
    <row r="451" spans="1:14" x14ac:dyDescent="0.3">
      <c r="A451" t="s">
        <v>463</v>
      </c>
      <c r="B451" t="s">
        <v>1016</v>
      </c>
      <c r="C451" t="s">
        <v>1023</v>
      </c>
      <c r="D451">
        <v>26</v>
      </c>
      <c r="E451">
        <v>1</v>
      </c>
      <c r="F451" s="3">
        <v>45826</v>
      </c>
      <c r="G451">
        <v>50</v>
      </c>
      <c r="H451">
        <v>8</v>
      </c>
      <c r="I451">
        <v>10</v>
      </c>
      <c r="J451">
        <v>39</v>
      </c>
      <c r="K451">
        <v>4</v>
      </c>
      <c r="L451" s="3">
        <v>7.9</v>
      </c>
      <c r="M451" t="s">
        <v>1035</v>
      </c>
      <c r="N451">
        <v>72.73</v>
      </c>
    </row>
    <row r="452" spans="1:14" x14ac:dyDescent="0.3">
      <c r="A452" t="s">
        <v>464</v>
      </c>
      <c r="B452" t="s">
        <v>1015</v>
      </c>
      <c r="C452" t="s">
        <v>1020</v>
      </c>
      <c r="D452">
        <v>45</v>
      </c>
      <c r="E452">
        <v>10</v>
      </c>
      <c r="F452" s="3">
        <v>87826</v>
      </c>
      <c r="G452">
        <v>48</v>
      </c>
      <c r="H452">
        <v>3</v>
      </c>
      <c r="I452">
        <v>0</v>
      </c>
      <c r="J452">
        <v>20</v>
      </c>
      <c r="K452">
        <v>2.7</v>
      </c>
      <c r="L452" s="3">
        <v>4.5999999999999996</v>
      </c>
      <c r="M452" t="s">
        <v>1036</v>
      </c>
      <c r="N452">
        <v>40.700000000000003</v>
      </c>
    </row>
    <row r="453" spans="1:14" x14ac:dyDescent="0.3">
      <c r="A453" t="s">
        <v>465</v>
      </c>
      <c r="B453" t="s">
        <v>1017</v>
      </c>
      <c r="C453" t="s">
        <v>1026</v>
      </c>
      <c r="D453">
        <v>39</v>
      </c>
      <c r="E453">
        <v>11</v>
      </c>
      <c r="F453" s="3">
        <v>33801</v>
      </c>
      <c r="G453">
        <v>45</v>
      </c>
      <c r="H453">
        <v>15</v>
      </c>
      <c r="I453">
        <v>15</v>
      </c>
      <c r="J453">
        <v>29</v>
      </c>
      <c r="K453">
        <v>3.3</v>
      </c>
      <c r="L453" s="3">
        <v>8.4</v>
      </c>
      <c r="M453" t="s">
        <v>1034</v>
      </c>
      <c r="N453">
        <v>85.3</v>
      </c>
    </row>
    <row r="454" spans="1:14" x14ac:dyDescent="0.3">
      <c r="A454" t="s">
        <v>466</v>
      </c>
      <c r="B454" t="s">
        <v>1015</v>
      </c>
      <c r="C454" t="s">
        <v>1020</v>
      </c>
      <c r="D454">
        <v>28</v>
      </c>
      <c r="E454">
        <v>2</v>
      </c>
      <c r="F454" s="3">
        <v>67306</v>
      </c>
      <c r="G454">
        <v>54</v>
      </c>
      <c r="H454">
        <v>2</v>
      </c>
      <c r="I454">
        <v>8</v>
      </c>
      <c r="J454">
        <v>8</v>
      </c>
      <c r="K454">
        <v>4.7</v>
      </c>
      <c r="L454" s="3">
        <v>4.4000000000000004</v>
      </c>
      <c r="M454" t="s">
        <v>1036</v>
      </c>
      <c r="N454">
        <v>43.83</v>
      </c>
    </row>
    <row r="455" spans="1:14" x14ac:dyDescent="0.3">
      <c r="A455" t="s">
        <v>467</v>
      </c>
      <c r="B455" t="s">
        <v>1014</v>
      </c>
      <c r="C455" t="s">
        <v>1019</v>
      </c>
      <c r="D455">
        <v>26</v>
      </c>
      <c r="E455">
        <v>0</v>
      </c>
      <c r="F455" s="3">
        <v>80678</v>
      </c>
      <c r="G455">
        <v>51</v>
      </c>
      <c r="H455">
        <v>11</v>
      </c>
      <c r="I455">
        <v>0</v>
      </c>
      <c r="J455">
        <v>37</v>
      </c>
      <c r="K455">
        <v>3.7</v>
      </c>
      <c r="L455" s="3">
        <v>8.4</v>
      </c>
      <c r="M455" t="s">
        <v>1034</v>
      </c>
      <c r="N455">
        <v>79.83</v>
      </c>
    </row>
    <row r="456" spans="1:14" x14ac:dyDescent="0.3">
      <c r="A456" t="s">
        <v>468</v>
      </c>
      <c r="B456" t="s">
        <v>1014</v>
      </c>
      <c r="C456" t="s">
        <v>1031</v>
      </c>
      <c r="D456">
        <v>38</v>
      </c>
      <c r="E456">
        <v>15</v>
      </c>
      <c r="F456" s="3">
        <v>67854</v>
      </c>
      <c r="G456">
        <v>39</v>
      </c>
      <c r="H456">
        <v>6</v>
      </c>
      <c r="I456">
        <v>12</v>
      </c>
      <c r="J456">
        <v>14</v>
      </c>
      <c r="K456">
        <v>4.7</v>
      </c>
      <c r="L456" s="3">
        <v>7.1</v>
      </c>
      <c r="M456" t="s">
        <v>1035</v>
      </c>
      <c r="N456">
        <v>66.7</v>
      </c>
    </row>
    <row r="457" spans="1:14" x14ac:dyDescent="0.3">
      <c r="A457" t="s">
        <v>469</v>
      </c>
      <c r="B457" t="s">
        <v>1018</v>
      </c>
      <c r="C457" t="s">
        <v>1027</v>
      </c>
      <c r="D457">
        <v>51</v>
      </c>
      <c r="E457">
        <v>2</v>
      </c>
      <c r="F457" s="3">
        <v>51003</v>
      </c>
      <c r="G457">
        <v>46</v>
      </c>
      <c r="H457">
        <v>9</v>
      </c>
      <c r="I457">
        <v>0</v>
      </c>
      <c r="J457">
        <v>15</v>
      </c>
      <c r="K457">
        <v>4.5</v>
      </c>
      <c r="L457" s="3">
        <v>8.6</v>
      </c>
      <c r="M457" t="s">
        <v>1034</v>
      </c>
      <c r="N457">
        <v>80.099999999999994</v>
      </c>
    </row>
    <row r="458" spans="1:14" x14ac:dyDescent="0.3">
      <c r="A458" t="s">
        <v>470</v>
      </c>
      <c r="B458" t="s">
        <v>1018</v>
      </c>
      <c r="C458" t="s">
        <v>1027</v>
      </c>
      <c r="D458">
        <v>54</v>
      </c>
      <c r="E458">
        <v>4</v>
      </c>
      <c r="F458" s="3">
        <v>54243</v>
      </c>
      <c r="G458">
        <v>40</v>
      </c>
      <c r="H458">
        <v>3</v>
      </c>
      <c r="I458">
        <v>18</v>
      </c>
      <c r="J458">
        <v>36</v>
      </c>
      <c r="K458">
        <v>4</v>
      </c>
      <c r="L458" s="3">
        <v>9.8000000000000007</v>
      </c>
      <c r="M458" t="s">
        <v>1034</v>
      </c>
      <c r="N458">
        <v>75.8</v>
      </c>
    </row>
    <row r="459" spans="1:14" x14ac:dyDescent="0.3">
      <c r="A459" t="s">
        <v>471</v>
      </c>
      <c r="B459" t="s">
        <v>1017</v>
      </c>
      <c r="C459" t="s">
        <v>1030</v>
      </c>
      <c r="D459">
        <v>44</v>
      </c>
      <c r="E459">
        <v>1</v>
      </c>
      <c r="F459" s="3">
        <v>39340</v>
      </c>
      <c r="G459">
        <v>50</v>
      </c>
      <c r="H459">
        <v>4</v>
      </c>
      <c r="I459">
        <v>2</v>
      </c>
      <c r="J459">
        <v>16</v>
      </c>
      <c r="K459">
        <v>3.1</v>
      </c>
      <c r="L459" s="3">
        <v>3.3</v>
      </c>
      <c r="M459" t="s">
        <v>1036</v>
      </c>
      <c r="N459">
        <v>35.770000000000003</v>
      </c>
    </row>
    <row r="460" spans="1:14" x14ac:dyDescent="0.3">
      <c r="A460" t="s">
        <v>472</v>
      </c>
      <c r="B460" t="s">
        <v>1015</v>
      </c>
      <c r="C460" t="s">
        <v>1020</v>
      </c>
      <c r="D460">
        <v>45</v>
      </c>
      <c r="E460">
        <v>12</v>
      </c>
      <c r="F460" s="3">
        <v>55780</v>
      </c>
      <c r="G460">
        <v>49</v>
      </c>
      <c r="H460">
        <v>15</v>
      </c>
      <c r="I460">
        <v>1</v>
      </c>
      <c r="J460">
        <v>2</v>
      </c>
      <c r="K460">
        <v>4.9000000000000004</v>
      </c>
      <c r="L460" s="3">
        <v>5.3</v>
      </c>
      <c r="M460" t="s">
        <v>1036</v>
      </c>
      <c r="N460">
        <v>71.5</v>
      </c>
    </row>
    <row r="461" spans="1:14" x14ac:dyDescent="0.3">
      <c r="A461" t="s">
        <v>473</v>
      </c>
      <c r="B461" t="s">
        <v>1015</v>
      </c>
      <c r="C461" t="s">
        <v>1020</v>
      </c>
      <c r="D461">
        <v>39</v>
      </c>
      <c r="E461">
        <v>8</v>
      </c>
      <c r="F461" s="3">
        <v>62921</v>
      </c>
      <c r="G461">
        <v>52</v>
      </c>
      <c r="H461">
        <v>10</v>
      </c>
      <c r="I461">
        <v>5</v>
      </c>
      <c r="J461">
        <v>24</v>
      </c>
      <c r="K461">
        <v>4</v>
      </c>
      <c r="L461" s="3">
        <v>5.6</v>
      </c>
      <c r="M461" t="s">
        <v>1036</v>
      </c>
      <c r="N461">
        <v>62.27</v>
      </c>
    </row>
    <row r="462" spans="1:14" x14ac:dyDescent="0.3">
      <c r="A462" t="s">
        <v>474</v>
      </c>
      <c r="B462" t="s">
        <v>1014</v>
      </c>
      <c r="C462" t="s">
        <v>1031</v>
      </c>
      <c r="D462">
        <v>55</v>
      </c>
      <c r="E462">
        <v>8</v>
      </c>
      <c r="F462" s="3">
        <v>49663</v>
      </c>
      <c r="G462">
        <v>42</v>
      </c>
      <c r="H462">
        <v>9</v>
      </c>
      <c r="I462">
        <v>12</v>
      </c>
      <c r="J462">
        <v>22</v>
      </c>
      <c r="K462">
        <v>4.5</v>
      </c>
      <c r="L462" s="3">
        <v>5.4</v>
      </c>
      <c r="M462" t="s">
        <v>1036</v>
      </c>
      <c r="N462">
        <v>60.9</v>
      </c>
    </row>
    <row r="463" spans="1:14" x14ac:dyDescent="0.3">
      <c r="A463" t="s">
        <v>475</v>
      </c>
      <c r="B463" t="s">
        <v>1015</v>
      </c>
      <c r="C463" t="s">
        <v>1029</v>
      </c>
      <c r="D463">
        <v>22</v>
      </c>
      <c r="E463">
        <v>0</v>
      </c>
      <c r="F463" s="3">
        <v>53829</v>
      </c>
      <c r="G463">
        <v>40</v>
      </c>
      <c r="H463">
        <v>4</v>
      </c>
      <c r="I463">
        <v>2</v>
      </c>
      <c r="J463">
        <v>32</v>
      </c>
      <c r="K463">
        <v>3.9</v>
      </c>
      <c r="L463" s="3">
        <v>4.5</v>
      </c>
      <c r="M463" t="s">
        <v>1036</v>
      </c>
      <c r="N463">
        <v>45.37</v>
      </c>
    </row>
    <row r="464" spans="1:14" x14ac:dyDescent="0.3">
      <c r="A464" t="s">
        <v>476</v>
      </c>
      <c r="B464" t="s">
        <v>1018</v>
      </c>
      <c r="C464" t="s">
        <v>1032</v>
      </c>
      <c r="D464">
        <v>45</v>
      </c>
      <c r="E464">
        <v>3</v>
      </c>
      <c r="F464" s="3">
        <v>68326</v>
      </c>
      <c r="G464">
        <v>42</v>
      </c>
      <c r="H464">
        <v>7</v>
      </c>
      <c r="I464">
        <v>25</v>
      </c>
      <c r="J464">
        <v>21</v>
      </c>
      <c r="K464">
        <v>4.2</v>
      </c>
      <c r="L464" s="3">
        <v>6.4</v>
      </c>
      <c r="M464" t="s">
        <v>1035</v>
      </c>
      <c r="N464">
        <v>62.67</v>
      </c>
    </row>
    <row r="465" spans="1:14" x14ac:dyDescent="0.3">
      <c r="A465" t="s">
        <v>477</v>
      </c>
      <c r="B465" t="s">
        <v>1017</v>
      </c>
      <c r="C465" t="s">
        <v>1024</v>
      </c>
      <c r="D465">
        <v>35</v>
      </c>
      <c r="E465">
        <v>9</v>
      </c>
      <c r="F465" s="3">
        <v>35567</v>
      </c>
      <c r="G465">
        <v>55</v>
      </c>
      <c r="H465">
        <v>14</v>
      </c>
      <c r="I465">
        <v>13</v>
      </c>
      <c r="J465">
        <v>1</v>
      </c>
      <c r="K465">
        <v>2.7</v>
      </c>
      <c r="L465" s="3">
        <v>3.9</v>
      </c>
      <c r="M465" t="s">
        <v>1036</v>
      </c>
      <c r="N465">
        <v>54.83</v>
      </c>
    </row>
    <row r="466" spans="1:14" x14ac:dyDescent="0.3">
      <c r="A466" t="s">
        <v>478</v>
      </c>
      <c r="B466" t="s">
        <v>1018</v>
      </c>
      <c r="C466" t="s">
        <v>1032</v>
      </c>
      <c r="D466">
        <v>30</v>
      </c>
      <c r="E466">
        <v>8</v>
      </c>
      <c r="F466" s="3">
        <v>27568</v>
      </c>
      <c r="G466">
        <v>53</v>
      </c>
      <c r="H466">
        <v>3</v>
      </c>
      <c r="I466">
        <v>1</v>
      </c>
      <c r="J466">
        <v>10</v>
      </c>
      <c r="K466">
        <v>2.8</v>
      </c>
      <c r="L466" s="3">
        <v>4.3</v>
      </c>
      <c r="M466" t="s">
        <v>1036</v>
      </c>
      <c r="N466">
        <v>39.200000000000003</v>
      </c>
    </row>
    <row r="467" spans="1:14" x14ac:dyDescent="0.3">
      <c r="A467" t="s">
        <v>479</v>
      </c>
      <c r="B467" t="s">
        <v>1015</v>
      </c>
      <c r="C467" t="s">
        <v>1021</v>
      </c>
      <c r="D467">
        <v>23</v>
      </c>
      <c r="E467">
        <v>2</v>
      </c>
      <c r="F467" s="3">
        <v>72708</v>
      </c>
      <c r="G467">
        <v>44</v>
      </c>
      <c r="H467">
        <v>2</v>
      </c>
      <c r="I467">
        <v>6</v>
      </c>
      <c r="J467">
        <v>28</v>
      </c>
      <c r="K467">
        <v>3.8</v>
      </c>
      <c r="L467" s="3">
        <v>6.3</v>
      </c>
      <c r="M467" t="s">
        <v>1035</v>
      </c>
      <c r="N467">
        <v>52.53</v>
      </c>
    </row>
    <row r="468" spans="1:14" x14ac:dyDescent="0.3">
      <c r="A468" t="s">
        <v>480</v>
      </c>
      <c r="B468" t="s">
        <v>1018</v>
      </c>
      <c r="C468" t="s">
        <v>1028</v>
      </c>
      <c r="D468">
        <v>36</v>
      </c>
      <c r="E468">
        <v>13</v>
      </c>
      <c r="F468" s="3">
        <v>64376</v>
      </c>
      <c r="G468">
        <v>39</v>
      </c>
      <c r="H468">
        <v>13</v>
      </c>
      <c r="I468">
        <v>18</v>
      </c>
      <c r="J468">
        <v>11</v>
      </c>
      <c r="K468">
        <v>3.9</v>
      </c>
      <c r="L468" s="3">
        <v>6.6</v>
      </c>
      <c r="M468" t="s">
        <v>1035</v>
      </c>
      <c r="N468">
        <v>72.97</v>
      </c>
    </row>
    <row r="469" spans="1:14" x14ac:dyDescent="0.3">
      <c r="A469" t="s">
        <v>481</v>
      </c>
      <c r="B469" t="s">
        <v>1016</v>
      </c>
      <c r="C469" t="s">
        <v>1022</v>
      </c>
      <c r="D469">
        <v>51</v>
      </c>
      <c r="E469">
        <v>2</v>
      </c>
      <c r="F469" s="3">
        <v>40061</v>
      </c>
      <c r="G469">
        <v>47</v>
      </c>
      <c r="H469">
        <v>7</v>
      </c>
      <c r="I469">
        <v>4</v>
      </c>
      <c r="J469">
        <v>6</v>
      </c>
      <c r="K469">
        <v>2</v>
      </c>
      <c r="L469" s="3">
        <v>6.7</v>
      </c>
      <c r="M469" t="s">
        <v>1035</v>
      </c>
      <c r="N469">
        <v>57.87</v>
      </c>
    </row>
    <row r="470" spans="1:14" x14ac:dyDescent="0.3">
      <c r="A470" t="s">
        <v>482</v>
      </c>
      <c r="B470" t="s">
        <v>1017</v>
      </c>
      <c r="C470" t="s">
        <v>1024</v>
      </c>
      <c r="D470">
        <v>31</v>
      </c>
      <c r="E470">
        <v>9</v>
      </c>
      <c r="F470" s="3">
        <v>31311</v>
      </c>
      <c r="G470">
        <v>40</v>
      </c>
      <c r="H470">
        <v>8</v>
      </c>
      <c r="I470">
        <v>19</v>
      </c>
      <c r="J470">
        <v>38</v>
      </c>
      <c r="K470">
        <v>2.1</v>
      </c>
      <c r="L470" s="3">
        <v>8.5</v>
      </c>
      <c r="M470" t="s">
        <v>1034</v>
      </c>
      <c r="N470">
        <v>70.63</v>
      </c>
    </row>
    <row r="471" spans="1:14" x14ac:dyDescent="0.3">
      <c r="A471" t="s">
        <v>483</v>
      </c>
      <c r="B471" t="s">
        <v>1014</v>
      </c>
      <c r="C471" t="s">
        <v>1025</v>
      </c>
      <c r="D471">
        <v>27</v>
      </c>
      <c r="E471">
        <v>3</v>
      </c>
      <c r="F471" s="3">
        <v>68213</v>
      </c>
      <c r="G471">
        <v>39</v>
      </c>
      <c r="H471">
        <v>15</v>
      </c>
      <c r="I471">
        <v>19</v>
      </c>
      <c r="J471">
        <v>34</v>
      </c>
      <c r="K471">
        <v>4.5</v>
      </c>
      <c r="L471" s="3">
        <v>9.3000000000000007</v>
      </c>
      <c r="M471" t="s">
        <v>1034</v>
      </c>
      <c r="N471">
        <v>94.3</v>
      </c>
    </row>
    <row r="472" spans="1:14" x14ac:dyDescent="0.3">
      <c r="A472" t="s">
        <v>484</v>
      </c>
      <c r="B472" t="s">
        <v>1017</v>
      </c>
      <c r="C472" t="s">
        <v>1026</v>
      </c>
      <c r="D472">
        <v>55</v>
      </c>
      <c r="E472">
        <v>13</v>
      </c>
      <c r="F472" s="3">
        <v>49273</v>
      </c>
      <c r="G472">
        <v>36</v>
      </c>
      <c r="H472">
        <v>12</v>
      </c>
      <c r="I472">
        <v>16</v>
      </c>
      <c r="J472">
        <v>27</v>
      </c>
      <c r="K472">
        <v>2.7</v>
      </c>
      <c r="L472" s="3">
        <v>8.6</v>
      </c>
      <c r="M472" t="s">
        <v>1034</v>
      </c>
      <c r="N472">
        <v>79.7</v>
      </c>
    </row>
    <row r="473" spans="1:14" x14ac:dyDescent="0.3">
      <c r="A473" t="s">
        <v>485</v>
      </c>
      <c r="B473" t="s">
        <v>1016</v>
      </c>
      <c r="C473" t="s">
        <v>1022</v>
      </c>
      <c r="D473">
        <v>28</v>
      </c>
      <c r="E473">
        <v>6</v>
      </c>
      <c r="F473" s="3">
        <v>33774</v>
      </c>
      <c r="G473">
        <v>43</v>
      </c>
      <c r="H473">
        <v>8</v>
      </c>
      <c r="I473">
        <v>24</v>
      </c>
      <c r="J473">
        <v>14</v>
      </c>
      <c r="K473">
        <v>4.7</v>
      </c>
      <c r="L473" s="3">
        <v>3.6</v>
      </c>
      <c r="M473" t="s">
        <v>1036</v>
      </c>
      <c r="N473">
        <v>49.03</v>
      </c>
    </row>
    <row r="474" spans="1:14" x14ac:dyDescent="0.3">
      <c r="A474" t="s">
        <v>486</v>
      </c>
      <c r="B474" t="s">
        <v>1015</v>
      </c>
      <c r="C474" t="s">
        <v>1029</v>
      </c>
      <c r="D474">
        <v>48</v>
      </c>
      <c r="E474">
        <v>8</v>
      </c>
      <c r="F474" s="3">
        <v>37387</v>
      </c>
      <c r="G474">
        <v>35</v>
      </c>
      <c r="H474">
        <v>12</v>
      </c>
      <c r="I474">
        <v>23</v>
      </c>
      <c r="J474">
        <v>0</v>
      </c>
      <c r="K474">
        <v>3.7</v>
      </c>
      <c r="L474" s="3">
        <v>3.8</v>
      </c>
      <c r="M474" t="s">
        <v>1036</v>
      </c>
      <c r="N474">
        <v>53.9</v>
      </c>
    </row>
    <row r="475" spans="1:14" x14ac:dyDescent="0.3">
      <c r="A475" t="s">
        <v>487</v>
      </c>
      <c r="B475" t="s">
        <v>1017</v>
      </c>
      <c r="C475" t="s">
        <v>1026</v>
      </c>
      <c r="D475">
        <v>35</v>
      </c>
      <c r="E475">
        <v>11</v>
      </c>
      <c r="F475" s="3">
        <v>77709</v>
      </c>
      <c r="G475">
        <v>45</v>
      </c>
      <c r="H475">
        <v>7</v>
      </c>
      <c r="I475">
        <v>11</v>
      </c>
      <c r="J475">
        <v>6</v>
      </c>
      <c r="K475">
        <v>2.5</v>
      </c>
      <c r="L475" s="3">
        <v>7.6</v>
      </c>
      <c r="M475" t="s">
        <v>1035</v>
      </c>
      <c r="N475">
        <v>64.77</v>
      </c>
    </row>
    <row r="476" spans="1:14" x14ac:dyDescent="0.3">
      <c r="A476" t="s">
        <v>488</v>
      </c>
      <c r="B476" t="s">
        <v>1016</v>
      </c>
      <c r="C476" t="s">
        <v>1033</v>
      </c>
      <c r="D476">
        <v>49</v>
      </c>
      <c r="E476">
        <v>11</v>
      </c>
      <c r="F476" s="3">
        <v>65100</v>
      </c>
      <c r="G476">
        <v>43</v>
      </c>
      <c r="H476">
        <v>11</v>
      </c>
      <c r="I476">
        <v>12</v>
      </c>
      <c r="J476">
        <v>13</v>
      </c>
      <c r="K476">
        <v>3.2</v>
      </c>
      <c r="L476" s="3">
        <v>8.5</v>
      </c>
      <c r="M476" t="s">
        <v>1034</v>
      </c>
      <c r="N476">
        <v>78.930000000000007</v>
      </c>
    </row>
    <row r="477" spans="1:14" x14ac:dyDescent="0.3">
      <c r="A477" t="s">
        <v>489</v>
      </c>
      <c r="B477" t="s">
        <v>1018</v>
      </c>
      <c r="C477" t="s">
        <v>1027</v>
      </c>
      <c r="D477">
        <v>45</v>
      </c>
      <c r="E477">
        <v>15</v>
      </c>
      <c r="F477" s="3">
        <v>41631</v>
      </c>
      <c r="G477">
        <v>44</v>
      </c>
      <c r="H477">
        <v>10</v>
      </c>
      <c r="I477">
        <v>11</v>
      </c>
      <c r="J477">
        <v>25</v>
      </c>
      <c r="K477">
        <v>4.2</v>
      </c>
      <c r="L477" s="3">
        <v>9</v>
      </c>
      <c r="M477" t="s">
        <v>1034</v>
      </c>
      <c r="N477">
        <v>83.27</v>
      </c>
    </row>
    <row r="478" spans="1:14" x14ac:dyDescent="0.3">
      <c r="A478" t="s">
        <v>490</v>
      </c>
      <c r="B478" t="s">
        <v>1014</v>
      </c>
      <c r="C478" t="s">
        <v>1025</v>
      </c>
      <c r="D478">
        <v>36</v>
      </c>
      <c r="E478">
        <v>14</v>
      </c>
      <c r="F478" s="3">
        <v>76321</v>
      </c>
      <c r="G478">
        <v>40</v>
      </c>
      <c r="H478">
        <v>2</v>
      </c>
      <c r="I478">
        <v>6</v>
      </c>
      <c r="J478">
        <v>32</v>
      </c>
      <c r="K478">
        <v>3.2</v>
      </c>
      <c r="L478" s="3">
        <v>5.4</v>
      </c>
      <c r="M478" t="s">
        <v>1036</v>
      </c>
      <c r="N478">
        <v>45.33</v>
      </c>
    </row>
    <row r="479" spans="1:14" x14ac:dyDescent="0.3">
      <c r="A479" t="s">
        <v>491</v>
      </c>
      <c r="B479" t="s">
        <v>1015</v>
      </c>
      <c r="C479" t="s">
        <v>1020</v>
      </c>
      <c r="D479">
        <v>25</v>
      </c>
      <c r="E479">
        <v>1</v>
      </c>
      <c r="F479" s="3">
        <v>50500</v>
      </c>
      <c r="G479">
        <v>55</v>
      </c>
      <c r="H479">
        <v>1</v>
      </c>
      <c r="I479">
        <v>25</v>
      </c>
      <c r="J479">
        <v>5</v>
      </c>
      <c r="K479">
        <v>4.5</v>
      </c>
      <c r="L479" s="3">
        <v>6.3</v>
      </c>
      <c r="M479" t="s">
        <v>1035</v>
      </c>
      <c r="N479">
        <v>52.97</v>
      </c>
    </row>
    <row r="480" spans="1:14" x14ac:dyDescent="0.3">
      <c r="A480" t="s">
        <v>492</v>
      </c>
      <c r="B480" t="s">
        <v>1017</v>
      </c>
      <c r="C480" t="s">
        <v>1026</v>
      </c>
      <c r="D480">
        <v>27</v>
      </c>
      <c r="E480">
        <v>0</v>
      </c>
      <c r="F480" s="3">
        <v>42241</v>
      </c>
      <c r="G480">
        <v>42</v>
      </c>
      <c r="H480">
        <v>6</v>
      </c>
      <c r="I480">
        <v>2</v>
      </c>
      <c r="J480">
        <v>38</v>
      </c>
      <c r="K480">
        <v>2.1</v>
      </c>
      <c r="L480" s="3">
        <v>5.7</v>
      </c>
      <c r="M480" t="s">
        <v>1036</v>
      </c>
      <c r="N480">
        <v>50.5</v>
      </c>
    </row>
    <row r="481" spans="1:14" x14ac:dyDescent="0.3">
      <c r="A481" t="s">
        <v>493</v>
      </c>
      <c r="B481" t="s">
        <v>1015</v>
      </c>
      <c r="C481" t="s">
        <v>1029</v>
      </c>
      <c r="D481">
        <v>55</v>
      </c>
      <c r="E481">
        <v>9</v>
      </c>
      <c r="F481" s="3">
        <v>71635</v>
      </c>
      <c r="G481">
        <v>54</v>
      </c>
      <c r="H481">
        <v>1</v>
      </c>
      <c r="I481">
        <v>24</v>
      </c>
      <c r="J481">
        <v>11</v>
      </c>
      <c r="K481">
        <v>3.9</v>
      </c>
      <c r="L481" s="3">
        <v>6.1</v>
      </c>
      <c r="M481" t="s">
        <v>1035</v>
      </c>
      <c r="N481">
        <v>49.97</v>
      </c>
    </row>
    <row r="482" spans="1:14" x14ac:dyDescent="0.3">
      <c r="A482" t="s">
        <v>494</v>
      </c>
      <c r="B482" t="s">
        <v>1015</v>
      </c>
      <c r="C482" t="s">
        <v>1021</v>
      </c>
      <c r="D482">
        <v>40</v>
      </c>
      <c r="E482">
        <v>6</v>
      </c>
      <c r="F482" s="3">
        <v>27202</v>
      </c>
      <c r="G482">
        <v>54</v>
      </c>
      <c r="H482">
        <v>9</v>
      </c>
      <c r="I482">
        <v>16</v>
      </c>
      <c r="J482">
        <v>14</v>
      </c>
      <c r="K482">
        <v>3.8</v>
      </c>
      <c r="L482" s="3">
        <v>7.7</v>
      </c>
      <c r="M482" t="s">
        <v>1035</v>
      </c>
      <c r="N482">
        <v>72.599999999999994</v>
      </c>
    </row>
    <row r="483" spans="1:14" x14ac:dyDescent="0.3">
      <c r="A483" t="s">
        <v>495</v>
      </c>
      <c r="B483" t="s">
        <v>1018</v>
      </c>
      <c r="C483" t="s">
        <v>1028</v>
      </c>
      <c r="D483">
        <v>22</v>
      </c>
      <c r="E483">
        <v>0</v>
      </c>
      <c r="F483" s="3">
        <v>30691</v>
      </c>
      <c r="G483">
        <v>43</v>
      </c>
      <c r="H483">
        <v>13</v>
      </c>
      <c r="I483">
        <v>12</v>
      </c>
      <c r="J483">
        <v>22</v>
      </c>
      <c r="K483">
        <v>4</v>
      </c>
      <c r="L483" s="3">
        <v>5.8</v>
      </c>
      <c r="M483" t="s">
        <v>1036</v>
      </c>
      <c r="N483">
        <v>68.47</v>
      </c>
    </row>
    <row r="484" spans="1:14" x14ac:dyDescent="0.3">
      <c r="A484" t="s">
        <v>496</v>
      </c>
      <c r="B484" t="s">
        <v>1015</v>
      </c>
      <c r="C484" t="s">
        <v>1021</v>
      </c>
      <c r="D484">
        <v>22</v>
      </c>
      <c r="E484">
        <v>0</v>
      </c>
      <c r="F484" s="3">
        <v>85239</v>
      </c>
      <c r="G484">
        <v>37</v>
      </c>
      <c r="H484">
        <v>9</v>
      </c>
      <c r="I484">
        <v>9</v>
      </c>
      <c r="J484">
        <v>35</v>
      </c>
      <c r="K484">
        <v>4.7</v>
      </c>
      <c r="L484" s="3">
        <v>5.4</v>
      </c>
      <c r="M484" t="s">
        <v>1036</v>
      </c>
      <c r="N484">
        <v>61.5</v>
      </c>
    </row>
    <row r="485" spans="1:14" x14ac:dyDescent="0.3">
      <c r="A485" t="s">
        <v>497</v>
      </c>
      <c r="B485" t="s">
        <v>1018</v>
      </c>
      <c r="C485" t="s">
        <v>1027</v>
      </c>
      <c r="D485">
        <v>34</v>
      </c>
      <c r="E485">
        <v>7</v>
      </c>
      <c r="F485" s="3">
        <v>85929</v>
      </c>
      <c r="G485">
        <v>47</v>
      </c>
      <c r="H485">
        <v>10</v>
      </c>
      <c r="I485">
        <v>0</v>
      </c>
      <c r="J485">
        <v>16</v>
      </c>
      <c r="K485">
        <v>2.5</v>
      </c>
      <c r="L485" s="3">
        <v>6.5</v>
      </c>
      <c r="M485" t="s">
        <v>1035</v>
      </c>
      <c r="N485">
        <v>63.17</v>
      </c>
    </row>
    <row r="486" spans="1:14" x14ac:dyDescent="0.3">
      <c r="A486" t="s">
        <v>498</v>
      </c>
      <c r="B486" t="s">
        <v>1014</v>
      </c>
      <c r="C486" t="s">
        <v>1025</v>
      </c>
      <c r="D486">
        <v>54</v>
      </c>
      <c r="E486">
        <v>9</v>
      </c>
      <c r="F486" s="3">
        <v>47280</v>
      </c>
      <c r="G486">
        <v>38</v>
      </c>
      <c r="H486">
        <v>13</v>
      </c>
      <c r="I486">
        <v>16</v>
      </c>
      <c r="J486">
        <v>16</v>
      </c>
      <c r="K486">
        <v>4.5999999999999996</v>
      </c>
      <c r="L486" s="3">
        <v>8.6999999999999993</v>
      </c>
      <c r="M486" t="s">
        <v>1034</v>
      </c>
      <c r="N486">
        <v>87.67</v>
      </c>
    </row>
    <row r="487" spans="1:14" x14ac:dyDescent="0.3">
      <c r="A487" t="s">
        <v>499</v>
      </c>
      <c r="B487" t="s">
        <v>1016</v>
      </c>
      <c r="C487" t="s">
        <v>1033</v>
      </c>
      <c r="D487">
        <v>50</v>
      </c>
      <c r="E487">
        <v>12</v>
      </c>
      <c r="F487" s="3">
        <v>61907</v>
      </c>
      <c r="G487">
        <v>50</v>
      </c>
      <c r="H487">
        <v>13</v>
      </c>
      <c r="I487">
        <v>7</v>
      </c>
      <c r="J487">
        <v>21</v>
      </c>
      <c r="K487">
        <v>4.9000000000000004</v>
      </c>
      <c r="L487" s="3">
        <v>6.2</v>
      </c>
      <c r="M487" t="s">
        <v>1035</v>
      </c>
      <c r="N487">
        <v>73.569999999999993</v>
      </c>
    </row>
    <row r="488" spans="1:14" x14ac:dyDescent="0.3">
      <c r="A488" t="s">
        <v>500</v>
      </c>
      <c r="B488" t="s">
        <v>1015</v>
      </c>
      <c r="C488" t="s">
        <v>1020</v>
      </c>
      <c r="D488">
        <v>23</v>
      </c>
      <c r="E488">
        <v>1</v>
      </c>
      <c r="F488" s="3">
        <v>32619</v>
      </c>
      <c r="G488">
        <v>43</v>
      </c>
      <c r="H488">
        <v>2</v>
      </c>
      <c r="I488">
        <v>12</v>
      </c>
      <c r="J488">
        <v>40</v>
      </c>
      <c r="K488">
        <v>4.4000000000000004</v>
      </c>
      <c r="L488" s="3">
        <v>4.5</v>
      </c>
      <c r="M488" t="s">
        <v>1036</v>
      </c>
      <c r="N488">
        <v>43.53</v>
      </c>
    </row>
    <row r="489" spans="1:14" x14ac:dyDescent="0.3">
      <c r="A489" t="s">
        <v>501</v>
      </c>
      <c r="B489" t="s">
        <v>1018</v>
      </c>
      <c r="C489" t="s">
        <v>1032</v>
      </c>
      <c r="D489">
        <v>42</v>
      </c>
      <c r="E489">
        <v>13</v>
      </c>
      <c r="F489" s="3">
        <v>87616</v>
      </c>
      <c r="G489">
        <v>46</v>
      </c>
      <c r="H489">
        <v>9</v>
      </c>
      <c r="I489">
        <v>17</v>
      </c>
      <c r="J489">
        <v>0</v>
      </c>
      <c r="K489">
        <v>4.0999999999999996</v>
      </c>
      <c r="L489" s="3">
        <v>4.8</v>
      </c>
      <c r="M489" t="s">
        <v>1036</v>
      </c>
      <c r="N489">
        <v>56.1</v>
      </c>
    </row>
    <row r="490" spans="1:14" x14ac:dyDescent="0.3">
      <c r="A490" t="s">
        <v>502</v>
      </c>
      <c r="B490" t="s">
        <v>1014</v>
      </c>
      <c r="C490" t="s">
        <v>1025</v>
      </c>
      <c r="D490">
        <v>47</v>
      </c>
      <c r="E490">
        <v>10</v>
      </c>
      <c r="F490" s="3">
        <v>29982</v>
      </c>
      <c r="G490">
        <v>52</v>
      </c>
      <c r="H490">
        <v>15</v>
      </c>
      <c r="I490">
        <v>5</v>
      </c>
      <c r="J490">
        <v>30</v>
      </c>
      <c r="K490">
        <v>2.9</v>
      </c>
      <c r="L490" s="3">
        <v>4.5</v>
      </c>
      <c r="M490" t="s">
        <v>1036</v>
      </c>
      <c r="N490">
        <v>60.7</v>
      </c>
    </row>
    <row r="491" spans="1:14" x14ac:dyDescent="0.3">
      <c r="A491" t="s">
        <v>503</v>
      </c>
      <c r="B491" t="s">
        <v>1016</v>
      </c>
      <c r="C491" t="s">
        <v>1033</v>
      </c>
      <c r="D491">
        <v>33</v>
      </c>
      <c r="E491">
        <v>11</v>
      </c>
      <c r="F491" s="3">
        <v>69768</v>
      </c>
      <c r="G491">
        <v>41</v>
      </c>
      <c r="H491">
        <v>8</v>
      </c>
      <c r="I491">
        <v>23</v>
      </c>
      <c r="J491">
        <v>12</v>
      </c>
      <c r="K491">
        <v>2.7</v>
      </c>
      <c r="L491" s="3">
        <v>4.7</v>
      </c>
      <c r="M491" t="s">
        <v>1036</v>
      </c>
      <c r="N491">
        <v>49.63</v>
      </c>
    </row>
    <row r="492" spans="1:14" x14ac:dyDescent="0.3">
      <c r="A492" t="s">
        <v>504</v>
      </c>
      <c r="B492" t="s">
        <v>1018</v>
      </c>
      <c r="C492" t="s">
        <v>1028</v>
      </c>
      <c r="D492">
        <v>36</v>
      </c>
      <c r="E492">
        <v>6</v>
      </c>
      <c r="F492" s="3">
        <v>79718</v>
      </c>
      <c r="G492">
        <v>42</v>
      </c>
      <c r="H492">
        <v>14</v>
      </c>
      <c r="I492">
        <v>19</v>
      </c>
      <c r="J492">
        <v>22</v>
      </c>
      <c r="K492">
        <v>2.5</v>
      </c>
      <c r="L492" s="3">
        <v>3.7</v>
      </c>
      <c r="M492" t="s">
        <v>1036</v>
      </c>
      <c r="N492">
        <v>53.03</v>
      </c>
    </row>
    <row r="493" spans="1:14" x14ac:dyDescent="0.3">
      <c r="A493" t="s">
        <v>505</v>
      </c>
      <c r="B493" t="s">
        <v>1017</v>
      </c>
      <c r="C493" t="s">
        <v>1024</v>
      </c>
      <c r="D493">
        <v>22</v>
      </c>
      <c r="E493">
        <v>0</v>
      </c>
      <c r="F493" s="3">
        <v>80575</v>
      </c>
      <c r="G493">
        <v>50</v>
      </c>
      <c r="H493">
        <v>6</v>
      </c>
      <c r="I493">
        <v>19</v>
      </c>
      <c r="J493">
        <v>20</v>
      </c>
      <c r="K493">
        <v>3.5</v>
      </c>
      <c r="L493" s="3">
        <v>9.9</v>
      </c>
      <c r="M493" t="s">
        <v>1034</v>
      </c>
      <c r="N493">
        <v>79.900000000000006</v>
      </c>
    </row>
    <row r="494" spans="1:14" x14ac:dyDescent="0.3">
      <c r="A494" t="s">
        <v>506</v>
      </c>
      <c r="B494" t="s">
        <v>1016</v>
      </c>
      <c r="C494" t="s">
        <v>1022</v>
      </c>
      <c r="D494">
        <v>53</v>
      </c>
      <c r="E494">
        <v>5</v>
      </c>
      <c r="F494" s="3">
        <v>89513</v>
      </c>
      <c r="G494">
        <v>51</v>
      </c>
      <c r="H494">
        <v>5</v>
      </c>
      <c r="I494">
        <v>12</v>
      </c>
      <c r="J494">
        <v>14</v>
      </c>
      <c r="K494">
        <v>4.3</v>
      </c>
      <c r="L494" s="3">
        <v>3.9</v>
      </c>
      <c r="M494" t="s">
        <v>1036</v>
      </c>
      <c r="N494">
        <v>44.63</v>
      </c>
    </row>
    <row r="495" spans="1:14" x14ac:dyDescent="0.3">
      <c r="A495" t="s">
        <v>507</v>
      </c>
      <c r="B495" t="s">
        <v>1017</v>
      </c>
      <c r="C495" t="s">
        <v>1024</v>
      </c>
      <c r="D495">
        <v>52</v>
      </c>
      <c r="E495">
        <v>1</v>
      </c>
      <c r="F495" s="3">
        <v>57930</v>
      </c>
      <c r="G495">
        <v>46</v>
      </c>
      <c r="H495">
        <v>7</v>
      </c>
      <c r="I495">
        <v>21</v>
      </c>
      <c r="J495">
        <v>11</v>
      </c>
      <c r="K495">
        <v>3.4</v>
      </c>
      <c r="L495" s="3">
        <v>3.8</v>
      </c>
      <c r="M495" t="s">
        <v>1036</v>
      </c>
      <c r="N495">
        <v>44.67</v>
      </c>
    </row>
    <row r="496" spans="1:14" x14ac:dyDescent="0.3">
      <c r="A496" t="s">
        <v>508</v>
      </c>
      <c r="B496" t="s">
        <v>1017</v>
      </c>
      <c r="C496" t="s">
        <v>1026</v>
      </c>
      <c r="D496">
        <v>42</v>
      </c>
      <c r="E496">
        <v>0</v>
      </c>
      <c r="F496" s="3">
        <v>25774</v>
      </c>
      <c r="G496">
        <v>41</v>
      </c>
      <c r="H496">
        <v>7</v>
      </c>
      <c r="I496">
        <v>18</v>
      </c>
      <c r="J496">
        <v>6</v>
      </c>
      <c r="K496">
        <v>3</v>
      </c>
      <c r="L496" s="3">
        <v>7.3</v>
      </c>
      <c r="M496" t="s">
        <v>1035</v>
      </c>
      <c r="N496">
        <v>64.47</v>
      </c>
    </row>
    <row r="497" spans="1:14" x14ac:dyDescent="0.3">
      <c r="A497" t="s">
        <v>509</v>
      </c>
      <c r="B497" t="s">
        <v>1018</v>
      </c>
      <c r="C497" t="s">
        <v>1032</v>
      </c>
      <c r="D497">
        <v>38</v>
      </c>
      <c r="E497">
        <v>7</v>
      </c>
      <c r="F497" s="3">
        <v>42655</v>
      </c>
      <c r="G497">
        <v>50</v>
      </c>
      <c r="H497">
        <v>10</v>
      </c>
      <c r="I497">
        <v>10</v>
      </c>
      <c r="J497">
        <v>23</v>
      </c>
      <c r="K497">
        <v>2.6</v>
      </c>
      <c r="L497" s="3">
        <v>6</v>
      </c>
      <c r="M497" t="s">
        <v>1035</v>
      </c>
      <c r="N497">
        <v>60.47</v>
      </c>
    </row>
    <row r="498" spans="1:14" x14ac:dyDescent="0.3">
      <c r="A498" t="s">
        <v>510</v>
      </c>
      <c r="B498" t="s">
        <v>1016</v>
      </c>
      <c r="C498" t="s">
        <v>1023</v>
      </c>
      <c r="D498">
        <v>45</v>
      </c>
      <c r="E498">
        <v>12</v>
      </c>
      <c r="F498" s="3">
        <v>43325</v>
      </c>
      <c r="G498">
        <v>49</v>
      </c>
      <c r="H498">
        <v>3</v>
      </c>
      <c r="I498">
        <v>18</v>
      </c>
      <c r="J498">
        <v>8</v>
      </c>
      <c r="K498">
        <v>4.9000000000000004</v>
      </c>
      <c r="L498" s="3">
        <v>7.8</v>
      </c>
      <c r="M498" t="s">
        <v>1035</v>
      </c>
      <c r="N498">
        <v>66.5</v>
      </c>
    </row>
    <row r="499" spans="1:14" x14ac:dyDescent="0.3">
      <c r="A499" t="s">
        <v>511</v>
      </c>
      <c r="B499" t="s">
        <v>1016</v>
      </c>
      <c r="C499" t="s">
        <v>1033</v>
      </c>
      <c r="D499">
        <v>37</v>
      </c>
      <c r="E499">
        <v>13</v>
      </c>
      <c r="F499" s="3">
        <v>81119</v>
      </c>
      <c r="G499">
        <v>47</v>
      </c>
      <c r="H499">
        <v>4</v>
      </c>
      <c r="I499">
        <v>4</v>
      </c>
      <c r="J499">
        <v>9</v>
      </c>
      <c r="K499">
        <v>3.4</v>
      </c>
      <c r="L499" s="3">
        <v>3.1</v>
      </c>
      <c r="M499" t="s">
        <v>1036</v>
      </c>
      <c r="N499">
        <v>35.47</v>
      </c>
    </row>
    <row r="500" spans="1:14" x14ac:dyDescent="0.3">
      <c r="A500" t="s">
        <v>512</v>
      </c>
      <c r="B500" t="s">
        <v>1017</v>
      </c>
      <c r="C500" t="s">
        <v>1030</v>
      </c>
      <c r="D500">
        <v>30</v>
      </c>
      <c r="E500">
        <v>8</v>
      </c>
      <c r="F500" s="3">
        <v>59995</v>
      </c>
      <c r="G500">
        <v>45</v>
      </c>
      <c r="H500">
        <v>13</v>
      </c>
      <c r="I500">
        <v>15</v>
      </c>
      <c r="J500">
        <v>19</v>
      </c>
      <c r="K500">
        <v>2.8</v>
      </c>
      <c r="L500" s="3">
        <v>9</v>
      </c>
      <c r="M500" t="s">
        <v>1034</v>
      </c>
      <c r="N500">
        <v>84.07</v>
      </c>
    </row>
    <row r="501" spans="1:14" x14ac:dyDescent="0.3">
      <c r="A501" t="s">
        <v>513</v>
      </c>
      <c r="B501" t="s">
        <v>1017</v>
      </c>
      <c r="C501" t="s">
        <v>1024</v>
      </c>
      <c r="D501">
        <v>28</v>
      </c>
      <c r="E501">
        <v>2</v>
      </c>
      <c r="F501" s="3">
        <v>28934</v>
      </c>
      <c r="G501">
        <v>41</v>
      </c>
      <c r="H501">
        <v>14</v>
      </c>
      <c r="I501">
        <v>8</v>
      </c>
      <c r="J501">
        <v>30</v>
      </c>
      <c r="K501">
        <v>4.5</v>
      </c>
      <c r="L501" s="3">
        <v>3.7</v>
      </c>
      <c r="M501" t="s">
        <v>1036</v>
      </c>
      <c r="N501">
        <v>59.03</v>
      </c>
    </row>
    <row r="502" spans="1:14" x14ac:dyDescent="0.3">
      <c r="A502" t="s">
        <v>514</v>
      </c>
      <c r="B502" t="s">
        <v>1016</v>
      </c>
      <c r="C502" t="s">
        <v>1033</v>
      </c>
      <c r="D502">
        <v>38</v>
      </c>
      <c r="E502">
        <v>11</v>
      </c>
      <c r="F502" s="3">
        <v>48613</v>
      </c>
      <c r="G502">
        <v>52</v>
      </c>
      <c r="H502">
        <v>9</v>
      </c>
      <c r="I502">
        <v>25</v>
      </c>
      <c r="J502">
        <v>16</v>
      </c>
      <c r="K502">
        <v>3</v>
      </c>
      <c r="L502" s="3">
        <v>5.9</v>
      </c>
      <c r="M502" t="s">
        <v>1036</v>
      </c>
      <c r="N502">
        <v>59.4</v>
      </c>
    </row>
    <row r="503" spans="1:14" x14ac:dyDescent="0.3">
      <c r="A503" t="s">
        <v>515</v>
      </c>
      <c r="B503" t="s">
        <v>1015</v>
      </c>
      <c r="C503" t="s">
        <v>1021</v>
      </c>
      <c r="D503">
        <v>34</v>
      </c>
      <c r="E503">
        <v>9</v>
      </c>
      <c r="F503" s="3">
        <v>62741</v>
      </c>
      <c r="G503">
        <v>55</v>
      </c>
      <c r="H503">
        <v>11</v>
      </c>
      <c r="I503">
        <v>17</v>
      </c>
      <c r="J503">
        <v>11</v>
      </c>
      <c r="K503">
        <v>4.9000000000000004</v>
      </c>
      <c r="L503" s="3">
        <v>5</v>
      </c>
      <c r="M503" t="s">
        <v>1036</v>
      </c>
      <c r="N503">
        <v>63.03</v>
      </c>
    </row>
    <row r="504" spans="1:14" x14ac:dyDescent="0.3">
      <c r="A504" t="s">
        <v>516</v>
      </c>
      <c r="B504" t="s">
        <v>1015</v>
      </c>
      <c r="C504" t="s">
        <v>1029</v>
      </c>
      <c r="D504">
        <v>53</v>
      </c>
      <c r="E504">
        <v>14</v>
      </c>
      <c r="F504" s="3">
        <v>83302</v>
      </c>
      <c r="G504">
        <v>37</v>
      </c>
      <c r="H504">
        <v>7</v>
      </c>
      <c r="I504">
        <v>19</v>
      </c>
      <c r="J504">
        <v>18</v>
      </c>
      <c r="K504">
        <v>3.4</v>
      </c>
      <c r="L504" s="3">
        <v>9.6999999999999993</v>
      </c>
      <c r="M504" t="s">
        <v>1034</v>
      </c>
      <c r="N504">
        <v>80.069999999999993</v>
      </c>
    </row>
    <row r="505" spans="1:14" x14ac:dyDescent="0.3">
      <c r="A505" t="s">
        <v>517</v>
      </c>
      <c r="B505" t="s">
        <v>1016</v>
      </c>
      <c r="C505" t="s">
        <v>1033</v>
      </c>
      <c r="D505">
        <v>48</v>
      </c>
      <c r="E505">
        <v>12</v>
      </c>
      <c r="F505" s="3">
        <v>80633</v>
      </c>
      <c r="G505">
        <v>37</v>
      </c>
      <c r="H505">
        <v>2</v>
      </c>
      <c r="I505">
        <v>5</v>
      </c>
      <c r="J505">
        <v>21</v>
      </c>
      <c r="K505">
        <v>2.7</v>
      </c>
      <c r="L505" s="3">
        <v>5.2</v>
      </c>
      <c r="M505" t="s">
        <v>1036</v>
      </c>
      <c r="N505">
        <v>42.63</v>
      </c>
    </row>
    <row r="506" spans="1:14" x14ac:dyDescent="0.3">
      <c r="A506" t="s">
        <v>518</v>
      </c>
      <c r="B506" t="s">
        <v>1016</v>
      </c>
      <c r="C506" t="s">
        <v>1023</v>
      </c>
      <c r="D506">
        <v>47</v>
      </c>
      <c r="E506">
        <v>8</v>
      </c>
      <c r="F506" s="3">
        <v>83175</v>
      </c>
      <c r="G506">
        <v>49</v>
      </c>
      <c r="H506">
        <v>13</v>
      </c>
      <c r="I506">
        <v>11</v>
      </c>
      <c r="J506">
        <v>37</v>
      </c>
      <c r="K506">
        <v>3.6</v>
      </c>
      <c r="L506" s="3">
        <v>6.2</v>
      </c>
      <c r="M506" t="s">
        <v>1035</v>
      </c>
      <c r="N506">
        <v>69.67</v>
      </c>
    </row>
    <row r="507" spans="1:14" x14ac:dyDescent="0.3">
      <c r="A507" t="s">
        <v>519</v>
      </c>
      <c r="B507" t="s">
        <v>1018</v>
      </c>
      <c r="C507" t="s">
        <v>1028</v>
      </c>
      <c r="D507">
        <v>23</v>
      </c>
      <c r="E507">
        <v>0</v>
      </c>
      <c r="F507" s="3">
        <v>72695</v>
      </c>
      <c r="G507">
        <v>42</v>
      </c>
      <c r="H507">
        <v>11</v>
      </c>
      <c r="I507">
        <v>8</v>
      </c>
      <c r="J507">
        <v>5</v>
      </c>
      <c r="K507">
        <v>2.6</v>
      </c>
      <c r="L507" s="3">
        <v>5.8</v>
      </c>
      <c r="M507" t="s">
        <v>1036</v>
      </c>
      <c r="N507">
        <v>60.93</v>
      </c>
    </row>
    <row r="508" spans="1:14" x14ac:dyDescent="0.3">
      <c r="A508" t="s">
        <v>520</v>
      </c>
      <c r="B508" t="s">
        <v>1014</v>
      </c>
      <c r="C508" t="s">
        <v>1019</v>
      </c>
      <c r="D508">
        <v>52</v>
      </c>
      <c r="E508">
        <v>1</v>
      </c>
      <c r="F508" s="3">
        <v>26727</v>
      </c>
      <c r="G508">
        <v>47</v>
      </c>
      <c r="H508">
        <v>9</v>
      </c>
      <c r="I508">
        <v>24</v>
      </c>
      <c r="J508">
        <v>5</v>
      </c>
      <c r="K508">
        <v>2.2999999999999998</v>
      </c>
      <c r="L508" s="3">
        <v>7.3</v>
      </c>
      <c r="M508" t="s">
        <v>1035</v>
      </c>
      <c r="N508">
        <v>65.7</v>
      </c>
    </row>
    <row r="509" spans="1:14" x14ac:dyDescent="0.3">
      <c r="A509" t="s">
        <v>521</v>
      </c>
      <c r="B509" t="s">
        <v>1017</v>
      </c>
      <c r="C509" t="s">
        <v>1030</v>
      </c>
      <c r="D509">
        <v>41</v>
      </c>
      <c r="E509">
        <v>7</v>
      </c>
      <c r="F509" s="3">
        <v>41213</v>
      </c>
      <c r="G509">
        <v>44</v>
      </c>
      <c r="H509">
        <v>8</v>
      </c>
      <c r="I509">
        <v>20</v>
      </c>
      <c r="J509">
        <v>8</v>
      </c>
      <c r="K509">
        <v>2.4</v>
      </c>
      <c r="L509" s="3">
        <v>8.9</v>
      </c>
      <c r="M509" t="s">
        <v>1034</v>
      </c>
      <c r="N509">
        <v>73.930000000000007</v>
      </c>
    </row>
    <row r="510" spans="1:14" x14ac:dyDescent="0.3">
      <c r="A510" t="s">
        <v>522</v>
      </c>
      <c r="B510" t="s">
        <v>1014</v>
      </c>
      <c r="C510" t="s">
        <v>1025</v>
      </c>
      <c r="D510">
        <v>44</v>
      </c>
      <c r="E510">
        <v>10</v>
      </c>
      <c r="F510" s="3">
        <v>81638</v>
      </c>
      <c r="G510">
        <v>50</v>
      </c>
      <c r="H510">
        <v>8</v>
      </c>
      <c r="I510">
        <v>17</v>
      </c>
      <c r="J510">
        <v>17</v>
      </c>
      <c r="K510">
        <v>3.6</v>
      </c>
      <c r="L510" s="3">
        <v>3.9</v>
      </c>
      <c r="M510" t="s">
        <v>1036</v>
      </c>
      <c r="N510">
        <v>47.53</v>
      </c>
    </row>
    <row r="511" spans="1:14" x14ac:dyDescent="0.3">
      <c r="A511" t="s">
        <v>523</v>
      </c>
      <c r="B511" t="s">
        <v>1015</v>
      </c>
      <c r="C511" t="s">
        <v>1020</v>
      </c>
      <c r="D511">
        <v>33</v>
      </c>
      <c r="E511">
        <v>9</v>
      </c>
      <c r="F511" s="3">
        <v>64163</v>
      </c>
      <c r="G511">
        <v>49</v>
      </c>
      <c r="H511">
        <v>11</v>
      </c>
      <c r="I511">
        <v>23</v>
      </c>
      <c r="J511">
        <v>40</v>
      </c>
      <c r="K511">
        <v>4.5999999999999996</v>
      </c>
      <c r="L511" s="3">
        <v>6</v>
      </c>
      <c r="M511" t="s">
        <v>1035</v>
      </c>
      <c r="N511">
        <v>68.13</v>
      </c>
    </row>
    <row r="512" spans="1:14" x14ac:dyDescent="0.3">
      <c r="A512" t="s">
        <v>524</v>
      </c>
      <c r="B512" t="s">
        <v>1015</v>
      </c>
      <c r="C512" t="s">
        <v>1021</v>
      </c>
      <c r="D512">
        <v>41</v>
      </c>
      <c r="E512">
        <v>11</v>
      </c>
      <c r="F512" s="3">
        <v>56565</v>
      </c>
      <c r="G512">
        <v>52</v>
      </c>
      <c r="H512">
        <v>4</v>
      </c>
      <c r="I512">
        <v>25</v>
      </c>
      <c r="J512">
        <v>5</v>
      </c>
      <c r="K512">
        <v>3.3</v>
      </c>
      <c r="L512" s="3">
        <v>5.6</v>
      </c>
      <c r="M512" t="s">
        <v>1036</v>
      </c>
      <c r="N512">
        <v>50.17</v>
      </c>
    </row>
    <row r="513" spans="1:14" x14ac:dyDescent="0.3">
      <c r="A513" t="s">
        <v>525</v>
      </c>
      <c r="B513" t="s">
        <v>1018</v>
      </c>
      <c r="C513" t="s">
        <v>1028</v>
      </c>
      <c r="D513">
        <v>41</v>
      </c>
      <c r="E513">
        <v>0</v>
      </c>
      <c r="F513" s="3">
        <v>25006</v>
      </c>
      <c r="G513">
        <v>51</v>
      </c>
      <c r="H513">
        <v>14</v>
      </c>
      <c r="I513">
        <v>24</v>
      </c>
      <c r="J513">
        <v>8</v>
      </c>
      <c r="K513">
        <v>3</v>
      </c>
      <c r="L513" s="3">
        <v>6.3</v>
      </c>
      <c r="M513" t="s">
        <v>1035</v>
      </c>
      <c r="N513">
        <v>70.13</v>
      </c>
    </row>
    <row r="514" spans="1:14" x14ac:dyDescent="0.3">
      <c r="A514" t="s">
        <v>526</v>
      </c>
      <c r="B514" t="s">
        <v>1017</v>
      </c>
      <c r="C514" t="s">
        <v>1026</v>
      </c>
      <c r="D514">
        <v>52</v>
      </c>
      <c r="E514">
        <v>9</v>
      </c>
      <c r="F514" s="3">
        <v>25598</v>
      </c>
      <c r="G514">
        <v>48</v>
      </c>
      <c r="H514">
        <v>13</v>
      </c>
      <c r="I514">
        <v>9</v>
      </c>
      <c r="J514">
        <v>38</v>
      </c>
      <c r="K514">
        <v>2.7</v>
      </c>
      <c r="L514" s="3">
        <v>3.1</v>
      </c>
      <c r="M514" t="s">
        <v>1036</v>
      </c>
      <c r="N514">
        <v>48.37</v>
      </c>
    </row>
    <row r="515" spans="1:14" x14ac:dyDescent="0.3">
      <c r="A515" t="s">
        <v>527</v>
      </c>
      <c r="B515" t="s">
        <v>1018</v>
      </c>
      <c r="C515" t="s">
        <v>1028</v>
      </c>
      <c r="D515">
        <v>48</v>
      </c>
      <c r="E515">
        <v>13</v>
      </c>
      <c r="F515" s="3">
        <v>50870</v>
      </c>
      <c r="G515">
        <v>42</v>
      </c>
      <c r="H515">
        <v>3</v>
      </c>
      <c r="I515">
        <v>22</v>
      </c>
      <c r="J515">
        <v>24</v>
      </c>
      <c r="K515">
        <v>4.5</v>
      </c>
      <c r="L515" s="3">
        <v>4.5</v>
      </c>
      <c r="M515" t="s">
        <v>1036</v>
      </c>
      <c r="N515">
        <v>45.5</v>
      </c>
    </row>
    <row r="516" spans="1:14" x14ac:dyDescent="0.3">
      <c r="A516" t="s">
        <v>528</v>
      </c>
      <c r="B516" t="s">
        <v>1017</v>
      </c>
      <c r="C516" t="s">
        <v>1030</v>
      </c>
      <c r="D516">
        <v>37</v>
      </c>
      <c r="E516">
        <v>8</v>
      </c>
      <c r="F516" s="3">
        <v>43656</v>
      </c>
      <c r="G516">
        <v>55</v>
      </c>
      <c r="H516">
        <v>12</v>
      </c>
      <c r="I516">
        <v>17</v>
      </c>
      <c r="J516">
        <v>17</v>
      </c>
      <c r="K516">
        <v>3.2</v>
      </c>
      <c r="L516" s="3">
        <v>9</v>
      </c>
      <c r="M516" t="s">
        <v>1034</v>
      </c>
      <c r="N516">
        <v>83.6</v>
      </c>
    </row>
    <row r="517" spans="1:14" x14ac:dyDescent="0.3">
      <c r="A517" t="s">
        <v>529</v>
      </c>
      <c r="B517" t="s">
        <v>1018</v>
      </c>
      <c r="C517" t="s">
        <v>1032</v>
      </c>
      <c r="D517">
        <v>40</v>
      </c>
      <c r="E517">
        <v>3</v>
      </c>
      <c r="F517" s="3">
        <v>66739</v>
      </c>
      <c r="G517">
        <v>49</v>
      </c>
      <c r="H517">
        <v>10</v>
      </c>
      <c r="I517">
        <v>14</v>
      </c>
      <c r="J517">
        <v>17</v>
      </c>
      <c r="K517">
        <v>4.0999999999999996</v>
      </c>
      <c r="L517" s="3">
        <v>6.4</v>
      </c>
      <c r="M517" t="s">
        <v>1035</v>
      </c>
      <c r="N517">
        <v>67.37</v>
      </c>
    </row>
    <row r="518" spans="1:14" x14ac:dyDescent="0.3">
      <c r="A518" t="s">
        <v>530</v>
      </c>
      <c r="B518" t="s">
        <v>1014</v>
      </c>
      <c r="C518" t="s">
        <v>1031</v>
      </c>
      <c r="D518">
        <v>31</v>
      </c>
      <c r="E518">
        <v>0</v>
      </c>
      <c r="F518" s="3">
        <v>88551</v>
      </c>
      <c r="G518">
        <v>52</v>
      </c>
      <c r="H518">
        <v>1</v>
      </c>
      <c r="I518">
        <v>5</v>
      </c>
      <c r="J518">
        <v>6</v>
      </c>
      <c r="K518">
        <v>2.8</v>
      </c>
      <c r="L518" s="3">
        <v>3.9</v>
      </c>
      <c r="M518" t="s">
        <v>1036</v>
      </c>
      <c r="N518">
        <v>33.47</v>
      </c>
    </row>
    <row r="519" spans="1:14" x14ac:dyDescent="0.3">
      <c r="A519" t="s">
        <v>531</v>
      </c>
      <c r="B519" t="s">
        <v>1014</v>
      </c>
      <c r="C519" t="s">
        <v>1031</v>
      </c>
      <c r="D519">
        <v>36</v>
      </c>
      <c r="E519">
        <v>2</v>
      </c>
      <c r="F519" s="3">
        <v>34875</v>
      </c>
      <c r="G519">
        <v>35</v>
      </c>
      <c r="H519">
        <v>8</v>
      </c>
      <c r="I519">
        <v>6</v>
      </c>
      <c r="J519">
        <v>21</v>
      </c>
      <c r="K519">
        <v>3.3</v>
      </c>
      <c r="L519" s="3">
        <v>8.5</v>
      </c>
      <c r="M519" t="s">
        <v>1034</v>
      </c>
      <c r="N519">
        <v>74.23</v>
      </c>
    </row>
    <row r="520" spans="1:14" x14ac:dyDescent="0.3">
      <c r="A520" t="s">
        <v>532</v>
      </c>
      <c r="B520" t="s">
        <v>1016</v>
      </c>
      <c r="C520" t="s">
        <v>1023</v>
      </c>
      <c r="D520">
        <v>51</v>
      </c>
      <c r="E520">
        <v>1</v>
      </c>
      <c r="F520" s="3">
        <v>46643</v>
      </c>
      <c r="G520">
        <v>37</v>
      </c>
      <c r="H520">
        <v>14</v>
      </c>
      <c r="I520">
        <v>24</v>
      </c>
      <c r="J520">
        <v>9</v>
      </c>
      <c r="K520">
        <v>2.2000000000000002</v>
      </c>
      <c r="L520" s="3">
        <v>8.4</v>
      </c>
      <c r="M520" t="s">
        <v>1034</v>
      </c>
      <c r="N520">
        <v>80.33</v>
      </c>
    </row>
    <row r="521" spans="1:14" x14ac:dyDescent="0.3">
      <c r="A521" t="s">
        <v>533</v>
      </c>
      <c r="B521" t="s">
        <v>1015</v>
      </c>
      <c r="C521" t="s">
        <v>1029</v>
      </c>
      <c r="D521">
        <v>52</v>
      </c>
      <c r="E521">
        <v>5</v>
      </c>
      <c r="F521" s="3">
        <v>37595</v>
      </c>
      <c r="G521">
        <v>43</v>
      </c>
      <c r="H521">
        <v>14</v>
      </c>
      <c r="I521">
        <v>12</v>
      </c>
      <c r="J521">
        <v>0</v>
      </c>
      <c r="K521">
        <v>2.4</v>
      </c>
      <c r="L521" s="3">
        <v>8.4</v>
      </c>
      <c r="M521" t="s">
        <v>1034</v>
      </c>
      <c r="N521">
        <v>80.930000000000007</v>
      </c>
    </row>
    <row r="522" spans="1:14" x14ac:dyDescent="0.3">
      <c r="A522" t="s">
        <v>534</v>
      </c>
      <c r="B522" t="s">
        <v>1017</v>
      </c>
      <c r="C522" t="s">
        <v>1026</v>
      </c>
      <c r="D522">
        <v>50</v>
      </c>
      <c r="E522">
        <v>7</v>
      </c>
      <c r="F522" s="3">
        <v>73340</v>
      </c>
      <c r="G522">
        <v>36</v>
      </c>
      <c r="H522">
        <v>4</v>
      </c>
      <c r="I522">
        <v>14</v>
      </c>
      <c r="J522">
        <v>6</v>
      </c>
      <c r="K522">
        <v>3.6</v>
      </c>
      <c r="L522" s="3">
        <v>9.9</v>
      </c>
      <c r="M522" t="s">
        <v>1034</v>
      </c>
      <c r="N522">
        <v>76.87</v>
      </c>
    </row>
    <row r="523" spans="1:14" x14ac:dyDescent="0.3">
      <c r="A523" t="s">
        <v>535</v>
      </c>
      <c r="B523" t="s">
        <v>1017</v>
      </c>
      <c r="C523" t="s">
        <v>1024</v>
      </c>
      <c r="D523">
        <v>41</v>
      </c>
      <c r="E523">
        <v>10</v>
      </c>
      <c r="F523" s="3">
        <v>35394</v>
      </c>
      <c r="G523">
        <v>55</v>
      </c>
      <c r="H523">
        <v>12</v>
      </c>
      <c r="I523">
        <v>1</v>
      </c>
      <c r="J523">
        <v>35</v>
      </c>
      <c r="K523">
        <v>3.6</v>
      </c>
      <c r="L523" s="3">
        <v>4.8</v>
      </c>
      <c r="M523" t="s">
        <v>1036</v>
      </c>
      <c r="N523">
        <v>59.6</v>
      </c>
    </row>
    <row r="524" spans="1:14" x14ac:dyDescent="0.3">
      <c r="A524" t="s">
        <v>536</v>
      </c>
      <c r="B524" t="s">
        <v>1016</v>
      </c>
      <c r="C524" t="s">
        <v>1033</v>
      </c>
      <c r="D524">
        <v>34</v>
      </c>
      <c r="E524">
        <v>5</v>
      </c>
      <c r="F524" s="3">
        <v>83164</v>
      </c>
      <c r="G524">
        <v>36</v>
      </c>
      <c r="H524">
        <v>14</v>
      </c>
      <c r="I524">
        <v>21</v>
      </c>
      <c r="J524">
        <v>13</v>
      </c>
      <c r="K524">
        <v>4.9000000000000004</v>
      </c>
      <c r="L524" s="3">
        <v>4.7</v>
      </c>
      <c r="M524" t="s">
        <v>1036</v>
      </c>
      <c r="N524">
        <v>66.23</v>
      </c>
    </row>
    <row r="525" spans="1:14" x14ac:dyDescent="0.3">
      <c r="A525" t="s">
        <v>537</v>
      </c>
      <c r="B525" t="s">
        <v>1016</v>
      </c>
      <c r="C525" t="s">
        <v>1023</v>
      </c>
      <c r="D525">
        <v>22</v>
      </c>
      <c r="E525">
        <v>0</v>
      </c>
      <c r="F525" s="3">
        <v>77061</v>
      </c>
      <c r="G525">
        <v>43</v>
      </c>
      <c r="H525">
        <v>10</v>
      </c>
      <c r="I525">
        <v>3</v>
      </c>
      <c r="J525">
        <v>25</v>
      </c>
      <c r="K525">
        <v>4.4000000000000004</v>
      </c>
      <c r="L525" s="3">
        <v>3.1</v>
      </c>
      <c r="M525" t="s">
        <v>1036</v>
      </c>
      <c r="N525">
        <v>48.47</v>
      </c>
    </row>
    <row r="526" spans="1:14" x14ac:dyDescent="0.3">
      <c r="A526" t="s">
        <v>538</v>
      </c>
      <c r="B526" t="s">
        <v>1015</v>
      </c>
      <c r="C526" t="s">
        <v>1020</v>
      </c>
      <c r="D526">
        <v>52</v>
      </c>
      <c r="E526">
        <v>4</v>
      </c>
      <c r="F526" s="3">
        <v>49339</v>
      </c>
      <c r="G526">
        <v>37</v>
      </c>
      <c r="H526">
        <v>4</v>
      </c>
      <c r="I526">
        <v>5</v>
      </c>
      <c r="J526">
        <v>31</v>
      </c>
      <c r="K526">
        <v>2.2999999999999998</v>
      </c>
      <c r="L526" s="3">
        <v>7.3</v>
      </c>
      <c r="M526" t="s">
        <v>1035</v>
      </c>
      <c r="N526">
        <v>57.37</v>
      </c>
    </row>
    <row r="527" spans="1:14" x14ac:dyDescent="0.3">
      <c r="A527" t="s">
        <v>539</v>
      </c>
      <c r="B527" t="s">
        <v>1014</v>
      </c>
      <c r="C527" t="s">
        <v>1025</v>
      </c>
      <c r="D527">
        <v>25</v>
      </c>
      <c r="E527">
        <v>2</v>
      </c>
      <c r="F527" s="3">
        <v>67242</v>
      </c>
      <c r="G527">
        <v>39</v>
      </c>
      <c r="H527">
        <v>12</v>
      </c>
      <c r="I527">
        <v>17</v>
      </c>
      <c r="J527">
        <v>6</v>
      </c>
      <c r="K527">
        <v>2.4</v>
      </c>
      <c r="L527" s="3">
        <v>4.5999999999999996</v>
      </c>
      <c r="M527" t="s">
        <v>1036</v>
      </c>
      <c r="N527">
        <v>54.8</v>
      </c>
    </row>
    <row r="528" spans="1:14" x14ac:dyDescent="0.3">
      <c r="A528" t="s">
        <v>540</v>
      </c>
      <c r="B528" t="s">
        <v>1016</v>
      </c>
      <c r="C528" t="s">
        <v>1022</v>
      </c>
      <c r="D528">
        <v>50</v>
      </c>
      <c r="E528">
        <v>6</v>
      </c>
      <c r="F528" s="3">
        <v>26399</v>
      </c>
      <c r="G528">
        <v>47</v>
      </c>
      <c r="H528">
        <v>6</v>
      </c>
      <c r="I528">
        <v>23</v>
      </c>
      <c r="J528">
        <v>8</v>
      </c>
      <c r="K528">
        <v>2.8</v>
      </c>
      <c r="L528" s="3">
        <v>3.3</v>
      </c>
      <c r="M528" t="s">
        <v>1036</v>
      </c>
      <c r="N528">
        <v>38.200000000000003</v>
      </c>
    </row>
    <row r="529" spans="1:14" x14ac:dyDescent="0.3">
      <c r="A529" t="s">
        <v>541</v>
      </c>
      <c r="B529" t="s">
        <v>1017</v>
      </c>
      <c r="C529" t="s">
        <v>1024</v>
      </c>
      <c r="D529">
        <v>40</v>
      </c>
      <c r="E529">
        <v>15</v>
      </c>
      <c r="F529" s="3">
        <v>37437</v>
      </c>
      <c r="G529">
        <v>53</v>
      </c>
      <c r="H529">
        <v>3</v>
      </c>
      <c r="I529">
        <v>17</v>
      </c>
      <c r="J529">
        <v>22</v>
      </c>
      <c r="K529">
        <v>3</v>
      </c>
      <c r="L529" s="3">
        <v>6.3</v>
      </c>
      <c r="M529" t="s">
        <v>1035</v>
      </c>
      <c r="N529">
        <v>51.8</v>
      </c>
    </row>
    <row r="530" spans="1:14" x14ac:dyDescent="0.3">
      <c r="A530" t="s">
        <v>542</v>
      </c>
      <c r="B530" t="s">
        <v>1015</v>
      </c>
      <c r="C530" t="s">
        <v>1020</v>
      </c>
      <c r="D530">
        <v>32</v>
      </c>
      <c r="E530">
        <v>1</v>
      </c>
      <c r="F530" s="3">
        <v>59808</v>
      </c>
      <c r="G530">
        <v>39</v>
      </c>
      <c r="H530">
        <v>8</v>
      </c>
      <c r="I530">
        <v>9</v>
      </c>
      <c r="J530">
        <v>16</v>
      </c>
      <c r="K530">
        <v>3.6</v>
      </c>
      <c r="L530" s="3">
        <v>6.2</v>
      </c>
      <c r="M530" t="s">
        <v>1035</v>
      </c>
      <c r="N530">
        <v>61.33</v>
      </c>
    </row>
    <row r="531" spans="1:14" x14ac:dyDescent="0.3">
      <c r="A531" t="s">
        <v>543</v>
      </c>
      <c r="B531" t="s">
        <v>1015</v>
      </c>
      <c r="C531" t="s">
        <v>1020</v>
      </c>
      <c r="D531">
        <v>46</v>
      </c>
      <c r="E531">
        <v>5</v>
      </c>
      <c r="F531" s="3">
        <v>82863</v>
      </c>
      <c r="G531">
        <v>35</v>
      </c>
      <c r="H531">
        <v>10</v>
      </c>
      <c r="I531">
        <v>11</v>
      </c>
      <c r="J531">
        <v>39</v>
      </c>
      <c r="K531">
        <v>2.7</v>
      </c>
      <c r="L531" s="3">
        <v>8</v>
      </c>
      <c r="M531" t="s">
        <v>1034</v>
      </c>
      <c r="N531">
        <v>72.77</v>
      </c>
    </row>
    <row r="532" spans="1:14" x14ac:dyDescent="0.3">
      <c r="A532" t="s">
        <v>544</v>
      </c>
      <c r="B532" t="s">
        <v>1015</v>
      </c>
      <c r="C532" t="s">
        <v>1020</v>
      </c>
      <c r="D532">
        <v>46</v>
      </c>
      <c r="E532">
        <v>6</v>
      </c>
      <c r="F532" s="3">
        <v>59345</v>
      </c>
      <c r="G532">
        <v>50</v>
      </c>
      <c r="H532">
        <v>13</v>
      </c>
      <c r="I532">
        <v>17</v>
      </c>
      <c r="J532">
        <v>9</v>
      </c>
      <c r="K532">
        <v>3.8</v>
      </c>
      <c r="L532" s="3">
        <v>5.3</v>
      </c>
      <c r="M532" t="s">
        <v>1036</v>
      </c>
      <c r="N532">
        <v>64.87</v>
      </c>
    </row>
    <row r="533" spans="1:14" x14ac:dyDescent="0.3">
      <c r="A533" t="s">
        <v>545</v>
      </c>
      <c r="B533" t="s">
        <v>1016</v>
      </c>
      <c r="C533" t="s">
        <v>1033</v>
      </c>
      <c r="D533">
        <v>29</v>
      </c>
      <c r="E533">
        <v>1</v>
      </c>
      <c r="F533" s="3">
        <v>59288</v>
      </c>
      <c r="G533">
        <v>37</v>
      </c>
      <c r="H533">
        <v>1</v>
      </c>
      <c r="I533">
        <v>4</v>
      </c>
      <c r="J533">
        <v>11</v>
      </c>
      <c r="K533">
        <v>4.5999999999999996</v>
      </c>
      <c r="L533" s="3">
        <v>4.4000000000000004</v>
      </c>
      <c r="M533" t="s">
        <v>1036</v>
      </c>
      <c r="N533">
        <v>41.87</v>
      </c>
    </row>
    <row r="534" spans="1:14" x14ac:dyDescent="0.3">
      <c r="A534" t="s">
        <v>546</v>
      </c>
      <c r="B534" t="s">
        <v>1018</v>
      </c>
      <c r="C534" t="s">
        <v>1032</v>
      </c>
      <c r="D534">
        <v>28</v>
      </c>
      <c r="E534">
        <v>0</v>
      </c>
      <c r="F534" s="3">
        <v>62421</v>
      </c>
      <c r="G534">
        <v>55</v>
      </c>
      <c r="H534">
        <v>14</v>
      </c>
      <c r="I534">
        <v>12</v>
      </c>
      <c r="J534">
        <v>31</v>
      </c>
      <c r="K534">
        <v>3.6</v>
      </c>
      <c r="L534" s="3">
        <v>7.9</v>
      </c>
      <c r="M534" t="s">
        <v>1035</v>
      </c>
      <c r="N534">
        <v>81.53</v>
      </c>
    </row>
    <row r="535" spans="1:14" x14ac:dyDescent="0.3">
      <c r="A535" t="s">
        <v>547</v>
      </c>
      <c r="B535" t="s">
        <v>1014</v>
      </c>
      <c r="C535" t="s">
        <v>1031</v>
      </c>
      <c r="D535">
        <v>45</v>
      </c>
      <c r="E535">
        <v>7</v>
      </c>
      <c r="F535" s="3">
        <v>64711</v>
      </c>
      <c r="G535">
        <v>37</v>
      </c>
      <c r="H535">
        <v>1</v>
      </c>
      <c r="I535">
        <v>6</v>
      </c>
      <c r="J535">
        <v>31</v>
      </c>
      <c r="K535">
        <v>4.8</v>
      </c>
      <c r="L535" s="3">
        <v>8.8000000000000007</v>
      </c>
      <c r="M535" t="s">
        <v>1034</v>
      </c>
      <c r="N535">
        <v>68.87</v>
      </c>
    </row>
    <row r="536" spans="1:14" x14ac:dyDescent="0.3">
      <c r="A536" t="s">
        <v>548</v>
      </c>
      <c r="B536" t="s">
        <v>1014</v>
      </c>
      <c r="C536" t="s">
        <v>1019</v>
      </c>
      <c r="D536">
        <v>45</v>
      </c>
      <c r="E536">
        <v>13</v>
      </c>
      <c r="F536" s="3">
        <v>78872</v>
      </c>
      <c r="G536">
        <v>46</v>
      </c>
      <c r="H536">
        <v>13</v>
      </c>
      <c r="I536">
        <v>22</v>
      </c>
      <c r="J536">
        <v>3</v>
      </c>
      <c r="K536">
        <v>4.5</v>
      </c>
      <c r="L536" s="3">
        <v>4.9000000000000004</v>
      </c>
      <c r="M536" t="s">
        <v>1036</v>
      </c>
      <c r="N536">
        <v>64.569999999999993</v>
      </c>
    </row>
    <row r="537" spans="1:14" x14ac:dyDescent="0.3">
      <c r="A537" t="s">
        <v>549</v>
      </c>
      <c r="B537" t="s">
        <v>1014</v>
      </c>
      <c r="C537" t="s">
        <v>1019</v>
      </c>
      <c r="D537">
        <v>41</v>
      </c>
      <c r="E537">
        <v>2</v>
      </c>
      <c r="F537" s="3">
        <v>86905</v>
      </c>
      <c r="G537">
        <v>41</v>
      </c>
      <c r="H537">
        <v>9</v>
      </c>
      <c r="I537">
        <v>3</v>
      </c>
      <c r="J537">
        <v>6</v>
      </c>
      <c r="K537">
        <v>4.2</v>
      </c>
      <c r="L537" s="3">
        <v>6.7</v>
      </c>
      <c r="M537" t="s">
        <v>1035</v>
      </c>
      <c r="N537">
        <v>67.8</v>
      </c>
    </row>
    <row r="538" spans="1:14" x14ac:dyDescent="0.3">
      <c r="A538" t="s">
        <v>550</v>
      </c>
      <c r="B538" t="s">
        <v>1018</v>
      </c>
      <c r="C538" t="s">
        <v>1027</v>
      </c>
      <c r="D538">
        <v>55</v>
      </c>
      <c r="E538">
        <v>7</v>
      </c>
      <c r="F538" s="3">
        <v>62357</v>
      </c>
      <c r="G538">
        <v>55</v>
      </c>
      <c r="H538">
        <v>3</v>
      </c>
      <c r="I538">
        <v>17</v>
      </c>
      <c r="J538">
        <v>35</v>
      </c>
      <c r="K538">
        <v>3.2</v>
      </c>
      <c r="L538" s="3">
        <v>3.7</v>
      </c>
      <c r="M538" t="s">
        <v>1036</v>
      </c>
      <c r="N538">
        <v>36.799999999999997</v>
      </c>
    </row>
    <row r="539" spans="1:14" x14ac:dyDescent="0.3">
      <c r="A539" t="s">
        <v>551</v>
      </c>
      <c r="B539" t="s">
        <v>1015</v>
      </c>
      <c r="C539" t="s">
        <v>1020</v>
      </c>
      <c r="D539">
        <v>44</v>
      </c>
      <c r="E539">
        <v>14</v>
      </c>
      <c r="F539" s="3">
        <v>71042</v>
      </c>
      <c r="G539">
        <v>48</v>
      </c>
      <c r="H539">
        <v>15</v>
      </c>
      <c r="I539">
        <v>3</v>
      </c>
      <c r="J539">
        <v>10</v>
      </c>
      <c r="K539">
        <v>4.4000000000000004</v>
      </c>
      <c r="L539" s="3">
        <v>6.8</v>
      </c>
      <c r="M539" t="s">
        <v>1035</v>
      </c>
      <c r="N539">
        <v>79</v>
      </c>
    </row>
    <row r="540" spans="1:14" x14ac:dyDescent="0.3">
      <c r="A540" t="s">
        <v>552</v>
      </c>
      <c r="B540" t="s">
        <v>1016</v>
      </c>
      <c r="C540" t="s">
        <v>1033</v>
      </c>
      <c r="D540">
        <v>32</v>
      </c>
      <c r="E540">
        <v>8</v>
      </c>
      <c r="F540" s="3">
        <v>64316</v>
      </c>
      <c r="G540">
        <v>49</v>
      </c>
      <c r="H540">
        <v>15</v>
      </c>
      <c r="I540">
        <v>11</v>
      </c>
      <c r="J540">
        <v>20</v>
      </c>
      <c r="K540">
        <v>3.7</v>
      </c>
      <c r="L540" s="3">
        <v>10</v>
      </c>
      <c r="M540" t="s">
        <v>1034</v>
      </c>
      <c r="N540">
        <v>96.1</v>
      </c>
    </row>
    <row r="541" spans="1:14" x14ac:dyDescent="0.3">
      <c r="A541" t="s">
        <v>553</v>
      </c>
      <c r="B541" t="s">
        <v>1017</v>
      </c>
      <c r="C541" t="s">
        <v>1024</v>
      </c>
      <c r="D541">
        <v>49</v>
      </c>
      <c r="E541">
        <v>10</v>
      </c>
      <c r="F541" s="3">
        <v>64872</v>
      </c>
      <c r="G541">
        <v>42</v>
      </c>
      <c r="H541">
        <v>10</v>
      </c>
      <c r="I541">
        <v>17</v>
      </c>
      <c r="J541">
        <v>13</v>
      </c>
      <c r="K541">
        <v>3.1</v>
      </c>
      <c r="L541" s="3">
        <v>6.9</v>
      </c>
      <c r="M541" t="s">
        <v>1035</v>
      </c>
      <c r="N541">
        <v>67.37</v>
      </c>
    </row>
    <row r="542" spans="1:14" x14ac:dyDescent="0.3">
      <c r="A542" t="s">
        <v>554</v>
      </c>
      <c r="B542" t="s">
        <v>1016</v>
      </c>
      <c r="C542" t="s">
        <v>1022</v>
      </c>
      <c r="D542">
        <v>45</v>
      </c>
      <c r="E542">
        <v>14</v>
      </c>
      <c r="F542" s="3">
        <v>54327</v>
      </c>
      <c r="G542">
        <v>47</v>
      </c>
      <c r="H542">
        <v>1</v>
      </c>
      <c r="I542">
        <v>23</v>
      </c>
      <c r="J542">
        <v>2</v>
      </c>
      <c r="K542">
        <v>4.9000000000000004</v>
      </c>
      <c r="L542" s="3">
        <v>7.2</v>
      </c>
      <c r="M542" t="s">
        <v>1035</v>
      </c>
      <c r="N542">
        <v>59.57</v>
      </c>
    </row>
    <row r="543" spans="1:14" x14ac:dyDescent="0.3">
      <c r="A543" t="s">
        <v>555</v>
      </c>
      <c r="B543" t="s">
        <v>1018</v>
      </c>
      <c r="C543" t="s">
        <v>1032</v>
      </c>
      <c r="D543">
        <v>41</v>
      </c>
      <c r="E543">
        <v>0</v>
      </c>
      <c r="F543" s="3">
        <v>44682</v>
      </c>
      <c r="G543">
        <v>42</v>
      </c>
      <c r="H543">
        <v>4</v>
      </c>
      <c r="I543">
        <v>10</v>
      </c>
      <c r="J543">
        <v>1</v>
      </c>
      <c r="K543">
        <v>4.3</v>
      </c>
      <c r="L543" s="3">
        <v>9.6</v>
      </c>
      <c r="M543" t="s">
        <v>1034</v>
      </c>
      <c r="N543">
        <v>77.17</v>
      </c>
    </row>
    <row r="544" spans="1:14" x14ac:dyDescent="0.3">
      <c r="A544" t="s">
        <v>556</v>
      </c>
      <c r="B544" t="s">
        <v>1015</v>
      </c>
      <c r="C544" t="s">
        <v>1020</v>
      </c>
      <c r="D544">
        <v>54</v>
      </c>
      <c r="E544">
        <v>4</v>
      </c>
      <c r="F544" s="3">
        <v>31179</v>
      </c>
      <c r="G544">
        <v>36</v>
      </c>
      <c r="H544">
        <v>8</v>
      </c>
      <c r="I544">
        <v>11</v>
      </c>
      <c r="J544">
        <v>9</v>
      </c>
      <c r="K544">
        <v>2.4</v>
      </c>
      <c r="L544" s="3">
        <v>5.6</v>
      </c>
      <c r="M544" t="s">
        <v>1036</v>
      </c>
      <c r="N544">
        <v>54.13</v>
      </c>
    </row>
    <row r="545" spans="1:14" x14ac:dyDescent="0.3">
      <c r="A545" t="s">
        <v>557</v>
      </c>
      <c r="B545" t="s">
        <v>1018</v>
      </c>
      <c r="C545" t="s">
        <v>1028</v>
      </c>
      <c r="D545">
        <v>36</v>
      </c>
      <c r="E545">
        <v>8</v>
      </c>
      <c r="F545" s="3">
        <v>78154</v>
      </c>
      <c r="G545">
        <v>44</v>
      </c>
      <c r="H545">
        <v>2</v>
      </c>
      <c r="I545">
        <v>18</v>
      </c>
      <c r="J545">
        <v>25</v>
      </c>
      <c r="K545">
        <v>3.7</v>
      </c>
      <c r="L545" s="3">
        <v>4.5</v>
      </c>
      <c r="M545" t="s">
        <v>1036</v>
      </c>
      <c r="N545">
        <v>41.43</v>
      </c>
    </row>
    <row r="546" spans="1:14" x14ac:dyDescent="0.3">
      <c r="A546" t="s">
        <v>558</v>
      </c>
      <c r="B546" t="s">
        <v>1016</v>
      </c>
      <c r="C546" t="s">
        <v>1022</v>
      </c>
      <c r="D546">
        <v>52</v>
      </c>
      <c r="E546">
        <v>5</v>
      </c>
      <c r="F546" s="3">
        <v>56999</v>
      </c>
      <c r="G546">
        <v>53</v>
      </c>
      <c r="H546">
        <v>14</v>
      </c>
      <c r="I546">
        <v>3</v>
      </c>
      <c r="J546">
        <v>38</v>
      </c>
      <c r="K546">
        <v>3.9</v>
      </c>
      <c r="L546" s="3">
        <v>3.3</v>
      </c>
      <c r="M546" t="s">
        <v>1036</v>
      </c>
      <c r="N546">
        <v>54.83</v>
      </c>
    </row>
    <row r="547" spans="1:14" x14ac:dyDescent="0.3">
      <c r="A547" t="s">
        <v>559</v>
      </c>
      <c r="B547" t="s">
        <v>1017</v>
      </c>
      <c r="C547" t="s">
        <v>1030</v>
      </c>
      <c r="D547">
        <v>27</v>
      </c>
      <c r="E547">
        <v>6</v>
      </c>
      <c r="F547" s="3">
        <v>28664</v>
      </c>
      <c r="G547">
        <v>45</v>
      </c>
      <c r="H547">
        <v>6</v>
      </c>
      <c r="I547">
        <v>13</v>
      </c>
      <c r="J547">
        <v>26</v>
      </c>
      <c r="K547">
        <v>4.8</v>
      </c>
      <c r="L547" s="3">
        <v>3.8</v>
      </c>
      <c r="M547" t="s">
        <v>1036</v>
      </c>
      <c r="N547">
        <v>47.2</v>
      </c>
    </row>
    <row r="548" spans="1:14" x14ac:dyDescent="0.3">
      <c r="A548" t="s">
        <v>560</v>
      </c>
      <c r="B548" t="s">
        <v>1015</v>
      </c>
      <c r="C548" t="s">
        <v>1020</v>
      </c>
      <c r="D548">
        <v>22</v>
      </c>
      <c r="E548">
        <v>1</v>
      </c>
      <c r="F548" s="3">
        <v>28547</v>
      </c>
      <c r="G548">
        <v>44</v>
      </c>
      <c r="H548">
        <v>9</v>
      </c>
      <c r="I548">
        <v>1</v>
      </c>
      <c r="J548">
        <v>20</v>
      </c>
      <c r="K548">
        <v>3.6</v>
      </c>
      <c r="L548" s="3">
        <v>4</v>
      </c>
      <c r="M548" t="s">
        <v>1036</v>
      </c>
      <c r="N548">
        <v>49.8</v>
      </c>
    </row>
    <row r="549" spans="1:14" x14ac:dyDescent="0.3">
      <c r="A549" t="s">
        <v>561</v>
      </c>
      <c r="B549" t="s">
        <v>1018</v>
      </c>
      <c r="C549" t="s">
        <v>1032</v>
      </c>
      <c r="D549">
        <v>31</v>
      </c>
      <c r="E549">
        <v>0</v>
      </c>
      <c r="F549" s="3">
        <v>69147</v>
      </c>
      <c r="G549">
        <v>47</v>
      </c>
      <c r="H549">
        <v>8</v>
      </c>
      <c r="I549">
        <v>24</v>
      </c>
      <c r="J549">
        <v>38</v>
      </c>
      <c r="K549">
        <v>3.7</v>
      </c>
      <c r="L549" s="3">
        <v>3.6</v>
      </c>
      <c r="M549" t="s">
        <v>1036</v>
      </c>
      <c r="N549">
        <v>46.03</v>
      </c>
    </row>
    <row r="550" spans="1:14" x14ac:dyDescent="0.3">
      <c r="A550" t="s">
        <v>562</v>
      </c>
      <c r="B550" t="s">
        <v>1016</v>
      </c>
      <c r="C550" t="s">
        <v>1033</v>
      </c>
      <c r="D550">
        <v>47</v>
      </c>
      <c r="E550">
        <v>4</v>
      </c>
      <c r="F550" s="3">
        <v>33663</v>
      </c>
      <c r="G550">
        <v>45</v>
      </c>
      <c r="H550">
        <v>2</v>
      </c>
      <c r="I550">
        <v>15</v>
      </c>
      <c r="J550">
        <v>36</v>
      </c>
      <c r="K550">
        <v>4.2</v>
      </c>
      <c r="L550" s="3">
        <v>6.8</v>
      </c>
      <c r="M550" t="s">
        <v>1035</v>
      </c>
      <c r="N550">
        <v>56.73</v>
      </c>
    </row>
    <row r="551" spans="1:14" x14ac:dyDescent="0.3">
      <c r="A551" t="s">
        <v>563</v>
      </c>
      <c r="B551" t="s">
        <v>1014</v>
      </c>
      <c r="C551" t="s">
        <v>1025</v>
      </c>
      <c r="D551">
        <v>47</v>
      </c>
      <c r="E551">
        <v>13</v>
      </c>
      <c r="F551" s="3">
        <v>75713</v>
      </c>
      <c r="G551">
        <v>39</v>
      </c>
      <c r="H551">
        <v>13</v>
      </c>
      <c r="I551">
        <v>4</v>
      </c>
      <c r="J551">
        <v>30</v>
      </c>
      <c r="K551">
        <v>3.7</v>
      </c>
      <c r="L551" s="3">
        <v>6.4</v>
      </c>
      <c r="M551" t="s">
        <v>1035</v>
      </c>
      <c r="N551">
        <v>71.17</v>
      </c>
    </row>
    <row r="552" spans="1:14" x14ac:dyDescent="0.3">
      <c r="A552" t="s">
        <v>564</v>
      </c>
      <c r="B552" t="s">
        <v>1015</v>
      </c>
      <c r="C552" t="s">
        <v>1020</v>
      </c>
      <c r="D552">
        <v>34</v>
      </c>
      <c r="E552">
        <v>8</v>
      </c>
      <c r="F552" s="3">
        <v>65369</v>
      </c>
      <c r="G552">
        <v>51</v>
      </c>
      <c r="H552">
        <v>4</v>
      </c>
      <c r="I552">
        <v>7</v>
      </c>
      <c r="J552">
        <v>4</v>
      </c>
      <c r="K552">
        <v>2.8</v>
      </c>
      <c r="L552" s="3">
        <v>6</v>
      </c>
      <c r="M552" t="s">
        <v>1035</v>
      </c>
      <c r="N552">
        <v>51.07</v>
      </c>
    </row>
    <row r="553" spans="1:14" x14ac:dyDescent="0.3">
      <c r="A553" t="s">
        <v>565</v>
      </c>
      <c r="B553" t="s">
        <v>1015</v>
      </c>
      <c r="C553" t="s">
        <v>1020</v>
      </c>
      <c r="D553">
        <v>27</v>
      </c>
      <c r="E553">
        <v>0</v>
      </c>
      <c r="F553" s="3">
        <v>69023</v>
      </c>
      <c r="G553">
        <v>48</v>
      </c>
      <c r="H553">
        <v>7</v>
      </c>
      <c r="I553">
        <v>11</v>
      </c>
      <c r="J553">
        <v>22</v>
      </c>
      <c r="K553">
        <v>2.6</v>
      </c>
      <c r="L553" s="3">
        <v>5.4</v>
      </c>
      <c r="M553" t="s">
        <v>1036</v>
      </c>
      <c r="N553">
        <v>51.87</v>
      </c>
    </row>
    <row r="554" spans="1:14" x14ac:dyDescent="0.3">
      <c r="A554" t="s">
        <v>566</v>
      </c>
      <c r="B554" t="s">
        <v>1014</v>
      </c>
      <c r="C554" t="s">
        <v>1019</v>
      </c>
      <c r="D554">
        <v>41</v>
      </c>
      <c r="E554">
        <v>5</v>
      </c>
      <c r="F554" s="3">
        <v>89726</v>
      </c>
      <c r="G554">
        <v>46</v>
      </c>
      <c r="H554">
        <v>10</v>
      </c>
      <c r="I554">
        <v>25</v>
      </c>
      <c r="J554">
        <v>28</v>
      </c>
      <c r="K554">
        <v>3.9</v>
      </c>
      <c r="L554" s="3">
        <v>6.1</v>
      </c>
      <c r="M554" t="s">
        <v>1035</v>
      </c>
      <c r="N554">
        <v>64.97</v>
      </c>
    </row>
    <row r="555" spans="1:14" x14ac:dyDescent="0.3">
      <c r="A555" t="s">
        <v>567</v>
      </c>
      <c r="B555" t="s">
        <v>1018</v>
      </c>
      <c r="C555" t="s">
        <v>1028</v>
      </c>
      <c r="D555">
        <v>45</v>
      </c>
      <c r="E555">
        <v>4</v>
      </c>
      <c r="F555" s="3">
        <v>74658</v>
      </c>
      <c r="G555">
        <v>37</v>
      </c>
      <c r="H555">
        <v>2</v>
      </c>
      <c r="I555">
        <v>23</v>
      </c>
      <c r="J555">
        <v>3</v>
      </c>
      <c r="K555">
        <v>2.7</v>
      </c>
      <c r="L555" s="3">
        <v>7.3</v>
      </c>
      <c r="M555" t="s">
        <v>1035</v>
      </c>
      <c r="N555">
        <v>55.23</v>
      </c>
    </row>
    <row r="556" spans="1:14" x14ac:dyDescent="0.3">
      <c r="A556" t="s">
        <v>568</v>
      </c>
      <c r="B556" t="s">
        <v>1016</v>
      </c>
      <c r="C556" t="s">
        <v>1022</v>
      </c>
      <c r="D556">
        <v>22</v>
      </c>
      <c r="E556">
        <v>1</v>
      </c>
      <c r="F556" s="3">
        <v>70468</v>
      </c>
      <c r="G556">
        <v>38</v>
      </c>
      <c r="H556">
        <v>5</v>
      </c>
      <c r="I556">
        <v>14</v>
      </c>
      <c r="J556">
        <v>30</v>
      </c>
      <c r="K556">
        <v>2.1</v>
      </c>
      <c r="L556" s="3">
        <v>4.5</v>
      </c>
      <c r="M556" t="s">
        <v>1036</v>
      </c>
      <c r="N556">
        <v>41.63</v>
      </c>
    </row>
    <row r="557" spans="1:14" x14ac:dyDescent="0.3">
      <c r="A557" t="s">
        <v>569</v>
      </c>
      <c r="B557" t="s">
        <v>1018</v>
      </c>
      <c r="C557" t="s">
        <v>1027</v>
      </c>
      <c r="D557">
        <v>35</v>
      </c>
      <c r="E557">
        <v>8</v>
      </c>
      <c r="F557" s="3">
        <v>59292</v>
      </c>
      <c r="G557">
        <v>43</v>
      </c>
      <c r="H557">
        <v>9</v>
      </c>
      <c r="I557">
        <v>15</v>
      </c>
      <c r="J557">
        <v>39</v>
      </c>
      <c r="K557">
        <v>4.2</v>
      </c>
      <c r="L557" s="3">
        <v>4</v>
      </c>
      <c r="M557" t="s">
        <v>1036</v>
      </c>
      <c r="N557">
        <v>51.6</v>
      </c>
    </row>
    <row r="558" spans="1:14" x14ac:dyDescent="0.3">
      <c r="A558" t="s">
        <v>570</v>
      </c>
      <c r="B558" t="s">
        <v>1014</v>
      </c>
      <c r="C558" t="s">
        <v>1019</v>
      </c>
      <c r="D558">
        <v>46</v>
      </c>
      <c r="E558">
        <v>1</v>
      </c>
      <c r="F558" s="3">
        <v>41741</v>
      </c>
      <c r="G558">
        <v>40</v>
      </c>
      <c r="H558">
        <v>1</v>
      </c>
      <c r="I558">
        <v>9</v>
      </c>
      <c r="J558">
        <v>12</v>
      </c>
      <c r="K558">
        <v>4.4000000000000004</v>
      </c>
      <c r="L558" s="3">
        <v>7.3</v>
      </c>
      <c r="M558" t="s">
        <v>1035</v>
      </c>
      <c r="N558">
        <v>58.67</v>
      </c>
    </row>
    <row r="559" spans="1:14" x14ac:dyDescent="0.3">
      <c r="A559" t="s">
        <v>571</v>
      </c>
      <c r="B559" t="s">
        <v>1017</v>
      </c>
      <c r="C559" t="s">
        <v>1024</v>
      </c>
      <c r="D559">
        <v>22</v>
      </c>
      <c r="E559">
        <v>0</v>
      </c>
      <c r="F559" s="3">
        <v>50470</v>
      </c>
      <c r="G559">
        <v>43</v>
      </c>
      <c r="H559">
        <v>11</v>
      </c>
      <c r="I559">
        <v>21</v>
      </c>
      <c r="J559">
        <v>23</v>
      </c>
      <c r="K559">
        <v>4.5999999999999996</v>
      </c>
      <c r="L559" s="3">
        <v>3.1</v>
      </c>
      <c r="M559" t="s">
        <v>1036</v>
      </c>
      <c r="N559">
        <v>50.73</v>
      </c>
    </row>
    <row r="560" spans="1:14" x14ac:dyDescent="0.3">
      <c r="A560" t="s">
        <v>572</v>
      </c>
      <c r="B560" t="s">
        <v>1017</v>
      </c>
      <c r="C560" t="s">
        <v>1030</v>
      </c>
      <c r="D560">
        <v>36</v>
      </c>
      <c r="E560">
        <v>12</v>
      </c>
      <c r="F560" s="3">
        <v>58327</v>
      </c>
      <c r="G560">
        <v>38</v>
      </c>
      <c r="H560">
        <v>15</v>
      </c>
      <c r="I560">
        <v>10</v>
      </c>
      <c r="J560">
        <v>31</v>
      </c>
      <c r="K560">
        <v>4.5999999999999996</v>
      </c>
      <c r="L560" s="3">
        <v>6.7</v>
      </c>
      <c r="M560" t="s">
        <v>1035</v>
      </c>
      <c r="N560">
        <v>79</v>
      </c>
    </row>
    <row r="561" spans="1:14" x14ac:dyDescent="0.3">
      <c r="A561" t="s">
        <v>573</v>
      </c>
      <c r="B561" t="s">
        <v>1018</v>
      </c>
      <c r="C561" t="s">
        <v>1027</v>
      </c>
      <c r="D561">
        <v>54</v>
      </c>
      <c r="E561">
        <v>14</v>
      </c>
      <c r="F561" s="3">
        <v>61745</v>
      </c>
      <c r="G561">
        <v>35</v>
      </c>
      <c r="H561">
        <v>1</v>
      </c>
      <c r="I561">
        <v>7</v>
      </c>
      <c r="J561">
        <v>33</v>
      </c>
      <c r="K561">
        <v>2.9</v>
      </c>
      <c r="L561" s="3">
        <v>6.4</v>
      </c>
      <c r="M561" t="s">
        <v>1035</v>
      </c>
      <c r="N561">
        <v>48.77</v>
      </c>
    </row>
    <row r="562" spans="1:14" x14ac:dyDescent="0.3">
      <c r="A562" t="s">
        <v>574</v>
      </c>
      <c r="B562" t="s">
        <v>1018</v>
      </c>
      <c r="C562" t="s">
        <v>1027</v>
      </c>
      <c r="D562">
        <v>23</v>
      </c>
      <c r="E562">
        <v>1</v>
      </c>
      <c r="F562" s="3">
        <v>69847</v>
      </c>
      <c r="G562">
        <v>46</v>
      </c>
      <c r="H562">
        <v>6</v>
      </c>
      <c r="I562">
        <v>20</v>
      </c>
      <c r="J562">
        <v>19</v>
      </c>
      <c r="K562">
        <v>2.7</v>
      </c>
      <c r="L562" s="3">
        <v>9.8000000000000007</v>
      </c>
      <c r="M562" t="s">
        <v>1034</v>
      </c>
      <c r="N562">
        <v>76.900000000000006</v>
      </c>
    </row>
    <row r="563" spans="1:14" x14ac:dyDescent="0.3">
      <c r="A563" t="s">
        <v>575</v>
      </c>
      <c r="B563" t="s">
        <v>1016</v>
      </c>
      <c r="C563" t="s">
        <v>1033</v>
      </c>
      <c r="D563">
        <v>25</v>
      </c>
      <c r="E563">
        <v>2</v>
      </c>
      <c r="F563" s="3">
        <v>82584</v>
      </c>
      <c r="G563">
        <v>47</v>
      </c>
      <c r="H563">
        <v>15</v>
      </c>
      <c r="I563">
        <v>0</v>
      </c>
      <c r="J563">
        <v>35</v>
      </c>
      <c r="K563">
        <v>4.8</v>
      </c>
      <c r="L563" s="3">
        <v>4.5999999999999996</v>
      </c>
      <c r="M563" t="s">
        <v>1036</v>
      </c>
      <c r="N563">
        <v>67</v>
      </c>
    </row>
    <row r="564" spans="1:14" x14ac:dyDescent="0.3">
      <c r="A564" t="s">
        <v>576</v>
      </c>
      <c r="B564" t="s">
        <v>1017</v>
      </c>
      <c r="C564" t="s">
        <v>1026</v>
      </c>
      <c r="D564">
        <v>30</v>
      </c>
      <c r="E564">
        <v>1</v>
      </c>
      <c r="F564" s="3">
        <v>72834</v>
      </c>
      <c r="G564">
        <v>47</v>
      </c>
      <c r="H564">
        <v>9</v>
      </c>
      <c r="I564">
        <v>21</v>
      </c>
      <c r="J564">
        <v>39</v>
      </c>
      <c r="K564">
        <v>4.5999999999999996</v>
      </c>
      <c r="L564" s="3">
        <v>7.8</v>
      </c>
      <c r="M564" t="s">
        <v>1035</v>
      </c>
      <c r="N564">
        <v>75.599999999999994</v>
      </c>
    </row>
    <row r="565" spans="1:14" x14ac:dyDescent="0.3">
      <c r="A565" t="s">
        <v>577</v>
      </c>
      <c r="B565" t="s">
        <v>1018</v>
      </c>
      <c r="C565" t="s">
        <v>1027</v>
      </c>
      <c r="D565">
        <v>31</v>
      </c>
      <c r="E565">
        <v>6</v>
      </c>
      <c r="F565" s="3">
        <v>88605</v>
      </c>
      <c r="G565">
        <v>44</v>
      </c>
      <c r="H565">
        <v>15</v>
      </c>
      <c r="I565">
        <v>19</v>
      </c>
      <c r="J565">
        <v>21</v>
      </c>
      <c r="K565">
        <v>3.3</v>
      </c>
      <c r="L565" s="3">
        <v>3.9</v>
      </c>
      <c r="M565" t="s">
        <v>1036</v>
      </c>
      <c r="N565">
        <v>58.3</v>
      </c>
    </row>
    <row r="566" spans="1:14" x14ac:dyDescent="0.3">
      <c r="A566" t="s">
        <v>578</v>
      </c>
      <c r="B566" t="s">
        <v>1018</v>
      </c>
      <c r="C566" t="s">
        <v>1028</v>
      </c>
      <c r="D566">
        <v>34</v>
      </c>
      <c r="E566">
        <v>13</v>
      </c>
      <c r="F566" s="3">
        <v>34051</v>
      </c>
      <c r="G566">
        <v>44</v>
      </c>
      <c r="H566">
        <v>12</v>
      </c>
      <c r="I566">
        <v>22</v>
      </c>
      <c r="J566">
        <v>33</v>
      </c>
      <c r="K566">
        <v>4.7</v>
      </c>
      <c r="L566" s="3">
        <v>6</v>
      </c>
      <c r="M566" t="s">
        <v>1035</v>
      </c>
      <c r="N566">
        <v>70.099999999999994</v>
      </c>
    </row>
    <row r="567" spans="1:14" x14ac:dyDescent="0.3">
      <c r="A567" t="s">
        <v>579</v>
      </c>
      <c r="B567" t="s">
        <v>1015</v>
      </c>
      <c r="C567" t="s">
        <v>1029</v>
      </c>
      <c r="D567">
        <v>32</v>
      </c>
      <c r="E567">
        <v>5</v>
      </c>
      <c r="F567" s="3">
        <v>29444</v>
      </c>
      <c r="G567">
        <v>52</v>
      </c>
      <c r="H567">
        <v>9</v>
      </c>
      <c r="I567">
        <v>23</v>
      </c>
      <c r="J567">
        <v>7</v>
      </c>
      <c r="K567">
        <v>2.6</v>
      </c>
      <c r="L567" s="3">
        <v>8.9</v>
      </c>
      <c r="M567" t="s">
        <v>1034</v>
      </c>
      <c r="N567">
        <v>76.2</v>
      </c>
    </row>
    <row r="568" spans="1:14" x14ac:dyDescent="0.3">
      <c r="A568" t="s">
        <v>580</v>
      </c>
      <c r="B568" t="s">
        <v>1014</v>
      </c>
      <c r="C568" t="s">
        <v>1019</v>
      </c>
      <c r="D568">
        <v>42</v>
      </c>
      <c r="E568">
        <v>13</v>
      </c>
      <c r="F568" s="3">
        <v>87992</v>
      </c>
      <c r="G568">
        <v>48</v>
      </c>
      <c r="H568">
        <v>5</v>
      </c>
      <c r="I568">
        <v>14</v>
      </c>
      <c r="J568">
        <v>40</v>
      </c>
      <c r="K568">
        <v>4.8</v>
      </c>
      <c r="L568" s="3">
        <v>4.9000000000000004</v>
      </c>
      <c r="M568" t="s">
        <v>1036</v>
      </c>
      <c r="N568">
        <v>52.13</v>
      </c>
    </row>
    <row r="569" spans="1:14" x14ac:dyDescent="0.3">
      <c r="A569" t="s">
        <v>581</v>
      </c>
      <c r="B569" t="s">
        <v>1014</v>
      </c>
      <c r="C569" t="s">
        <v>1019</v>
      </c>
      <c r="D569">
        <v>30</v>
      </c>
      <c r="E569">
        <v>2</v>
      </c>
      <c r="F569" s="3">
        <v>26716</v>
      </c>
      <c r="G569">
        <v>54</v>
      </c>
      <c r="H569">
        <v>10</v>
      </c>
      <c r="I569">
        <v>8</v>
      </c>
      <c r="J569">
        <v>38</v>
      </c>
      <c r="K569">
        <v>3.7</v>
      </c>
      <c r="L569" s="3">
        <v>4.5999999999999996</v>
      </c>
      <c r="M569" t="s">
        <v>1036</v>
      </c>
      <c r="N569">
        <v>55.37</v>
      </c>
    </row>
    <row r="570" spans="1:14" x14ac:dyDescent="0.3">
      <c r="A570" t="s">
        <v>582</v>
      </c>
      <c r="B570" t="s">
        <v>1018</v>
      </c>
      <c r="C570" t="s">
        <v>1028</v>
      </c>
      <c r="D570">
        <v>23</v>
      </c>
      <c r="E570">
        <v>1</v>
      </c>
      <c r="F570" s="3">
        <v>30208</v>
      </c>
      <c r="G570">
        <v>50</v>
      </c>
      <c r="H570">
        <v>3</v>
      </c>
      <c r="I570">
        <v>16</v>
      </c>
      <c r="J570">
        <v>38</v>
      </c>
      <c r="K570">
        <v>3.4</v>
      </c>
      <c r="L570" s="3">
        <v>7.5</v>
      </c>
      <c r="M570" t="s">
        <v>1035</v>
      </c>
      <c r="N570">
        <v>60.2</v>
      </c>
    </row>
    <row r="571" spans="1:14" x14ac:dyDescent="0.3">
      <c r="A571" t="s">
        <v>583</v>
      </c>
      <c r="B571" t="s">
        <v>1017</v>
      </c>
      <c r="C571" t="s">
        <v>1026</v>
      </c>
      <c r="D571">
        <v>53</v>
      </c>
      <c r="E571">
        <v>15</v>
      </c>
      <c r="F571" s="3">
        <v>34012</v>
      </c>
      <c r="G571">
        <v>40</v>
      </c>
      <c r="H571">
        <v>4</v>
      </c>
      <c r="I571">
        <v>7</v>
      </c>
      <c r="J571">
        <v>2</v>
      </c>
      <c r="K571">
        <v>3.2</v>
      </c>
      <c r="L571" s="3">
        <v>9.8000000000000007</v>
      </c>
      <c r="M571" t="s">
        <v>1034</v>
      </c>
      <c r="N571">
        <v>75.069999999999993</v>
      </c>
    </row>
    <row r="572" spans="1:14" x14ac:dyDescent="0.3">
      <c r="A572" t="s">
        <v>584</v>
      </c>
      <c r="B572" t="s">
        <v>1017</v>
      </c>
      <c r="C572" t="s">
        <v>1026</v>
      </c>
      <c r="D572">
        <v>36</v>
      </c>
      <c r="E572">
        <v>6</v>
      </c>
      <c r="F572" s="3">
        <v>74661</v>
      </c>
      <c r="G572">
        <v>41</v>
      </c>
      <c r="H572">
        <v>2</v>
      </c>
      <c r="I572">
        <v>5</v>
      </c>
      <c r="J572">
        <v>28</v>
      </c>
      <c r="K572">
        <v>4.5999999999999996</v>
      </c>
      <c r="L572" s="3">
        <v>6.4</v>
      </c>
      <c r="M572" t="s">
        <v>1035</v>
      </c>
      <c r="N572">
        <v>55.53</v>
      </c>
    </row>
    <row r="573" spans="1:14" x14ac:dyDescent="0.3">
      <c r="A573" t="s">
        <v>585</v>
      </c>
      <c r="B573" t="s">
        <v>1017</v>
      </c>
      <c r="C573" t="s">
        <v>1024</v>
      </c>
      <c r="D573">
        <v>37</v>
      </c>
      <c r="E573">
        <v>13</v>
      </c>
      <c r="F573" s="3">
        <v>51533</v>
      </c>
      <c r="G573">
        <v>36</v>
      </c>
      <c r="H573">
        <v>10</v>
      </c>
      <c r="I573">
        <v>23</v>
      </c>
      <c r="J573">
        <v>24</v>
      </c>
      <c r="K573">
        <v>4.2</v>
      </c>
      <c r="L573" s="3">
        <v>5.8</v>
      </c>
      <c r="M573" t="s">
        <v>1036</v>
      </c>
      <c r="N573">
        <v>64.069999999999993</v>
      </c>
    </row>
    <row r="574" spans="1:14" x14ac:dyDescent="0.3">
      <c r="A574" t="s">
        <v>586</v>
      </c>
      <c r="B574" t="s">
        <v>1015</v>
      </c>
      <c r="C574" t="s">
        <v>1020</v>
      </c>
      <c r="D574">
        <v>55</v>
      </c>
      <c r="E574">
        <v>1</v>
      </c>
      <c r="F574" s="3">
        <v>59121</v>
      </c>
      <c r="G574">
        <v>38</v>
      </c>
      <c r="H574">
        <v>8</v>
      </c>
      <c r="I574">
        <v>14</v>
      </c>
      <c r="J574">
        <v>2</v>
      </c>
      <c r="K574">
        <v>4.5999999999999996</v>
      </c>
      <c r="L574" s="3">
        <v>4.7</v>
      </c>
      <c r="M574" t="s">
        <v>1036</v>
      </c>
      <c r="N574">
        <v>55.33</v>
      </c>
    </row>
    <row r="575" spans="1:14" x14ac:dyDescent="0.3">
      <c r="A575" t="s">
        <v>587</v>
      </c>
      <c r="B575" t="s">
        <v>1017</v>
      </c>
      <c r="C575" t="s">
        <v>1026</v>
      </c>
      <c r="D575">
        <v>24</v>
      </c>
      <c r="E575">
        <v>3</v>
      </c>
      <c r="F575" s="3">
        <v>58824</v>
      </c>
      <c r="G575">
        <v>55</v>
      </c>
      <c r="H575">
        <v>1</v>
      </c>
      <c r="I575">
        <v>6</v>
      </c>
      <c r="J575">
        <v>18</v>
      </c>
      <c r="K575">
        <v>3.3</v>
      </c>
      <c r="L575" s="3">
        <v>9.1999999999999993</v>
      </c>
      <c r="M575" t="s">
        <v>1034</v>
      </c>
      <c r="N575">
        <v>66.77</v>
      </c>
    </row>
    <row r="576" spans="1:14" x14ac:dyDescent="0.3">
      <c r="A576" t="s">
        <v>588</v>
      </c>
      <c r="B576" t="s">
        <v>1017</v>
      </c>
      <c r="C576" t="s">
        <v>1024</v>
      </c>
      <c r="D576">
        <v>32</v>
      </c>
      <c r="E576">
        <v>6</v>
      </c>
      <c r="F576" s="3">
        <v>44295</v>
      </c>
      <c r="G576">
        <v>54</v>
      </c>
      <c r="H576">
        <v>15</v>
      </c>
      <c r="I576">
        <v>1</v>
      </c>
      <c r="J576">
        <v>33</v>
      </c>
      <c r="K576">
        <v>4.7</v>
      </c>
      <c r="L576" s="3">
        <v>6.2</v>
      </c>
      <c r="M576" t="s">
        <v>1035</v>
      </c>
      <c r="N576">
        <v>76.3</v>
      </c>
    </row>
    <row r="577" spans="1:14" x14ac:dyDescent="0.3">
      <c r="A577" t="s">
        <v>589</v>
      </c>
      <c r="B577" t="s">
        <v>1017</v>
      </c>
      <c r="C577" t="s">
        <v>1030</v>
      </c>
      <c r="D577">
        <v>27</v>
      </c>
      <c r="E577">
        <v>5</v>
      </c>
      <c r="F577" s="3">
        <v>57811</v>
      </c>
      <c r="G577">
        <v>38</v>
      </c>
      <c r="H577">
        <v>3</v>
      </c>
      <c r="I577">
        <v>24</v>
      </c>
      <c r="J577">
        <v>37</v>
      </c>
      <c r="K577">
        <v>4.8</v>
      </c>
      <c r="L577" s="3">
        <v>7.9</v>
      </c>
      <c r="M577" t="s">
        <v>1035</v>
      </c>
      <c r="N577">
        <v>66.8</v>
      </c>
    </row>
    <row r="578" spans="1:14" x14ac:dyDescent="0.3">
      <c r="A578" t="s">
        <v>590</v>
      </c>
      <c r="B578" t="s">
        <v>1017</v>
      </c>
      <c r="C578" t="s">
        <v>1026</v>
      </c>
      <c r="D578">
        <v>48</v>
      </c>
      <c r="E578">
        <v>10</v>
      </c>
      <c r="F578" s="3">
        <v>54549</v>
      </c>
      <c r="G578">
        <v>35</v>
      </c>
      <c r="H578">
        <v>3</v>
      </c>
      <c r="I578">
        <v>14</v>
      </c>
      <c r="J578">
        <v>37</v>
      </c>
      <c r="K578">
        <v>4.7</v>
      </c>
      <c r="L578" s="3">
        <v>9.3000000000000007</v>
      </c>
      <c r="M578" t="s">
        <v>1034</v>
      </c>
      <c r="N578">
        <v>74.900000000000006</v>
      </c>
    </row>
    <row r="579" spans="1:14" x14ac:dyDescent="0.3">
      <c r="A579" t="s">
        <v>591</v>
      </c>
      <c r="B579" t="s">
        <v>1014</v>
      </c>
      <c r="C579" t="s">
        <v>1019</v>
      </c>
      <c r="D579">
        <v>38</v>
      </c>
      <c r="E579">
        <v>10</v>
      </c>
      <c r="F579" s="3">
        <v>70332</v>
      </c>
      <c r="G579">
        <v>55</v>
      </c>
      <c r="H579">
        <v>15</v>
      </c>
      <c r="I579">
        <v>22</v>
      </c>
      <c r="J579">
        <v>10</v>
      </c>
      <c r="K579">
        <v>4.2</v>
      </c>
      <c r="L579" s="3">
        <v>3.9</v>
      </c>
      <c r="M579" t="s">
        <v>1036</v>
      </c>
      <c r="N579">
        <v>61</v>
      </c>
    </row>
    <row r="580" spans="1:14" x14ac:dyDescent="0.3">
      <c r="A580" t="s">
        <v>592</v>
      </c>
      <c r="B580" t="s">
        <v>1017</v>
      </c>
      <c r="C580" t="s">
        <v>1024</v>
      </c>
      <c r="D580">
        <v>45</v>
      </c>
      <c r="E580">
        <v>2</v>
      </c>
      <c r="F580" s="3">
        <v>59328</v>
      </c>
      <c r="G580">
        <v>47</v>
      </c>
      <c r="H580">
        <v>12</v>
      </c>
      <c r="I580">
        <v>25</v>
      </c>
      <c r="J580">
        <v>32</v>
      </c>
      <c r="K580">
        <v>3.8</v>
      </c>
      <c r="L580" s="3">
        <v>4.0999999999999996</v>
      </c>
      <c r="M580" t="s">
        <v>1036</v>
      </c>
      <c r="N580">
        <v>56</v>
      </c>
    </row>
    <row r="581" spans="1:14" x14ac:dyDescent="0.3">
      <c r="A581" t="s">
        <v>593</v>
      </c>
      <c r="B581" t="s">
        <v>1017</v>
      </c>
      <c r="C581" t="s">
        <v>1024</v>
      </c>
      <c r="D581">
        <v>24</v>
      </c>
      <c r="E581">
        <v>1</v>
      </c>
      <c r="F581" s="3">
        <v>84785</v>
      </c>
      <c r="G581">
        <v>45</v>
      </c>
      <c r="H581">
        <v>10</v>
      </c>
      <c r="I581">
        <v>21</v>
      </c>
      <c r="J581">
        <v>9</v>
      </c>
      <c r="K581">
        <v>2.5</v>
      </c>
      <c r="L581" s="3">
        <v>4</v>
      </c>
      <c r="M581" t="s">
        <v>1036</v>
      </c>
      <c r="N581">
        <v>48.17</v>
      </c>
    </row>
    <row r="582" spans="1:14" x14ac:dyDescent="0.3">
      <c r="A582" t="s">
        <v>594</v>
      </c>
      <c r="B582" t="s">
        <v>1014</v>
      </c>
      <c r="C582" t="s">
        <v>1019</v>
      </c>
      <c r="D582">
        <v>48</v>
      </c>
      <c r="E582">
        <v>9</v>
      </c>
      <c r="F582" s="3">
        <v>45284</v>
      </c>
      <c r="G582">
        <v>49</v>
      </c>
      <c r="H582">
        <v>5</v>
      </c>
      <c r="I582">
        <v>20</v>
      </c>
      <c r="J582">
        <v>11</v>
      </c>
      <c r="K582">
        <v>2.4</v>
      </c>
      <c r="L582" s="3">
        <v>3.9</v>
      </c>
      <c r="M582" t="s">
        <v>1036</v>
      </c>
      <c r="N582">
        <v>38.93</v>
      </c>
    </row>
    <row r="583" spans="1:14" x14ac:dyDescent="0.3">
      <c r="A583" t="s">
        <v>595</v>
      </c>
      <c r="B583" t="s">
        <v>1014</v>
      </c>
      <c r="C583" t="s">
        <v>1031</v>
      </c>
      <c r="D583">
        <v>38</v>
      </c>
      <c r="E583">
        <v>0</v>
      </c>
      <c r="F583" s="3">
        <v>55057</v>
      </c>
      <c r="G583">
        <v>50</v>
      </c>
      <c r="H583">
        <v>14</v>
      </c>
      <c r="I583">
        <v>15</v>
      </c>
      <c r="J583">
        <v>34</v>
      </c>
      <c r="K583">
        <v>4.4000000000000004</v>
      </c>
      <c r="L583" s="3">
        <v>7.3</v>
      </c>
      <c r="M583" t="s">
        <v>1035</v>
      </c>
      <c r="N583">
        <v>80.33</v>
      </c>
    </row>
    <row r="584" spans="1:14" x14ac:dyDescent="0.3">
      <c r="A584" t="s">
        <v>596</v>
      </c>
      <c r="B584" t="s">
        <v>1018</v>
      </c>
      <c r="C584" t="s">
        <v>1028</v>
      </c>
      <c r="D584">
        <v>35</v>
      </c>
      <c r="E584">
        <v>9</v>
      </c>
      <c r="F584" s="3">
        <v>68219</v>
      </c>
      <c r="G584">
        <v>50</v>
      </c>
      <c r="H584">
        <v>8</v>
      </c>
      <c r="I584">
        <v>13</v>
      </c>
      <c r="J584">
        <v>28</v>
      </c>
      <c r="K584">
        <v>2.2000000000000002</v>
      </c>
      <c r="L584" s="3">
        <v>7.2</v>
      </c>
      <c r="M584" t="s">
        <v>1035</v>
      </c>
      <c r="N584">
        <v>63.13</v>
      </c>
    </row>
    <row r="585" spans="1:14" x14ac:dyDescent="0.3">
      <c r="A585" t="s">
        <v>597</v>
      </c>
      <c r="B585" t="s">
        <v>1015</v>
      </c>
      <c r="C585" t="s">
        <v>1020</v>
      </c>
      <c r="D585">
        <v>39</v>
      </c>
      <c r="E585">
        <v>6</v>
      </c>
      <c r="F585" s="3">
        <v>28205</v>
      </c>
      <c r="G585">
        <v>40</v>
      </c>
      <c r="H585">
        <v>3</v>
      </c>
      <c r="I585">
        <v>1</v>
      </c>
      <c r="J585">
        <v>22</v>
      </c>
      <c r="K585">
        <v>2.1</v>
      </c>
      <c r="L585" s="3">
        <v>9</v>
      </c>
      <c r="M585" t="s">
        <v>1034</v>
      </c>
      <c r="N585">
        <v>65.3</v>
      </c>
    </row>
    <row r="586" spans="1:14" x14ac:dyDescent="0.3">
      <c r="A586" t="s">
        <v>598</v>
      </c>
      <c r="B586" t="s">
        <v>1015</v>
      </c>
      <c r="C586" t="s">
        <v>1021</v>
      </c>
      <c r="D586">
        <v>41</v>
      </c>
      <c r="E586">
        <v>10</v>
      </c>
      <c r="F586" s="3">
        <v>85318</v>
      </c>
      <c r="G586">
        <v>37</v>
      </c>
      <c r="H586">
        <v>1</v>
      </c>
      <c r="I586">
        <v>3</v>
      </c>
      <c r="J586">
        <v>26</v>
      </c>
      <c r="K586">
        <v>5</v>
      </c>
      <c r="L586" s="3">
        <v>4.0999999999999996</v>
      </c>
      <c r="M586" t="s">
        <v>1036</v>
      </c>
      <c r="N586">
        <v>41.27</v>
      </c>
    </row>
    <row r="587" spans="1:14" x14ac:dyDescent="0.3">
      <c r="A587" t="s">
        <v>599</v>
      </c>
      <c r="B587" t="s">
        <v>1015</v>
      </c>
      <c r="C587" t="s">
        <v>1021</v>
      </c>
      <c r="D587">
        <v>33</v>
      </c>
      <c r="E587">
        <v>7</v>
      </c>
      <c r="F587" s="3">
        <v>74108</v>
      </c>
      <c r="G587">
        <v>53</v>
      </c>
      <c r="H587">
        <v>6</v>
      </c>
      <c r="I587">
        <v>1</v>
      </c>
      <c r="J587">
        <v>5</v>
      </c>
      <c r="K587">
        <v>4.3</v>
      </c>
      <c r="L587" s="3">
        <v>5.3</v>
      </c>
      <c r="M587" t="s">
        <v>1036</v>
      </c>
      <c r="N587">
        <v>54.7</v>
      </c>
    </row>
    <row r="588" spans="1:14" x14ac:dyDescent="0.3">
      <c r="A588" t="s">
        <v>600</v>
      </c>
      <c r="B588" t="s">
        <v>1014</v>
      </c>
      <c r="C588" t="s">
        <v>1019</v>
      </c>
      <c r="D588">
        <v>49</v>
      </c>
      <c r="E588">
        <v>2</v>
      </c>
      <c r="F588" s="3">
        <v>44191</v>
      </c>
      <c r="G588">
        <v>50</v>
      </c>
      <c r="H588">
        <v>3</v>
      </c>
      <c r="I588">
        <v>3</v>
      </c>
      <c r="J588">
        <v>17</v>
      </c>
      <c r="K588">
        <v>3</v>
      </c>
      <c r="L588" s="3">
        <v>5.9</v>
      </c>
      <c r="M588" t="s">
        <v>1036</v>
      </c>
      <c r="N588">
        <v>49.4</v>
      </c>
    </row>
    <row r="589" spans="1:14" x14ac:dyDescent="0.3">
      <c r="A589" t="s">
        <v>601</v>
      </c>
      <c r="B589" t="s">
        <v>1018</v>
      </c>
      <c r="C589" t="s">
        <v>1027</v>
      </c>
      <c r="D589">
        <v>25</v>
      </c>
      <c r="E589">
        <v>0</v>
      </c>
      <c r="F589" s="3">
        <v>62445</v>
      </c>
      <c r="G589">
        <v>55</v>
      </c>
      <c r="H589">
        <v>9</v>
      </c>
      <c r="I589">
        <v>2</v>
      </c>
      <c r="J589">
        <v>30</v>
      </c>
      <c r="K589">
        <v>4.2</v>
      </c>
      <c r="L589" s="3">
        <v>7.2</v>
      </c>
      <c r="M589" t="s">
        <v>1035</v>
      </c>
      <c r="N589">
        <v>70.8</v>
      </c>
    </row>
    <row r="590" spans="1:14" x14ac:dyDescent="0.3">
      <c r="A590" t="s">
        <v>602</v>
      </c>
      <c r="B590" t="s">
        <v>1016</v>
      </c>
      <c r="C590" t="s">
        <v>1033</v>
      </c>
      <c r="D590">
        <v>49</v>
      </c>
      <c r="E590">
        <v>10</v>
      </c>
      <c r="F590" s="3">
        <v>42017</v>
      </c>
      <c r="G590">
        <v>51</v>
      </c>
      <c r="H590">
        <v>10</v>
      </c>
      <c r="I590">
        <v>19</v>
      </c>
      <c r="J590">
        <v>22</v>
      </c>
      <c r="K590">
        <v>4.8</v>
      </c>
      <c r="L590" s="3">
        <v>7.3</v>
      </c>
      <c r="M590" t="s">
        <v>1035</v>
      </c>
      <c r="N590">
        <v>74.87</v>
      </c>
    </row>
    <row r="591" spans="1:14" x14ac:dyDescent="0.3">
      <c r="A591" t="s">
        <v>603</v>
      </c>
      <c r="B591" t="s">
        <v>1015</v>
      </c>
      <c r="C591" t="s">
        <v>1029</v>
      </c>
      <c r="D591">
        <v>53</v>
      </c>
      <c r="E591">
        <v>15</v>
      </c>
      <c r="F591" s="3">
        <v>77951</v>
      </c>
      <c r="G591">
        <v>40</v>
      </c>
      <c r="H591">
        <v>15</v>
      </c>
      <c r="I591">
        <v>19</v>
      </c>
      <c r="J591">
        <v>14</v>
      </c>
      <c r="K591">
        <v>4.0999999999999996</v>
      </c>
      <c r="L591" s="3">
        <v>9.9</v>
      </c>
      <c r="M591" t="s">
        <v>1034</v>
      </c>
      <c r="N591">
        <v>96.7</v>
      </c>
    </row>
    <row r="592" spans="1:14" x14ac:dyDescent="0.3">
      <c r="A592" t="s">
        <v>604</v>
      </c>
      <c r="B592" t="s">
        <v>1014</v>
      </c>
      <c r="C592" t="s">
        <v>1031</v>
      </c>
      <c r="D592">
        <v>23</v>
      </c>
      <c r="E592">
        <v>1</v>
      </c>
      <c r="F592" s="3">
        <v>65990</v>
      </c>
      <c r="G592">
        <v>38</v>
      </c>
      <c r="H592">
        <v>12</v>
      </c>
      <c r="I592">
        <v>6</v>
      </c>
      <c r="J592">
        <v>39</v>
      </c>
      <c r="K592">
        <v>5</v>
      </c>
      <c r="L592" s="3">
        <v>5.9</v>
      </c>
      <c r="M592" t="s">
        <v>1036</v>
      </c>
      <c r="N592">
        <v>70.400000000000006</v>
      </c>
    </row>
    <row r="593" spans="1:14" x14ac:dyDescent="0.3">
      <c r="A593" t="s">
        <v>605</v>
      </c>
      <c r="B593" t="s">
        <v>1016</v>
      </c>
      <c r="C593" t="s">
        <v>1022</v>
      </c>
      <c r="D593">
        <v>35</v>
      </c>
      <c r="E593">
        <v>0</v>
      </c>
      <c r="F593" s="3">
        <v>66983</v>
      </c>
      <c r="G593">
        <v>41</v>
      </c>
      <c r="H593">
        <v>12</v>
      </c>
      <c r="I593">
        <v>9</v>
      </c>
      <c r="J593">
        <v>16</v>
      </c>
      <c r="K593">
        <v>4.4000000000000004</v>
      </c>
      <c r="L593" s="3">
        <v>5.2</v>
      </c>
      <c r="M593" t="s">
        <v>1036</v>
      </c>
      <c r="N593">
        <v>64.400000000000006</v>
      </c>
    </row>
    <row r="594" spans="1:14" x14ac:dyDescent="0.3">
      <c r="A594" t="s">
        <v>606</v>
      </c>
      <c r="B594" t="s">
        <v>1015</v>
      </c>
      <c r="C594" t="s">
        <v>1029</v>
      </c>
      <c r="D594">
        <v>42</v>
      </c>
      <c r="E594">
        <v>0</v>
      </c>
      <c r="F594" s="3">
        <v>32460</v>
      </c>
      <c r="G594">
        <v>45</v>
      </c>
      <c r="H594">
        <v>6</v>
      </c>
      <c r="I594">
        <v>12</v>
      </c>
      <c r="J594">
        <v>36</v>
      </c>
      <c r="K594">
        <v>3.8</v>
      </c>
      <c r="L594" s="3">
        <v>3.2</v>
      </c>
      <c r="M594" t="s">
        <v>1036</v>
      </c>
      <c r="N594">
        <v>40.6</v>
      </c>
    </row>
    <row r="595" spans="1:14" x14ac:dyDescent="0.3">
      <c r="A595" t="s">
        <v>607</v>
      </c>
      <c r="B595" t="s">
        <v>1018</v>
      </c>
      <c r="C595" t="s">
        <v>1027</v>
      </c>
      <c r="D595">
        <v>43</v>
      </c>
      <c r="E595">
        <v>10</v>
      </c>
      <c r="F595" s="3">
        <v>85442</v>
      </c>
      <c r="G595">
        <v>50</v>
      </c>
      <c r="H595">
        <v>15</v>
      </c>
      <c r="I595">
        <v>15</v>
      </c>
      <c r="J595">
        <v>2</v>
      </c>
      <c r="K595">
        <v>3.9</v>
      </c>
      <c r="L595" s="3">
        <v>6.4</v>
      </c>
      <c r="M595" t="s">
        <v>1035</v>
      </c>
      <c r="N595">
        <v>75.099999999999994</v>
      </c>
    </row>
    <row r="596" spans="1:14" x14ac:dyDescent="0.3">
      <c r="A596" t="s">
        <v>608</v>
      </c>
      <c r="B596" t="s">
        <v>1017</v>
      </c>
      <c r="C596" t="s">
        <v>1024</v>
      </c>
      <c r="D596">
        <v>43</v>
      </c>
      <c r="E596">
        <v>14</v>
      </c>
      <c r="F596" s="3">
        <v>76379</v>
      </c>
      <c r="G596">
        <v>48</v>
      </c>
      <c r="H596">
        <v>15</v>
      </c>
      <c r="I596">
        <v>23</v>
      </c>
      <c r="J596">
        <v>3</v>
      </c>
      <c r="K596">
        <v>4.5</v>
      </c>
      <c r="L596" s="3">
        <v>5.0999999999999996</v>
      </c>
      <c r="M596" t="s">
        <v>1036</v>
      </c>
      <c r="N596">
        <v>69.099999999999994</v>
      </c>
    </row>
    <row r="597" spans="1:14" x14ac:dyDescent="0.3">
      <c r="A597" t="s">
        <v>609</v>
      </c>
      <c r="B597" t="s">
        <v>1016</v>
      </c>
      <c r="C597" t="s">
        <v>1023</v>
      </c>
      <c r="D597">
        <v>23</v>
      </c>
      <c r="E597">
        <v>0</v>
      </c>
      <c r="F597" s="3">
        <v>62840</v>
      </c>
      <c r="G597">
        <v>45</v>
      </c>
      <c r="H597">
        <v>13</v>
      </c>
      <c r="I597">
        <v>25</v>
      </c>
      <c r="J597">
        <v>22</v>
      </c>
      <c r="K597">
        <v>2.2000000000000002</v>
      </c>
      <c r="L597" s="3">
        <v>4</v>
      </c>
      <c r="M597" t="s">
        <v>1036</v>
      </c>
      <c r="N597">
        <v>52.27</v>
      </c>
    </row>
    <row r="598" spans="1:14" x14ac:dyDescent="0.3">
      <c r="A598" t="s">
        <v>610</v>
      </c>
      <c r="B598" t="s">
        <v>1016</v>
      </c>
      <c r="C598" t="s">
        <v>1033</v>
      </c>
      <c r="D598">
        <v>46</v>
      </c>
      <c r="E598">
        <v>5</v>
      </c>
      <c r="F598" s="3">
        <v>62419</v>
      </c>
      <c r="G598">
        <v>54</v>
      </c>
      <c r="H598">
        <v>7</v>
      </c>
      <c r="I598">
        <v>5</v>
      </c>
      <c r="J598">
        <v>38</v>
      </c>
      <c r="K598">
        <v>2.4</v>
      </c>
      <c r="L598" s="3">
        <v>8.5</v>
      </c>
      <c r="M598" t="s">
        <v>1034</v>
      </c>
      <c r="N598">
        <v>69.87</v>
      </c>
    </row>
    <row r="599" spans="1:14" x14ac:dyDescent="0.3">
      <c r="A599" t="s">
        <v>611</v>
      </c>
      <c r="B599" t="s">
        <v>1016</v>
      </c>
      <c r="C599" t="s">
        <v>1023</v>
      </c>
      <c r="D599">
        <v>24</v>
      </c>
      <c r="E599">
        <v>2</v>
      </c>
      <c r="F599" s="3">
        <v>52123</v>
      </c>
      <c r="G599">
        <v>37</v>
      </c>
      <c r="H599">
        <v>8</v>
      </c>
      <c r="I599">
        <v>7</v>
      </c>
      <c r="J599">
        <v>23</v>
      </c>
      <c r="K599">
        <v>3.4</v>
      </c>
      <c r="L599" s="3">
        <v>9.6999999999999993</v>
      </c>
      <c r="M599" t="s">
        <v>1034</v>
      </c>
      <c r="N599">
        <v>81.73</v>
      </c>
    </row>
    <row r="600" spans="1:14" x14ac:dyDescent="0.3">
      <c r="A600" t="s">
        <v>612</v>
      </c>
      <c r="B600" t="s">
        <v>1015</v>
      </c>
      <c r="C600" t="s">
        <v>1029</v>
      </c>
      <c r="D600">
        <v>41</v>
      </c>
      <c r="E600">
        <v>5</v>
      </c>
      <c r="F600" s="3">
        <v>32355</v>
      </c>
      <c r="G600">
        <v>46</v>
      </c>
      <c r="H600">
        <v>13</v>
      </c>
      <c r="I600">
        <v>1</v>
      </c>
      <c r="J600">
        <v>12</v>
      </c>
      <c r="K600">
        <v>4.7</v>
      </c>
      <c r="L600" s="3">
        <v>6.1</v>
      </c>
      <c r="M600" t="s">
        <v>1035</v>
      </c>
      <c r="N600">
        <v>72.37</v>
      </c>
    </row>
    <row r="601" spans="1:14" x14ac:dyDescent="0.3">
      <c r="A601" t="s">
        <v>613</v>
      </c>
      <c r="B601" t="s">
        <v>1017</v>
      </c>
      <c r="C601" t="s">
        <v>1030</v>
      </c>
      <c r="D601">
        <v>54</v>
      </c>
      <c r="E601">
        <v>4</v>
      </c>
      <c r="F601" s="3">
        <v>37465</v>
      </c>
      <c r="G601">
        <v>45</v>
      </c>
      <c r="H601">
        <v>15</v>
      </c>
      <c r="I601">
        <v>15</v>
      </c>
      <c r="J601">
        <v>33</v>
      </c>
      <c r="K601">
        <v>2.9</v>
      </c>
      <c r="L601" s="3">
        <v>5.3</v>
      </c>
      <c r="M601" t="s">
        <v>1036</v>
      </c>
      <c r="N601">
        <v>65.5</v>
      </c>
    </row>
    <row r="602" spans="1:14" x14ac:dyDescent="0.3">
      <c r="A602" t="s">
        <v>614</v>
      </c>
      <c r="B602" t="s">
        <v>1015</v>
      </c>
      <c r="C602" t="s">
        <v>1029</v>
      </c>
      <c r="D602">
        <v>30</v>
      </c>
      <c r="E602">
        <v>3</v>
      </c>
      <c r="F602" s="3">
        <v>72485</v>
      </c>
      <c r="G602">
        <v>36</v>
      </c>
      <c r="H602">
        <v>8</v>
      </c>
      <c r="I602">
        <v>12</v>
      </c>
      <c r="J602">
        <v>33</v>
      </c>
      <c r="K602">
        <v>2.2999999999999998</v>
      </c>
      <c r="L602" s="3">
        <v>5.2</v>
      </c>
      <c r="M602" t="s">
        <v>1036</v>
      </c>
      <c r="N602">
        <v>51.43</v>
      </c>
    </row>
    <row r="603" spans="1:14" x14ac:dyDescent="0.3">
      <c r="A603" t="s">
        <v>615</v>
      </c>
      <c r="B603" t="s">
        <v>1015</v>
      </c>
      <c r="C603" t="s">
        <v>1020</v>
      </c>
      <c r="D603">
        <v>27</v>
      </c>
      <c r="E603">
        <v>2</v>
      </c>
      <c r="F603" s="3">
        <v>55597</v>
      </c>
      <c r="G603">
        <v>36</v>
      </c>
      <c r="H603">
        <v>2</v>
      </c>
      <c r="I603">
        <v>16</v>
      </c>
      <c r="J603">
        <v>19</v>
      </c>
      <c r="K603">
        <v>2.1</v>
      </c>
      <c r="L603" s="3">
        <v>8.3000000000000007</v>
      </c>
      <c r="M603" t="s">
        <v>1034</v>
      </c>
      <c r="N603">
        <v>59.43</v>
      </c>
    </row>
    <row r="604" spans="1:14" x14ac:dyDescent="0.3">
      <c r="A604" t="s">
        <v>616</v>
      </c>
      <c r="B604" t="s">
        <v>1018</v>
      </c>
      <c r="C604" t="s">
        <v>1032</v>
      </c>
      <c r="D604">
        <v>42</v>
      </c>
      <c r="E604">
        <v>6</v>
      </c>
      <c r="F604" s="3">
        <v>37618</v>
      </c>
      <c r="G604">
        <v>44</v>
      </c>
      <c r="H604">
        <v>5</v>
      </c>
      <c r="I604">
        <v>17</v>
      </c>
      <c r="J604">
        <v>20</v>
      </c>
      <c r="K604">
        <v>4.3</v>
      </c>
      <c r="L604" s="3">
        <v>7.7</v>
      </c>
      <c r="M604" t="s">
        <v>1035</v>
      </c>
      <c r="N604">
        <v>67.430000000000007</v>
      </c>
    </row>
    <row r="605" spans="1:14" x14ac:dyDescent="0.3">
      <c r="A605" t="s">
        <v>617</v>
      </c>
      <c r="B605" t="s">
        <v>1018</v>
      </c>
      <c r="C605" t="s">
        <v>1027</v>
      </c>
      <c r="D605">
        <v>32</v>
      </c>
      <c r="E605">
        <v>4</v>
      </c>
      <c r="F605" s="3">
        <v>32501</v>
      </c>
      <c r="G605">
        <v>35</v>
      </c>
      <c r="H605">
        <v>10</v>
      </c>
      <c r="I605">
        <v>17</v>
      </c>
      <c r="J605">
        <v>32</v>
      </c>
      <c r="K605">
        <v>2.2999999999999998</v>
      </c>
      <c r="L605" s="3">
        <v>6.8</v>
      </c>
      <c r="M605" t="s">
        <v>1035</v>
      </c>
      <c r="N605">
        <v>64.37</v>
      </c>
    </row>
    <row r="606" spans="1:14" x14ac:dyDescent="0.3">
      <c r="A606" t="s">
        <v>618</v>
      </c>
      <c r="B606" t="s">
        <v>1016</v>
      </c>
      <c r="C606" t="s">
        <v>1033</v>
      </c>
      <c r="D606">
        <v>39</v>
      </c>
      <c r="E606">
        <v>4</v>
      </c>
      <c r="F606" s="3">
        <v>86818</v>
      </c>
      <c r="G606">
        <v>44</v>
      </c>
      <c r="H606">
        <v>10</v>
      </c>
      <c r="I606">
        <v>7</v>
      </c>
      <c r="J606">
        <v>10</v>
      </c>
      <c r="K606">
        <v>2.2000000000000002</v>
      </c>
      <c r="L606" s="3">
        <v>7.3</v>
      </c>
      <c r="M606" t="s">
        <v>1035</v>
      </c>
      <c r="N606">
        <v>67.069999999999993</v>
      </c>
    </row>
    <row r="607" spans="1:14" x14ac:dyDescent="0.3">
      <c r="A607" t="s">
        <v>619</v>
      </c>
      <c r="B607" t="s">
        <v>1015</v>
      </c>
      <c r="C607" t="s">
        <v>1021</v>
      </c>
      <c r="D607">
        <v>50</v>
      </c>
      <c r="E607">
        <v>1</v>
      </c>
      <c r="F607" s="3">
        <v>33524</v>
      </c>
      <c r="G607">
        <v>35</v>
      </c>
      <c r="H607">
        <v>8</v>
      </c>
      <c r="I607">
        <v>21</v>
      </c>
      <c r="J607">
        <v>3</v>
      </c>
      <c r="K607">
        <v>2.2999999999999998</v>
      </c>
      <c r="L607" s="3">
        <v>3.4</v>
      </c>
      <c r="M607" t="s">
        <v>1036</v>
      </c>
      <c r="N607">
        <v>40.630000000000003</v>
      </c>
    </row>
    <row r="608" spans="1:14" x14ac:dyDescent="0.3">
      <c r="A608" t="s">
        <v>620</v>
      </c>
      <c r="B608" t="s">
        <v>1017</v>
      </c>
      <c r="C608" t="s">
        <v>1030</v>
      </c>
      <c r="D608">
        <v>33</v>
      </c>
      <c r="E608">
        <v>11</v>
      </c>
      <c r="F608" s="3">
        <v>64067</v>
      </c>
      <c r="G608">
        <v>53</v>
      </c>
      <c r="H608">
        <v>11</v>
      </c>
      <c r="I608">
        <v>22</v>
      </c>
      <c r="J608">
        <v>28</v>
      </c>
      <c r="K608">
        <v>3.8</v>
      </c>
      <c r="L608" s="3">
        <v>5.2</v>
      </c>
      <c r="M608" t="s">
        <v>1036</v>
      </c>
      <c r="N608">
        <v>60.93</v>
      </c>
    </row>
    <row r="609" spans="1:14" x14ac:dyDescent="0.3">
      <c r="A609" t="s">
        <v>621</v>
      </c>
      <c r="B609" t="s">
        <v>1015</v>
      </c>
      <c r="C609" t="s">
        <v>1021</v>
      </c>
      <c r="D609">
        <v>27</v>
      </c>
      <c r="E609">
        <v>6</v>
      </c>
      <c r="F609" s="3">
        <v>75097</v>
      </c>
      <c r="G609">
        <v>49</v>
      </c>
      <c r="H609">
        <v>10</v>
      </c>
      <c r="I609">
        <v>4</v>
      </c>
      <c r="J609">
        <v>5</v>
      </c>
      <c r="K609">
        <v>4.4000000000000004</v>
      </c>
      <c r="L609" s="3">
        <v>9.4</v>
      </c>
      <c r="M609" t="s">
        <v>1034</v>
      </c>
      <c r="N609">
        <v>86.27</v>
      </c>
    </row>
    <row r="610" spans="1:14" x14ac:dyDescent="0.3">
      <c r="A610" t="s">
        <v>622</v>
      </c>
      <c r="B610" t="s">
        <v>1014</v>
      </c>
      <c r="C610" t="s">
        <v>1019</v>
      </c>
      <c r="D610">
        <v>51</v>
      </c>
      <c r="E610">
        <v>9</v>
      </c>
      <c r="F610" s="3">
        <v>69857</v>
      </c>
      <c r="G610">
        <v>55</v>
      </c>
      <c r="H610">
        <v>12</v>
      </c>
      <c r="I610">
        <v>24</v>
      </c>
      <c r="J610">
        <v>29</v>
      </c>
      <c r="K610">
        <v>3.4</v>
      </c>
      <c r="L610" s="3">
        <v>9.6</v>
      </c>
      <c r="M610" t="s">
        <v>1034</v>
      </c>
      <c r="N610">
        <v>87.8</v>
      </c>
    </row>
    <row r="611" spans="1:14" x14ac:dyDescent="0.3">
      <c r="A611" t="s">
        <v>623</v>
      </c>
      <c r="B611" t="s">
        <v>1015</v>
      </c>
      <c r="C611" t="s">
        <v>1021</v>
      </c>
      <c r="D611">
        <v>38</v>
      </c>
      <c r="E611">
        <v>11</v>
      </c>
      <c r="F611" s="3">
        <v>50695</v>
      </c>
      <c r="G611">
        <v>40</v>
      </c>
      <c r="H611">
        <v>12</v>
      </c>
      <c r="I611">
        <v>21</v>
      </c>
      <c r="J611">
        <v>21</v>
      </c>
      <c r="K611">
        <v>4.4000000000000004</v>
      </c>
      <c r="L611" s="3">
        <v>9.1999999999999993</v>
      </c>
      <c r="M611" t="s">
        <v>1034</v>
      </c>
      <c r="N611">
        <v>88.4</v>
      </c>
    </row>
    <row r="612" spans="1:14" x14ac:dyDescent="0.3">
      <c r="A612" t="s">
        <v>624</v>
      </c>
      <c r="B612" t="s">
        <v>1017</v>
      </c>
      <c r="C612" t="s">
        <v>1026</v>
      </c>
      <c r="D612">
        <v>23</v>
      </c>
      <c r="E612">
        <v>0</v>
      </c>
      <c r="F612" s="3">
        <v>56151</v>
      </c>
      <c r="G612">
        <v>38</v>
      </c>
      <c r="H612">
        <v>6</v>
      </c>
      <c r="I612">
        <v>15</v>
      </c>
      <c r="J612">
        <v>29</v>
      </c>
      <c r="K612">
        <v>4.5</v>
      </c>
      <c r="L612" s="3">
        <v>5</v>
      </c>
      <c r="M612" t="s">
        <v>1036</v>
      </c>
      <c r="N612">
        <v>53.5</v>
      </c>
    </row>
    <row r="613" spans="1:14" x14ac:dyDescent="0.3">
      <c r="A613" t="s">
        <v>625</v>
      </c>
      <c r="B613" t="s">
        <v>1015</v>
      </c>
      <c r="C613" t="s">
        <v>1021</v>
      </c>
      <c r="D613">
        <v>30</v>
      </c>
      <c r="E613">
        <v>8</v>
      </c>
      <c r="F613" s="3">
        <v>31745</v>
      </c>
      <c r="G613">
        <v>47</v>
      </c>
      <c r="H613">
        <v>14</v>
      </c>
      <c r="I613">
        <v>22</v>
      </c>
      <c r="J613">
        <v>6</v>
      </c>
      <c r="K613">
        <v>3</v>
      </c>
      <c r="L613" s="3">
        <v>7.5</v>
      </c>
      <c r="M613" t="s">
        <v>1035</v>
      </c>
      <c r="N613">
        <v>77.33</v>
      </c>
    </row>
    <row r="614" spans="1:14" x14ac:dyDescent="0.3">
      <c r="A614" t="s">
        <v>626</v>
      </c>
      <c r="B614" t="s">
        <v>1015</v>
      </c>
      <c r="C614" t="s">
        <v>1021</v>
      </c>
      <c r="D614">
        <v>51</v>
      </c>
      <c r="E614">
        <v>12</v>
      </c>
      <c r="F614" s="3">
        <v>63701</v>
      </c>
      <c r="G614">
        <v>48</v>
      </c>
      <c r="H614">
        <v>4</v>
      </c>
      <c r="I614">
        <v>19</v>
      </c>
      <c r="J614">
        <v>15</v>
      </c>
      <c r="K614">
        <v>3.6</v>
      </c>
      <c r="L614" s="3">
        <v>9.8000000000000007</v>
      </c>
      <c r="M614" t="s">
        <v>1034</v>
      </c>
      <c r="N614">
        <v>76.27</v>
      </c>
    </row>
    <row r="615" spans="1:14" x14ac:dyDescent="0.3">
      <c r="A615" t="s">
        <v>627</v>
      </c>
      <c r="B615" t="s">
        <v>1014</v>
      </c>
      <c r="C615" t="s">
        <v>1025</v>
      </c>
      <c r="D615">
        <v>43</v>
      </c>
      <c r="E615">
        <v>6</v>
      </c>
      <c r="F615" s="3">
        <v>78340</v>
      </c>
      <c r="G615">
        <v>53</v>
      </c>
      <c r="H615">
        <v>7</v>
      </c>
      <c r="I615">
        <v>25</v>
      </c>
      <c r="J615">
        <v>27</v>
      </c>
      <c r="K615">
        <v>3.7</v>
      </c>
      <c r="L615" s="3">
        <v>5.4</v>
      </c>
      <c r="M615" t="s">
        <v>1036</v>
      </c>
      <c r="N615">
        <v>55.17</v>
      </c>
    </row>
    <row r="616" spans="1:14" x14ac:dyDescent="0.3">
      <c r="A616" t="s">
        <v>628</v>
      </c>
      <c r="B616" t="s">
        <v>1018</v>
      </c>
      <c r="C616" t="s">
        <v>1027</v>
      </c>
      <c r="D616">
        <v>33</v>
      </c>
      <c r="E616">
        <v>10</v>
      </c>
      <c r="F616" s="3">
        <v>68883</v>
      </c>
      <c r="G616">
        <v>37</v>
      </c>
      <c r="H616">
        <v>12</v>
      </c>
      <c r="I616">
        <v>22</v>
      </c>
      <c r="J616">
        <v>36</v>
      </c>
      <c r="K616">
        <v>4.5</v>
      </c>
      <c r="L616" s="3">
        <v>3.8</v>
      </c>
      <c r="M616" t="s">
        <v>1036</v>
      </c>
      <c r="N616">
        <v>56.3</v>
      </c>
    </row>
    <row r="617" spans="1:14" x14ac:dyDescent="0.3">
      <c r="A617" t="s">
        <v>629</v>
      </c>
      <c r="B617" t="s">
        <v>1017</v>
      </c>
      <c r="C617" t="s">
        <v>1024</v>
      </c>
      <c r="D617">
        <v>42</v>
      </c>
      <c r="E617">
        <v>3</v>
      </c>
      <c r="F617" s="3">
        <v>78872</v>
      </c>
      <c r="G617">
        <v>49</v>
      </c>
      <c r="H617">
        <v>3</v>
      </c>
      <c r="I617">
        <v>9</v>
      </c>
      <c r="J617">
        <v>25</v>
      </c>
      <c r="K617">
        <v>2.2000000000000002</v>
      </c>
      <c r="L617" s="3">
        <v>3.8</v>
      </c>
      <c r="M617" t="s">
        <v>1036</v>
      </c>
      <c r="N617">
        <v>34.4</v>
      </c>
    </row>
    <row r="618" spans="1:14" x14ac:dyDescent="0.3">
      <c r="A618" t="s">
        <v>630</v>
      </c>
      <c r="B618" t="s">
        <v>1017</v>
      </c>
      <c r="C618" t="s">
        <v>1024</v>
      </c>
      <c r="D618">
        <v>42</v>
      </c>
      <c r="E618">
        <v>15</v>
      </c>
      <c r="F618" s="3">
        <v>67270</v>
      </c>
      <c r="G618">
        <v>36</v>
      </c>
      <c r="H618">
        <v>2</v>
      </c>
      <c r="I618">
        <v>6</v>
      </c>
      <c r="J618">
        <v>8</v>
      </c>
      <c r="K618">
        <v>4.7</v>
      </c>
      <c r="L618" s="3">
        <v>9.3000000000000007</v>
      </c>
      <c r="M618" t="s">
        <v>1034</v>
      </c>
      <c r="N618">
        <v>73.23</v>
      </c>
    </row>
    <row r="619" spans="1:14" x14ac:dyDescent="0.3">
      <c r="A619" t="s">
        <v>631</v>
      </c>
      <c r="B619" t="s">
        <v>1014</v>
      </c>
      <c r="C619" t="s">
        <v>1019</v>
      </c>
      <c r="D619">
        <v>31</v>
      </c>
      <c r="E619">
        <v>10</v>
      </c>
      <c r="F619" s="3">
        <v>34779</v>
      </c>
      <c r="G619">
        <v>49</v>
      </c>
      <c r="H619">
        <v>9</v>
      </c>
      <c r="I619">
        <v>9</v>
      </c>
      <c r="J619">
        <v>24</v>
      </c>
      <c r="K619">
        <v>3.8</v>
      </c>
      <c r="L619" s="3">
        <v>6.1</v>
      </c>
      <c r="M619" t="s">
        <v>1035</v>
      </c>
      <c r="N619">
        <v>63</v>
      </c>
    </row>
    <row r="620" spans="1:14" x14ac:dyDescent="0.3">
      <c r="A620" t="s">
        <v>632</v>
      </c>
      <c r="B620" t="s">
        <v>1016</v>
      </c>
      <c r="C620" t="s">
        <v>1022</v>
      </c>
      <c r="D620">
        <v>41</v>
      </c>
      <c r="E620">
        <v>9</v>
      </c>
      <c r="F620" s="3">
        <v>85194</v>
      </c>
      <c r="G620">
        <v>48</v>
      </c>
      <c r="H620">
        <v>12</v>
      </c>
      <c r="I620">
        <v>11</v>
      </c>
      <c r="J620">
        <v>5</v>
      </c>
      <c r="K620">
        <v>3.7</v>
      </c>
      <c r="L620" s="3">
        <v>7.3</v>
      </c>
      <c r="M620" t="s">
        <v>1035</v>
      </c>
      <c r="N620">
        <v>74.900000000000006</v>
      </c>
    </row>
    <row r="621" spans="1:14" x14ac:dyDescent="0.3">
      <c r="A621" t="s">
        <v>633</v>
      </c>
      <c r="B621" t="s">
        <v>1017</v>
      </c>
      <c r="C621" t="s">
        <v>1026</v>
      </c>
      <c r="D621">
        <v>30</v>
      </c>
      <c r="E621">
        <v>4</v>
      </c>
      <c r="F621" s="3">
        <v>29090</v>
      </c>
      <c r="G621">
        <v>46</v>
      </c>
      <c r="H621">
        <v>15</v>
      </c>
      <c r="I621">
        <v>17</v>
      </c>
      <c r="J621">
        <v>3</v>
      </c>
      <c r="K621">
        <v>2</v>
      </c>
      <c r="L621" s="3">
        <v>6.9</v>
      </c>
      <c r="M621" t="s">
        <v>1035</v>
      </c>
      <c r="N621">
        <v>72.400000000000006</v>
      </c>
    </row>
    <row r="622" spans="1:14" x14ac:dyDescent="0.3">
      <c r="A622" t="s">
        <v>634</v>
      </c>
      <c r="B622" t="s">
        <v>1014</v>
      </c>
      <c r="C622" t="s">
        <v>1031</v>
      </c>
      <c r="D622">
        <v>40</v>
      </c>
      <c r="E622">
        <v>0</v>
      </c>
      <c r="F622" s="3">
        <v>40416</v>
      </c>
      <c r="G622">
        <v>48</v>
      </c>
      <c r="H622">
        <v>12</v>
      </c>
      <c r="I622">
        <v>18</v>
      </c>
      <c r="J622">
        <v>25</v>
      </c>
      <c r="K622">
        <v>3.9</v>
      </c>
      <c r="L622" s="3">
        <v>8</v>
      </c>
      <c r="M622" t="s">
        <v>1034</v>
      </c>
      <c r="N622">
        <v>79.7</v>
      </c>
    </row>
    <row r="623" spans="1:14" x14ac:dyDescent="0.3">
      <c r="A623" t="s">
        <v>635</v>
      </c>
      <c r="B623" t="s">
        <v>1017</v>
      </c>
      <c r="C623" t="s">
        <v>1026</v>
      </c>
      <c r="D623">
        <v>49</v>
      </c>
      <c r="E623">
        <v>6</v>
      </c>
      <c r="F623" s="3">
        <v>68416</v>
      </c>
      <c r="G623">
        <v>40</v>
      </c>
      <c r="H623">
        <v>8</v>
      </c>
      <c r="I623">
        <v>4</v>
      </c>
      <c r="J623">
        <v>12</v>
      </c>
      <c r="K623">
        <v>3.7</v>
      </c>
      <c r="L623" s="3">
        <v>8.9</v>
      </c>
      <c r="M623" t="s">
        <v>1034</v>
      </c>
      <c r="N623">
        <v>77.83</v>
      </c>
    </row>
    <row r="624" spans="1:14" x14ac:dyDescent="0.3">
      <c r="A624" t="s">
        <v>636</v>
      </c>
      <c r="B624" t="s">
        <v>1017</v>
      </c>
      <c r="C624" t="s">
        <v>1026</v>
      </c>
      <c r="D624">
        <v>31</v>
      </c>
      <c r="E624">
        <v>4</v>
      </c>
      <c r="F624" s="3">
        <v>82195</v>
      </c>
      <c r="G624">
        <v>39</v>
      </c>
      <c r="H624">
        <v>3</v>
      </c>
      <c r="I624">
        <v>0</v>
      </c>
      <c r="J624">
        <v>4</v>
      </c>
      <c r="K624">
        <v>3.9</v>
      </c>
      <c r="L624" s="3">
        <v>4</v>
      </c>
      <c r="M624" t="s">
        <v>1036</v>
      </c>
      <c r="N624">
        <v>40.700000000000003</v>
      </c>
    </row>
    <row r="625" spans="1:14" x14ac:dyDescent="0.3">
      <c r="A625" t="s">
        <v>637</v>
      </c>
      <c r="B625" t="s">
        <v>1017</v>
      </c>
      <c r="C625" t="s">
        <v>1026</v>
      </c>
      <c r="D625">
        <v>30</v>
      </c>
      <c r="E625">
        <v>1</v>
      </c>
      <c r="F625" s="3">
        <v>33992</v>
      </c>
      <c r="G625">
        <v>55</v>
      </c>
      <c r="H625">
        <v>13</v>
      </c>
      <c r="I625">
        <v>13</v>
      </c>
      <c r="J625">
        <v>29</v>
      </c>
      <c r="K625">
        <v>4.7</v>
      </c>
      <c r="L625" s="3">
        <v>7.9</v>
      </c>
      <c r="M625" t="s">
        <v>1035</v>
      </c>
      <c r="N625">
        <v>83.17</v>
      </c>
    </row>
    <row r="626" spans="1:14" x14ac:dyDescent="0.3">
      <c r="A626" t="s">
        <v>638</v>
      </c>
      <c r="B626" t="s">
        <v>1015</v>
      </c>
      <c r="C626" t="s">
        <v>1020</v>
      </c>
      <c r="D626">
        <v>33</v>
      </c>
      <c r="E626">
        <v>7</v>
      </c>
      <c r="F626" s="3">
        <v>58385</v>
      </c>
      <c r="G626">
        <v>48</v>
      </c>
      <c r="H626">
        <v>9</v>
      </c>
      <c r="I626">
        <v>14</v>
      </c>
      <c r="J626">
        <v>24</v>
      </c>
      <c r="K626">
        <v>3.1</v>
      </c>
      <c r="L626" s="3">
        <v>4.3</v>
      </c>
      <c r="M626" t="s">
        <v>1036</v>
      </c>
      <c r="N626">
        <v>50.1</v>
      </c>
    </row>
    <row r="627" spans="1:14" x14ac:dyDescent="0.3">
      <c r="A627" t="s">
        <v>639</v>
      </c>
      <c r="B627" t="s">
        <v>1014</v>
      </c>
      <c r="C627" t="s">
        <v>1019</v>
      </c>
      <c r="D627">
        <v>53</v>
      </c>
      <c r="E627">
        <v>7</v>
      </c>
      <c r="F627" s="3">
        <v>71670</v>
      </c>
      <c r="G627">
        <v>51</v>
      </c>
      <c r="H627">
        <v>5</v>
      </c>
      <c r="I627">
        <v>13</v>
      </c>
      <c r="J627">
        <v>34</v>
      </c>
      <c r="K627">
        <v>3.7</v>
      </c>
      <c r="L627" s="3">
        <v>3.2</v>
      </c>
      <c r="M627" t="s">
        <v>1036</v>
      </c>
      <c r="N627">
        <v>38.630000000000003</v>
      </c>
    </row>
    <row r="628" spans="1:14" x14ac:dyDescent="0.3">
      <c r="A628" t="s">
        <v>640</v>
      </c>
      <c r="B628" t="s">
        <v>1015</v>
      </c>
      <c r="C628" t="s">
        <v>1021</v>
      </c>
      <c r="D628">
        <v>52</v>
      </c>
      <c r="E628">
        <v>11</v>
      </c>
      <c r="F628" s="3">
        <v>32416</v>
      </c>
      <c r="G628">
        <v>53</v>
      </c>
      <c r="H628">
        <v>8</v>
      </c>
      <c r="I628">
        <v>22</v>
      </c>
      <c r="J628">
        <v>5</v>
      </c>
      <c r="K628">
        <v>2.4</v>
      </c>
      <c r="L628" s="3">
        <v>8.1</v>
      </c>
      <c r="M628" t="s">
        <v>1034</v>
      </c>
      <c r="N628">
        <v>69.13</v>
      </c>
    </row>
    <row r="629" spans="1:14" x14ac:dyDescent="0.3">
      <c r="A629" t="s">
        <v>641</v>
      </c>
      <c r="B629" t="s">
        <v>1017</v>
      </c>
      <c r="C629" t="s">
        <v>1024</v>
      </c>
      <c r="D629">
        <v>55</v>
      </c>
      <c r="E629">
        <v>2</v>
      </c>
      <c r="F629" s="3">
        <v>59298</v>
      </c>
      <c r="G629">
        <v>54</v>
      </c>
      <c r="H629">
        <v>2</v>
      </c>
      <c r="I629">
        <v>7</v>
      </c>
      <c r="J629">
        <v>30</v>
      </c>
      <c r="K629">
        <v>3.9</v>
      </c>
      <c r="L629" s="3">
        <v>7.6</v>
      </c>
      <c r="M629" t="s">
        <v>1035</v>
      </c>
      <c r="N629">
        <v>60.63</v>
      </c>
    </row>
    <row r="630" spans="1:14" x14ac:dyDescent="0.3">
      <c r="A630" t="s">
        <v>642</v>
      </c>
      <c r="B630" t="s">
        <v>1014</v>
      </c>
      <c r="C630" t="s">
        <v>1031</v>
      </c>
      <c r="D630">
        <v>41</v>
      </c>
      <c r="E630">
        <v>1</v>
      </c>
      <c r="F630" s="3">
        <v>84217</v>
      </c>
      <c r="G630">
        <v>45</v>
      </c>
      <c r="H630">
        <v>9</v>
      </c>
      <c r="I630">
        <v>24</v>
      </c>
      <c r="J630">
        <v>0</v>
      </c>
      <c r="K630">
        <v>3.4</v>
      </c>
      <c r="L630" s="3">
        <v>6.6</v>
      </c>
      <c r="M630" t="s">
        <v>1035</v>
      </c>
      <c r="N630">
        <v>64.8</v>
      </c>
    </row>
    <row r="631" spans="1:14" x14ac:dyDescent="0.3">
      <c r="A631" t="s">
        <v>643</v>
      </c>
      <c r="B631" t="s">
        <v>1015</v>
      </c>
      <c r="C631" t="s">
        <v>1021</v>
      </c>
      <c r="D631">
        <v>43</v>
      </c>
      <c r="E631">
        <v>13</v>
      </c>
      <c r="F631" s="3">
        <v>48128</v>
      </c>
      <c r="G631">
        <v>44</v>
      </c>
      <c r="H631">
        <v>5</v>
      </c>
      <c r="I631">
        <v>5</v>
      </c>
      <c r="J631">
        <v>2</v>
      </c>
      <c r="K631">
        <v>4.0999999999999996</v>
      </c>
      <c r="L631" s="3">
        <v>7.2</v>
      </c>
      <c r="M631" t="s">
        <v>1035</v>
      </c>
      <c r="N631">
        <v>63.83</v>
      </c>
    </row>
    <row r="632" spans="1:14" x14ac:dyDescent="0.3">
      <c r="A632" t="s">
        <v>644</v>
      </c>
      <c r="B632" t="s">
        <v>1015</v>
      </c>
      <c r="C632" t="s">
        <v>1020</v>
      </c>
      <c r="D632">
        <v>38</v>
      </c>
      <c r="E632">
        <v>1</v>
      </c>
      <c r="F632" s="3">
        <v>66241</v>
      </c>
      <c r="G632">
        <v>50</v>
      </c>
      <c r="H632">
        <v>10</v>
      </c>
      <c r="I632">
        <v>5</v>
      </c>
      <c r="J632">
        <v>36</v>
      </c>
      <c r="K632">
        <v>2.2000000000000002</v>
      </c>
      <c r="L632" s="3">
        <v>9.9</v>
      </c>
      <c r="M632" t="s">
        <v>1034</v>
      </c>
      <c r="N632">
        <v>82.67</v>
      </c>
    </row>
    <row r="633" spans="1:14" x14ac:dyDescent="0.3">
      <c r="A633" t="s">
        <v>645</v>
      </c>
      <c r="B633" t="s">
        <v>1015</v>
      </c>
      <c r="C633" t="s">
        <v>1029</v>
      </c>
      <c r="D633">
        <v>23</v>
      </c>
      <c r="E633">
        <v>1</v>
      </c>
      <c r="F633" s="3">
        <v>56769</v>
      </c>
      <c r="G633">
        <v>37</v>
      </c>
      <c r="H633">
        <v>3</v>
      </c>
      <c r="I633">
        <v>16</v>
      </c>
      <c r="J633">
        <v>4</v>
      </c>
      <c r="K633">
        <v>4.5999999999999996</v>
      </c>
      <c r="L633" s="3">
        <v>4.9000000000000004</v>
      </c>
      <c r="M633" t="s">
        <v>1036</v>
      </c>
      <c r="N633">
        <v>48.2</v>
      </c>
    </row>
    <row r="634" spans="1:14" x14ac:dyDescent="0.3">
      <c r="A634" t="s">
        <v>646</v>
      </c>
      <c r="B634" t="s">
        <v>1015</v>
      </c>
      <c r="C634" t="s">
        <v>1020</v>
      </c>
      <c r="D634">
        <v>39</v>
      </c>
      <c r="E634">
        <v>8</v>
      </c>
      <c r="F634" s="3">
        <v>81220</v>
      </c>
      <c r="G634">
        <v>43</v>
      </c>
      <c r="H634">
        <v>1</v>
      </c>
      <c r="I634">
        <v>23</v>
      </c>
      <c r="J634">
        <v>7</v>
      </c>
      <c r="K634">
        <v>3.8</v>
      </c>
      <c r="L634" s="3">
        <v>9.4</v>
      </c>
      <c r="M634" t="s">
        <v>1034</v>
      </c>
      <c r="N634">
        <v>69.47</v>
      </c>
    </row>
    <row r="635" spans="1:14" x14ac:dyDescent="0.3">
      <c r="A635" t="s">
        <v>647</v>
      </c>
      <c r="B635" t="s">
        <v>1018</v>
      </c>
      <c r="C635" t="s">
        <v>1028</v>
      </c>
      <c r="D635">
        <v>50</v>
      </c>
      <c r="E635">
        <v>11</v>
      </c>
      <c r="F635" s="3">
        <v>77942</v>
      </c>
      <c r="G635">
        <v>40</v>
      </c>
      <c r="H635">
        <v>5</v>
      </c>
      <c r="I635">
        <v>25</v>
      </c>
      <c r="J635">
        <v>15</v>
      </c>
      <c r="K635">
        <v>3.5</v>
      </c>
      <c r="L635" s="3">
        <v>8.6</v>
      </c>
      <c r="M635" t="s">
        <v>1034</v>
      </c>
      <c r="N635">
        <v>70.430000000000007</v>
      </c>
    </row>
    <row r="636" spans="1:14" x14ac:dyDescent="0.3">
      <c r="A636" t="s">
        <v>648</v>
      </c>
      <c r="B636" t="s">
        <v>1016</v>
      </c>
      <c r="C636" t="s">
        <v>1033</v>
      </c>
      <c r="D636">
        <v>27</v>
      </c>
      <c r="E636">
        <v>1</v>
      </c>
      <c r="F636" s="3">
        <v>64029</v>
      </c>
      <c r="G636">
        <v>39</v>
      </c>
      <c r="H636">
        <v>14</v>
      </c>
      <c r="I636">
        <v>15</v>
      </c>
      <c r="J636">
        <v>26</v>
      </c>
      <c r="K636">
        <v>4.3</v>
      </c>
      <c r="L636" s="3">
        <v>4.7</v>
      </c>
      <c r="M636" t="s">
        <v>1036</v>
      </c>
      <c r="N636">
        <v>64.430000000000007</v>
      </c>
    </row>
    <row r="637" spans="1:14" x14ac:dyDescent="0.3">
      <c r="A637" t="s">
        <v>649</v>
      </c>
      <c r="B637" t="s">
        <v>1018</v>
      </c>
      <c r="C637" t="s">
        <v>1028</v>
      </c>
      <c r="D637">
        <v>35</v>
      </c>
      <c r="E637">
        <v>9</v>
      </c>
      <c r="F637" s="3">
        <v>73127</v>
      </c>
      <c r="G637">
        <v>46</v>
      </c>
      <c r="H637">
        <v>1</v>
      </c>
      <c r="I637">
        <v>20</v>
      </c>
      <c r="J637">
        <v>16</v>
      </c>
      <c r="K637">
        <v>4.3</v>
      </c>
      <c r="L637" s="3">
        <v>3.8</v>
      </c>
      <c r="M637" t="s">
        <v>1036</v>
      </c>
      <c r="N637">
        <v>37.369999999999997</v>
      </c>
    </row>
    <row r="638" spans="1:14" x14ac:dyDescent="0.3">
      <c r="A638" t="s">
        <v>650</v>
      </c>
      <c r="B638" t="s">
        <v>1017</v>
      </c>
      <c r="C638" t="s">
        <v>1026</v>
      </c>
      <c r="D638">
        <v>47</v>
      </c>
      <c r="E638">
        <v>15</v>
      </c>
      <c r="F638" s="3">
        <v>44750</v>
      </c>
      <c r="G638">
        <v>50</v>
      </c>
      <c r="H638">
        <v>12</v>
      </c>
      <c r="I638">
        <v>24</v>
      </c>
      <c r="J638">
        <v>34</v>
      </c>
      <c r="K638">
        <v>2.7</v>
      </c>
      <c r="L638" s="3">
        <v>7.8</v>
      </c>
      <c r="M638" t="s">
        <v>1035</v>
      </c>
      <c r="N638">
        <v>74.900000000000006</v>
      </c>
    </row>
    <row r="639" spans="1:14" x14ac:dyDescent="0.3">
      <c r="A639" t="s">
        <v>651</v>
      </c>
      <c r="B639" t="s">
        <v>1017</v>
      </c>
      <c r="C639" t="s">
        <v>1024</v>
      </c>
      <c r="D639">
        <v>38</v>
      </c>
      <c r="E639">
        <v>4</v>
      </c>
      <c r="F639" s="3">
        <v>59763</v>
      </c>
      <c r="G639">
        <v>48</v>
      </c>
      <c r="H639">
        <v>1</v>
      </c>
      <c r="I639">
        <v>9</v>
      </c>
      <c r="J639">
        <v>28</v>
      </c>
      <c r="K639">
        <v>3.1</v>
      </c>
      <c r="L639" s="3">
        <v>5.2</v>
      </c>
      <c r="M639" t="s">
        <v>1036</v>
      </c>
      <c r="N639">
        <v>42.17</v>
      </c>
    </row>
    <row r="640" spans="1:14" x14ac:dyDescent="0.3">
      <c r="A640" t="s">
        <v>652</v>
      </c>
      <c r="B640" t="s">
        <v>1014</v>
      </c>
      <c r="C640" t="s">
        <v>1019</v>
      </c>
      <c r="D640">
        <v>28</v>
      </c>
      <c r="E640">
        <v>5</v>
      </c>
      <c r="F640" s="3">
        <v>87664</v>
      </c>
      <c r="G640">
        <v>48</v>
      </c>
      <c r="H640">
        <v>10</v>
      </c>
      <c r="I640">
        <v>20</v>
      </c>
      <c r="J640">
        <v>17</v>
      </c>
      <c r="K640">
        <v>3</v>
      </c>
      <c r="L640" s="3">
        <v>4.9000000000000004</v>
      </c>
      <c r="M640" t="s">
        <v>1036</v>
      </c>
      <c r="N640">
        <v>55.07</v>
      </c>
    </row>
    <row r="641" spans="1:14" x14ac:dyDescent="0.3">
      <c r="A641" t="s">
        <v>653</v>
      </c>
      <c r="B641" t="s">
        <v>1016</v>
      </c>
      <c r="C641" t="s">
        <v>1022</v>
      </c>
      <c r="D641">
        <v>47</v>
      </c>
      <c r="E641">
        <v>14</v>
      </c>
      <c r="F641" s="3">
        <v>75669</v>
      </c>
      <c r="G641">
        <v>42</v>
      </c>
      <c r="H641">
        <v>12</v>
      </c>
      <c r="I641">
        <v>21</v>
      </c>
      <c r="J641">
        <v>37</v>
      </c>
      <c r="K641">
        <v>4.3</v>
      </c>
      <c r="L641" s="3">
        <v>6.6</v>
      </c>
      <c r="M641" t="s">
        <v>1035</v>
      </c>
      <c r="N641">
        <v>72.5</v>
      </c>
    </row>
    <row r="642" spans="1:14" x14ac:dyDescent="0.3">
      <c r="A642" t="s">
        <v>654</v>
      </c>
      <c r="B642" t="s">
        <v>1018</v>
      </c>
      <c r="C642" t="s">
        <v>1027</v>
      </c>
      <c r="D642">
        <v>42</v>
      </c>
      <c r="E642">
        <v>0</v>
      </c>
      <c r="F642" s="3">
        <v>69092</v>
      </c>
      <c r="G642">
        <v>35</v>
      </c>
      <c r="H642">
        <v>14</v>
      </c>
      <c r="I642">
        <v>2</v>
      </c>
      <c r="J642">
        <v>0</v>
      </c>
      <c r="K642">
        <v>3.2</v>
      </c>
      <c r="L642" s="3">
        <v>6.7</v>
      </c>
      <c r="M642" t="s">
        <v>1035</v>
      </c>
      <c r="N642">
        <v>73.13</v>
      </c>
    </row>
    <row r="643" spans="1:14" x14ac:dyDescent="0.3">
      <c r="A643" t="s">
        <v>655</v>
      </c>
      <c r="B643" t="s">
        <v>1017</v>
      </c>
      <c r="C643" t="s">
        <v>1024</v>
      </c>
      <c r="D643">
        <v>44</v>
      </c>
      <c r="E643">
        <v>7</v>
      </c>
      <c r="F643" s="3">
        <v>72530</v>
      </c>
      <c r="G643">
        <v>44</v>
      </c>
      <c r="H643">
        <v>5</v>
      </c>
      <c r="I643">
        <v>6</v>
      </c>
      <c r="J643">
        <v>2</v>
      </c>
      <c r="K643">
        <v>2.1</v>
      </c>
      <c r="L643" s="3">
        <v>3.6</v>
      </c>
      <c r="M643" t="s">
        <v>1036</v>
      </c>
      <c r="N643">
        <v>36.229999999999997</v>
      </c>
    </row>
    <row r="644" spans="1:14" x14ac:dyDescent="0.3">
      <c r="A644" t="s">
        <v>656</v>
      </c>
      <c r="B644" t="s">
        <v>1018</v>
      </c>
      <c r="C644" t="s">
        <v>1028</v>
      </c>
      <c r="D644">
        <v>29</v>
      </c>
      <c r="E644">
        <v>1</v>
      </c>
      <c r="F644" s="3">
        <v>30661</v>
      </c>
      <c r="G644">
        <v>54</v>
      </c>
      <c r="H644">
        <v>3</v>
      </c>
      <c r="I644">
        <v>12</v>
      </c>
      <c r="J644">
        <v>36</v>
      </c>
      <c r="K644">
        <v>4.4000000000000004</v>
      </c>
      <c r="L644" s="3">
        <v>4.3</v>
      </c>
      <c r="M644" t="s">
        <v>1036</v>
      </c>
      <c r="N644">
        <v>44</v>
      </c>
    </row>
    <row r="645" spans="1:14" x14ac:dyDescent="0.3">
      <c r="A645" t="s">
        <v>657</v>
      </c>
      <c r="B645" t="s">
        <v>1018</v>
      </c>
      <c r="C645" t="s">
        <v>1027</v>
      </c>
      <c r="D645">
        <v>38</v>
      </c>
      <c r="E645">
        <v>9</v>
      </c>
      <c r="F645" s="3">
        <v>55602</v>
      </c>
      <c r="G645">
        <v>37</v>
      </c>
      <c r="H645">
        <v>11</v>
      </c>
      <c r="I645">
        <v>14</v>
      </c>
      <c r="J645">
        <v>17</v>
      </c>
      <c r="K645">
        <v>4.3</v>
      </c>
      <c r="L645" s="3">
        <v>7.8</v>
      </c>
      <c r="M645" t="s">
        <v>1035</v>
      </c>
      <c r="N645">
        <v>78.03</v>
      </c>
    </row>
    <row r="646" spans="1:14" x14ac:dyDescent="0.3">
      <c r="A646" t="s">
        <v>658</v>
      </c>
      <c r="B646" t="s">
        <v>1016</v>
      </c>
      <c r="C646" t="s">
        <v>1023</v>
      </c>
      <c r="D646">
        <v>38</v>
      </c>
      <c r="E646">
        <v>5</v>
      </c>
      <c r="F646" s="3">
        <v>76166</v>
      </c>
      <c r="G646">
        <v>37</v>
      </c>
      <c r="H646">
        <v>5</v>
      </c>
      <c r="I646">
        <v>24</v>
      </c>
      <c r="J646">
        <v>3</v>
      </c>
      <c r="K646">
        <v>3.1</v>
      </c>
      <c r="L646" s="3">
        <v>5.3</v>
      </c>
      <c r="M646" t="s">
        <v>1036</v>
      </c>
      <c r="N646">
        <v>49.43</v>
      </c>
    </row>
    <row r="647" spans="1:14" x14ac:dyDescent="0.3">
      <c r="A647" t="s">
        <v>659</v>
      </c>
      <c r="B647" t="s">
        <v>1016</v>
      </c>
      <c r="C647" t="s">
        <v>1023</v>
      </c>
      <c r="D647">
        <v>38</v>
      </c>
      <c r="E647">
        <v>5</v>
      </c>
      <c r="F647" s="3">
        <v>53873</v>
      </c>
      <c r="G647">
        <v>37</v>
      </c>
      <c r="H647">
        <v>8</v>
      </c>
      <c r="I647">
        <v>6</v>
      </c>
      <c r="J647">
        <v>39</v>
      </c>
      <c r="K647">
        <v>3.2</v>
      </c>
      <c r="L647" s="3">
        <v>7.5</v>
      </c>
      <c r="M647" t="s">
        <v>1035</v>
      </c>
      <c r="N647">
        <v>67.930000000000007</v>
      </c>
    </row>
    <row r="648" spans="1:14" x14ac:dyDescent="0.3">
      <c r="A648" t="s">
        <v>660</v>
      </c>
      <c r="B648" t="s">
        <v>1018</v>
      </c>
      <c r="C648" t="s">
        <v>1027</v>
      </c>
      <c r="D648">
        <v>49</v>
      </c>
      <c r="E648">
        <v>6</v>
      </c>
      <c r="F648" s="3">
        <v>65236</v>
      </c>
      <c r="G648">
        <v>55</v>
      </c>
      <c r="H648">
        <v>2</v>
      </c>
      <c r="I648">
        <v>14</v>
      </c>
      <c r="J648">
        <v>16</v>
      </c>
      <c r="K648">
        <v>2.2999999999999998</v>
      </c>
      <c r="L648" s="3">
        <v>3.5</v>
      </c>
      <c r="M648" t="s">
        <v>1036</v>
      </c>
      <c r="N648">
        <v>31.23</v>
      </c>
    </row>
    <row r="649" spans="1:14" x14ac:dyDescent="0.3">
      <c r="A649" t="s">
        <v>661</v>
      </c>
      <c r="B649" t="s">
        <v>1016</v>
      </c>
      <c r="C649" t="s">
        <v>1033</v>
      </c>
      <c r="D649">
        <v>50</v>
      </c>
      <c r="E649">
        <v>0</v>
      </c>
      <c r="F649" s="3">
        <v>83753</v>
      </c>
      <c r="G649">
        <v>50</v>
      </c>
      <c r="H649">
        <v>3</v>
      </c>
      <c r="I649">
        <v>20</v>
      </c>
      <c r="J649">
        <v>40</v>
      </c>
      <c r="K649">
        <v>2</v>
      </c>
      <c r="L649" s="3">
        <v>3.3</v>
      </c>
      <c r="M649" t="s">
        <v>1036</v>
      </c>
      <c r="N649">
        <v>30.8</v>
      </c>
    </row>
    <row r="650" spans="1:14" x14ac:dyDescent="0.3">
      <c r="A650" t="s">
        <v>662</v>
      </c>
      <c r="B650" t="s">
        <v>1016</v>
      </c>
      <c r="C650" t="s">
        <v>1033</v>
      </c>
      <c r="D650">
        <v>31</v>
      </c>
      <c r="E650">
        <v>5</v>
      </c>
      <c r="F650" s="3">
        <v>84285</v>
      </c>
      <c r="G650">
        <v>47</v>
      </c>
      <c r="H650">
        <v>10</v>
      </c>
      <c r="I650">
        <v>0</v>
      </c>
      <c r="J650">
        <v>32</v>
      </c>
      <c r="K650">
        <v>4.0999999999999996</v>
      </c>
      <c r="L650" s="3">
        <v>8.4</v>
      </c>
      <c r="M650" t="s">
        <v>1034</v>
      </c>
      <c r="N650">
        <v>79.37</v>
      </c>
    </row>
    <row r="651" spans="1:14" x14ac:dyDescent="0.3">
      <c r="A651" t="s">
        <v>663</v>
      </c>
      <c r="B651" t="s">
        <v>1017</v>
      </c>
      <c r="C651" t="s">
        <v>1026</v>
      </c>
      <c r="D651">
        <v>47</v>
      </c>
      <c r="E651">
        <v>2</v>
      </c>
      <c r="F651" s="3">
        <v>60397</v>
      </c>
      <c r="G651">
        <v>42</v>
      </c>
      <c r="H651">
        <v>1</v>
      </c>
      <c r="I651">
        <v>12</v>
      </c>
      <c r="J651">
        <v>30</v>
      </c>
      <c r="K651">
        <v>2.4</v>
      </c>
      <c r="L651" s="3">
        <v>6.7</v>
      </c>
      <c r="M651" t="s">
        <v>1035</v>
      </c>
      <c r="N651">
        <v>49.07</v>
      </c>
    </row>
    <row r="652" spans="1:14" x14ac:dyDescent="0.3">
      <c r="A652" t="s">
        <v>664</v>
      </c>
      <c r="B652" t="s">
        <v>1016</v>
      </c>
      <c r="C652" t="s">
        <v>1023</v>
      </c>
      <c r="D652">
        <v>41</v>
      </c>
      <c r="E652">
        <v>12</v>
      </c>
      <c r="F652" s="3">
        <v>28617</v>
      </c>
      <c r="G652">
        <v>55</v>
      </c>
      <c r="H652">
        <v>11</v>
      </c>
      <c r="I652">
        <v>2</v>
      </c>
      <c r="J652">
        <v>23</v>
      </c>
      <c r="K652">
        <v>3.6</v>
      </c>
      <c r="L652" s="3">
        <v>9.6999999999999993</v>
      </c>
      <c r="M652" t="s">
        <v>1034</v>
      </c>
      <c r="N652">
        <v>87.33</v>
      </c>
    </row>
    <row r="653" spans="1:14" x14ac:dyDescent="0.3">
      <c r="A653" t="s">
        <v>665</v>
      </c>
      <c r="B653" t="s">
        <v>1017</v>
      </c>
      <c r="C653" t="s">
        <v>1030</v>
      </c>
      <c r="D653">
        <v>40</v>
      </c>
      <c r="E653">
        <v>6</v>
      </c>
      <c r="F653" s="3">
        <v>36574</v>
      </c>
      <c r="G653">
        <v>52</v>
      </c>
      <c r="H653">
        <v>1</v>
      </c>
      <c r="I653">
        <v>12</v>
      </c>
      <c r="J653">
        <v>12</v>
      </c>
      <c r="K653">
        <v>2.9</v>
      </c>
      <c r="L653" s="3">
        <v>5.7</v>
      </c>
      <c r="M653" t="s">
        <v>1036</v>
      </c>
      <c r="N653">
        <v>44.57</v>
      </c>
    </row>
    <row r="654" spans="1:14" x14ac:dyDescent="0.3">
      <c r="A654" t="s">
        <v>666</v>
      </c>
      <c r="B654" t="s">
        <v>1016</v>
      </c>
      <c r="C654" t="s">
        <v>1022</v>
      </c>
      <c r="D654">
        <v>53</v>
      </c>
      <c r="E654">
        <v>2</v>
      </c>
      <c r="F654" s="3">
        <v>83013</v>
      </c>
      <c r="G654">
        <v>55</v>
      </c>
      <c r="H654">
        <v>8</v>
      </c>
      <c r="I654">
        <v>23</v>
      </c>
      <c r="J654">
        <v>12</v>
      </c>
      <c r="K654">
        <v>2.4</v>
      </c>
      <c r="L654" s="3">
        <v>4.4000000000000004</v>
      </c>
      <c r="M654" t="s">
        <v>1036</v>
      </c>
      <c r="N654">
        <v>46.93</v>
      </c>
    </row>
    <row r="655" spans="1:14" x14ac:dyDescent="0.3">
      <c r="A655" t="s">
        <v>667</v>
      </c>
      <c r="B655" t="s">
        <v>1015</v>
      </c>
      <c r="C655" t="s">
        <v>1021</v>
      </c>
      <c r="D655">
        <v>37</v>
      </c>
      <c r="E655">
        <v>15</v>
      </c>
      <c r="F655" s="3">
        <v>50478</v>
      </c>
      <c r="G655">
        <v>37</v>
      </c>
      <c r="H655">
        <v>13</v>
      </c>
      <c r="I655">
        <v>17</v>
      </c>
      <c r="J655">
        <v>19</v>
      </c>
      <c r="K655">
        <v>3.5</v>
      </c>
      <c r="L655" s="3">
        <v>9.8000000000000007</v>
      </c>
      <c r="M655" t="s">
        <v>1034</v>
      </c>
      <c r="N655">
        <v>90.97</v>
      </c>
    </row>
    <row r="656" spans="1:14" x14ac:dyDescent="0.3">
      <c r="A656" t="s">
        <v>668</v>
      </c>
      <c r="B656" t="s">
        <v>1014</v>
      </c>
      <c r="C656" t="s">
        <v>1025</v>
      </c>
      <c r="D656">
        <v>24</v>
      </c>
      <c r="E656">
        <v>2</v>
      </c>
      <c r="F656" s="3">
        <v>28673</v>
      </c>
      <c r="G656">
        <v>45</v>
      </c>
      <c r="H656">
        <v>13</v>
      </c>
      <c r="I656">
        <v>23</v>
      </c>
      <c r="J656">
        <v>2</v>
      </c>
      <c r="K656">
        <v>3.2</v>
      </c>
      <c r="L656" s="3">
        <v>4.5</v>
      </c>
      <c r="M656" t="s">
        <v>1036</v>
      </c>
      <c r="N656">
        <v>58.27</v>
      </c>
    </row>
    <row r="657" spans="1:14" x14ac:dyDescent="0.3">
      <c r="A657" t="s">
        <v>669</v>
      </c>
      <c r="B657" t="s">
        <v>1015</v>
      </c>
      <c r="C657" t="s">
        <v>1029</v>
      </c>
      <c r="D657">
        <v>51</v>
      </c>
      <c r="E657">
        <v>4</v>
      </c>
      <c r="F657" s="3">
        <v>73565</v>
      </c>
      <c r="G657">
        <v>53</v>
      </c>
      <c r="H657">
        <v>4</v>
      </c>
      <c r="I657">
        <v>2</v>
      </c>
      <c r="J657">
        <v>2</v>
      </c>
      <c r="K657">
        <v>4.2</v>
      </c>
      <c r="L657" s="3">
        <v>6.4</v>
      </c>
      <c r="M657" t="s">
        <v>1035</v>
      </c>
      <c r="N657">
        <v>57.67</v>
      </c>
    </row>
    <row r="658" spans="1:14" x14ac:dyDescent="0.3">
      <c r="A658" t="s">
        <v>670</v>
      </c>
      <c r="B658" t="s">
        <v>1017</v>
      </c>
      <c r="C658" t="s">
        <v>1030</v>
      </c>
      <c r="D658">
        <v>24</v>
      </c>
      <c r="E658">
        <v>1</v>
      </c>
      <c r="F658" s="3">
        <v>70960</v>
      </c>
      <c r="G658">
        <v>55</v>
      </c>
      <c r="H658">
        <v>3</v>
      </c>
      <c r="I658">
        <v>0</v>
      </c>
      <c r="J658">
        <v>11</v>
      </c>
      <c r="K658">
        <v>3.9</v>
      </c>
      <c r="L658" s="3">
        <v>9.3000000000000007</v>
      </c>
      <c r="M658" t="s">
        <v>1034</v>
      </c>
      <c r="N658">
        <v>72.5</v>
      </c>
    </row>
    <row r="659" spans="1:14" x14ac:dyDescent="0.3">
      <c r="A659" t="s">
        <v>671</v>
      </c>
      <c r="B659" t="s">
        <v>1017</v>
      </c>
      <c r="C659" t="s">
        <v>1030</v>
      </c>
      <c r="D659">
        <v>32</v>
      </c>
      <c r="E659">
        <v>9</v>
      </c>
      <c r="F659" s="3">
        <v>29191</v>
      </c>
      <c r="G659">
        <v>38</v>
      </c>
      <c r="H659">
        <v>2</v>
      </c>
      <c r="I659">
        <v>15</v>
      </c>
      <c r="J659">
        <v>38</v>
      </c>
      <c r="K659">
        <v>4.4000000000000004</v>
      </c>
      <c r="L659" s="3">
        <v>4.5</v>
      </c>
      <c r="M659" t="s">
        <v>1036</v>
      </c>
      <c r="N659">
        <v>43.53</v>
      </c>
    </row>
    <row r="660" spans="1:14" x14ac:dyDescent="0.3">
      <c r="A660" t="s">
        <v>672</v>
      </c>
      <c r="B660" t="s">
        <v>1017</v>
      </c>
      <c r="C660" t="s">
        <v>1030</v>
      </c>
      <c r="D660">
        <v>43</v>
      </c>
      <c r="E660">
        <v>12</v>
      </c>
      <c r="F660" s="3">
        <v>46249</v>
      </c>
      <c r="G660">
        <v>38</v>
      </c>
      <c r="H660">
        <v>11</v>
      </c>
      <c r="I660">
        <v>18</v>
      </c>
      <c r="J660">
        <v>34</v>
      </c>
      <c r="K660">
        <v>2.4</v>
      </c>
      <c r="L660" s="3">
        <v>8.9</v>
      </c>
      <c r="M660" t="s">
        <v>1034</v>
      </c>
      <c r="N660">
        <v>78.930000000000007</v>
      </c>
    </row>
    <row r="661" spans="1:14" x14ac:dyDescent="0.3">
      <c r="A661" t="s">
        <v>673</v>
      </c>
      <c r="B661" t="s">
        <v>1014</v>
      </c>
      <c r="C661" t="s">
        <v>1019</v>
      </c>
      <c r="D661">
        <v>33</v>
      </c>
      <c r="E661">
        <v>5</v>
      </c>
      <c r="F661" s="3">
        <v>29143</v>
      </c>
      <c r="G661">
        <v>38</v>
      </c>
      <c r="H661">
        <v>5</v>
      </c>
      <c r="I661">
        <v>4</v>
      </c>
      <c r="J661">
        <v>26</v>
      </c>
      <c r="K661">
        <v>2.5</v>
      </c>
      <c r="L661" s="3">
        <v>5.6</v>
      </c>
      <c r="M661" t="s">
        <v>1036</v>
      </c>
      <c r="N661">
        <v>49.43</v>
      </c>
    </row>
    <row r="662" spans="1:14" x14ac:dyDescent="0.3">
      <c r="A662" t="s">
        <v>674</v>
      </c>
      <c r="B662" t="s">
        <v>1017</v>
      </c>
      <c r="C662" t="s">
        <v>1026</v>
      </c>
      <c r="D662">
        <v>37</v>
      </c>
      <c r="E662">
        <v>1</v>
      </c>
      <c r="F662" s="3">
        <v>33740</v>
      </c>
      <c r="G662">
        <v>38</v>
      </c>
      <c r="H662">
        <v>13</v>
      </c>
      <c r="I662">
        <v>20</v>
      </c>
      <c r="J662">
        <v>39</v>
      </c>
      <c r="K662">
        <v>3.1</v>
      </c>
      <c r="L662" s="3">
        <v>4.0999999999999996</v>
      </c>
      <c r="M662" t="s">
        <v>1036</v>
      </c>
      <c r="N662">
        <v>55.57</v>
      </c>
    </row>
    <row r="663" spans="1:14" x14ac:dyDescent="0.3">
      <c r="A663" t="s">
        <v>675</v>
      </c>
      <c r="B663" t="s">
        <v>1014</v>
      </c>
      <c r="C663" t="s">
        <v>1031</v>
      </c>
      <c r="D663">
        <v>22</v>
      </c>
      <c r="E663">
        <v>0</v>
      </c>
      <c r="F663" s="3">
        <v>36758</v>
      </c>
      <c r="G663">
        <v>37</v>
      </c>
      <c r="H663">
        <v>12</v>
      </c>
      <c r="I663">
        <v>20</v>
      </c>
      <c r="J663">
        <v>37</v>
      </c>
      <c r="K663">
        <v>4.7</v>
      </c>
      <c r="L663" s="3">
        <v>5.9</v>
      </c>
      <c r="M663" t="s">
        <v>1036</v>
      </c>
      <c r="N663">
        <v>69.5</v>
      </c>
    </row>
    <row r="664" spans="1:14" x14ac:dyDescent="0.3">
      <c r="A664" t="s">
        <v>676</v>
      </c>
      <c r="B664" t="s">
        <v>1018</v>
      </c>
      <c r="C664" t="s">
        <v>1027</v>
      </c>
      <c r="D664">
        <v>35</v>
      </c>
      <c r="E664">
        <v>2</v>
      </c>
      <c r="F664" s="3">
        <v>66931</v>
      </c>
      <c r="G664">
        <v>43</v>
      </c>
      <c r="H664">
        <v>9</v>
      </c>
      <c r="I664">
        <v>14</v>
      </c>
      <c r="J664">
        <v>26</v>
      </c>
      <c r="K664">
        <v>2.7</v>
      </c>
      <c r="L664" s="3">
        <v>4.2</v>
      </c>
      <c r="M664" t="s">
        <v>1036</v>
      </c>
      <c r="N664">
        <v>48.3</v>
      </c>
    </row>
    <row r="665" spans="1:14" x14ac:dyDescent="0.3">
      <c r="A665" t="s">
        <v>677</v>
      </c>
      <c r="B665" t="s">
        <v>1014</v>
      </c>
      <c r="C665" t="s">
        <v>1019</v>
      </c>
      <c r="D665">
        <v>33</v>
      </c>
      <c r="E665">
        <v>11</v>
      </c>
      <c r="F665" s="3">
        <v>57760</v>
      </c>
      <c r="G665">
        <v>54</v>
      </c>
      <c r="H665">
        <v>2</v>
      </c>
      <c r="I665">
        <v>20</v>
      </c>
      <c r="J665">
        <v>19</v>
      </c>
      <c r="K665">
        <v>3</v>
      </c>
      <c r="L665" s="3">
        <v>3</v>
      </c>
      <c r="M665" t="s">
        <v>1036</v>
      </c>
      <c r="N665">
        <v>30.33</v>
      </c>
    </row>
    <row r="666" spans="1:14" x14ac:dyDescent="0.3">
      <c r="A666" t="s">
        <v>678</v>
      </c>
      <c r="B666" t="s">
        <v>1018</v>
      </c>
      <c r="C666" t="s">
        <v>1027</v>
      </c>
      <c r="D666">
        <v>29</v>
      </c>
      <c r="E666">
        <v>8</v>
      </c>
      <c r="F666" s="3">
        <v>89015</v>
      </c>
      <c r="G666">
        <v>38</v>
      </c>
      <c r="H666">
        <v>10</v>
      </c>
      <c r="I666">
        <v>11</v>
      </c>
      <c r="J666">
        <v>34</v>
      </c>
      <c r="K666">
        <v>3.5</v>
      </c>
      <c r="L666" s="3">
        <v>6.2</v>
      </c>
      <c r="M666" t="s">
        <v>1035</v>
      </c>
      <c r="N666">
        <v>64.37</v>
      </c>
    </row>
    <row r="667" spans="1:14" x14ac:dyDescent="0.3">
      <c r="A667" t="s">
        <v>679</v>
      </c>
      <c r="B667" t="s">
        <v>1018</v>
      </c>
      <c r="C667" t="s">
        <v>1028</v>
      </c>
      <c r="D667">
        <v>39</v>
      </c>
      <c r="E667">
        <v>1</v>
      </c>
      <c r="F667" s="3">
        <v>37695</v>
      </c>
      <c r="G667">
        <v>38</v>
      </c>
      <c r="H667">
        <v>13</v>
      </c>
      <c r="I667">
        <v>4</v>
      </c>
      <c r="J667">
        <v>30</v>
      </c>
      <c r="K667">
        <v>3.5</v>
      </c>
      <c r="L667" s="3">
        <v>4.0999999999999996</v>
      </c>
      <c r="M667" t="s">
        <v>1036</v>
      </c>
      <c r="N667">
        <v>56.77</v>
      </c>
    </row>
    <row r="668" spans="1:14" x14ac:dyDescent="0.3">
      <c r="A668" t="s">
        <v>680</v>
      </c>
      <c r="B668" t="s">
        <v>1014</v>
      </c>
      <c r="C668" t="s">
        <v>1019</v>
      </c>
      <c r="D668">
        <v>45</v>
      </c>
      <c r="E668">
        <v>9</v>
      </c>
      <c r="F668" s="3">
        <v>38735</v>
      </c>
      <c r="G668">
        <v>48</v>
      </c>
      <c r="H668">
        <v>5</v>
      </c>
      <c r="I668">
        <v>10</v>
      </c>
      <c r="J668">
        <v>39</v>
      </c>
      <c r="K668">
        <v>4.4000000000000004</v>
      </c>
      <c r="L668" s="3">
        <v>8.3000000000000007</v>
      </c>
      <c r="M668" t="s">
        <v>1034</v>
      </c>
      <c r="N668">
        <v>71.33</v>
      </c>
    </row>
    <row r="669" spans="1:14" x14ac:dyDescent="0.3">
      <c r="A669" t="s">
        <v>681</v>
      </c>
      <c r="B669" t="s">
        <v>1014</v>
      </c>
      <c r="C669" t="s">
        <v>1019</v>
      </c>
      <c r="D669">
        <v>25</v>
      </c>
      <c r="E669">
        <v>4</v>
      </c>
      <c r="F669" s="3">
        <v>36526</v>
      </c>
      <c r="G669">
        <v>40</v>
      </c>
      <c r="H669">
        <v>13</v>
      </c>
      <c r="I669">
        <v>0</v>
      </c>
      <c r="J669">
        <v>31</v>
      </c>
      <c r="K669">
        <v>3.5</v>
      </c>
      <c r="L669" s="3">
        <v>3.5</v>
      </c>
      <c r="M669" t="s">
        <v>1036</v>
      </c>
      <c r="N669">
        <v>53.17</v>
      </c>
    </row>
    <row r="670" spans="1:14" x14ac:dyDescent="0.3">
      <c r="A670" t="s">
        <v>682</v>
      </c>
      <c r="B670" t="s">
        <v>1017</v>
      </c>
      <c r="C670" t="s">
        <v>1024</v>
      </c>
      <c r="D670">
        <v>42</v>
      </c>
      <c r="E670">
        <v>13</v>
      </c>
      <c r="F670" s="3">
        <v>38025</v>
      </c>
      <c r="G670">
        <v>45</v>
      </c>
      <c r="H670">
        <v>4</v>
      </c>
      <c r="I670">
        <v>24</v>
      </c>
      <c r="J670">
        <v>7</v>
      </c>
      <c r="K670">
        <v>3</v>
      </c>
      <c r="L670" s="3">
        <v>3.7</v>
      </c>
      <c r="M670" t="s">
        <v>1036</v>
      </c>
      <c r="N670">
        <v>37.869999999999997</v>
      </c>
    </row>
    <row r="671" spans="1:14" x14ac:dyDescent="0.3">
      <c r="A671" t="s">
        <v>683</v>
      </c>
      <c r="B671" t="s">
        <v>1017</v>
      </c>
      <c r="C671" t="s">
        <v>1030</v>
      </c>
      <c r="D671">
        <v>34</v>
      </c>
      <c r="E671">
        <v>6</v>
      </c>
      <c r="F671" s="3">
        <v>83416</v>
      </c>
      <c r="G671">
        <v>42</v>
      </c>
      <c r="H671">
        <v>2</v>
      </c>
      <c r="I671">
        <v>15</v>
      </c>
      <c r="J671">
        <v>37</v>
      </c>
      <c r="K671">
        <v>3.5</v>
      </c>
      <c r="L671" s="3">
        <v>9.1999999999999993</v>
      </c>
      <c r="M671" t="s">
        <v>1034</v>
      </c>
      <c r="N671">
        <v>69.03</v>
      </c>
    </row>
    <row r="672" spans="1:14" x14ac:dyDescent="0.3">
      <c r="A672" t="s">
        <v>684</v>
      </c>
      <c r="B672" t="s">
        <v>1018</v>
      </c>
      <c r="C672" t="s">
        <v>1028</v>
      </c>
      <c r="D672">
        <v>51</v>
      </c>
      <c r="E672">
        <v>5</v>
      </c>
      <c r="F672" s="3">
        <v>50384</v>
      </c>
      <c r="G672">
        <v>46</v>
      </c>
      <c r="H672">
        <v>3</v>
      </c>
      <c r="I672">
        <v>14</v>
      </c>
      <c r="J672">
        <v>12</v>
      </c>
      <c r="K672">
        <v>3.9</v>
      </c>
      <c r="L672" s="3">
        <v>9.8000000000000007</v>
      </c>
      <c r="M672" t="s">
        <v>1034</v>
      </c>
      <c r="N672">
        <v>75.5</v>
      </c>
    </row>
    <row r="673" spans="1:14" x14ac:dyDescent="0.3">
      <c r="A673" t="s">
        <v>685</v>
      </c>
      <c r="B673" t="s">
        <v>1016</v>
      </c>
      <c r="C673" t="s">
        <v>1033</v>
      </c>
      <c r="D673">
        <v>30</v>
      </c>
      <c r="E673">
        <v>0</v>
      </c>
      <c r="F673" s="3">
        <v>70364</v>
      </c>
      <c r="G673">
        <v>53</v>
      </c>
      <c r="H673">
        <v>1</v>
      </c>
      <c r="I673">
        <v>8</v>
      </c>
      <c r="J673">
        <v>8</v>
      </c>
      <c r="K673">
        <v>2.2999999999999998</v>
      </c>
      <c r="L673" s="3">
        <v>6.3</v>
      </c>
      <c r="M673" t="s">
        <v>1035</v>
      </c>
      <c r="N673">
        <v>46.37</v>
      </c>
    </row>
    <row r="674" spans="1:14" x14ac:dyDescent="0.3">
      <c r="A674" t="s">
        <v>686</v>
      </c>
      <c r="B674" t="s">
        <v>1018</v>
      </c>
      <c r="C674" t="s">
        <v>1027</v>
      </c>
      <c r="D674">
        <v>43</v>
      </c>
      <c r="E674">
        <v>7</v>
      </c>
      <c r="F674" s="3">
        <v>83091</v>
      </c>
      <c r="G674">
        <v>44</v>
      </c>
      <c r="H674">
        <v>10</v>
      </c>
      <c r="I674">
        <v>5</v>
      </c>
      <c r="J674">
        <v>40</v>
      </c>
      <c r="K674">
        <v>4.9000000000000004</v>
      </c>
      <c r="L674" s="3">
        <v>9.3000000000000007</v>
      </c>
      <c r="M674" t="s">
        <v>1034</v>
      </c>
      <c r="N674">
        <v>87.17</v>
      </c>
    </row>
    <row r="675" spans="1:14" x14ac:dyDescent="0.3">
      <c r="A675" t="s">
        <v>687</v>
      </c>
      <c r="B675" t="s">
        <v>1015</v>
      </c>
      <c r="C675" t="s">
        <v>1029</v>
      </c>
      <c r="D675">
        <v>36</v>
      </c>
      <c r="E675">
        <v>2</v>
      </c>
      <c r="F675" s="3">
        <v>51980</v>
      </c>
      <c r="G675">
        <v>51</v>
      </c>
      <c r="H675">
        <v>8</v>
      </c>
      <c r="I675">
        <v>6</v>
      </c>
      <c r="J675">
        <v>37</v>
      </c>
      <c r="K675">
        <v>3.4</v>
      </c>
      <c r="L675" s="3">
        <v>6.2</v>
      </c>
      <c r="M675" t="s">
        <v>1035</v>
      </c>
      <c r="N675">
        <v>60.73</v>
      </c>
    </row>
    <row r="676" spans="1:14" x14ac:dyDescent="0.3">
      <c r="A676" t="s">
        <v>688</v>
      </c>
      <c r="B676" t="s">
        <v>1017</v>
      </c>
      <c r="C676" t="s">
        <v>1030</v>
      </c>
      <c r="D676">
        <v>37</v>
      </c>
      <c r="E676">
        <v>7</v>
      </c>
      <c r="F676" s="3">
        <v>46449</v>
      </c>
      <c r="G676">
        <v>48</v>
      </c>
      <c r="H676">
        <v>10</v>
      </c>
      <c r="I676">
        <v>7</v>
      </c>
      <c r="J676">
        <v>37</v>
      </c>
      <c r="K676">
        <v>4.8</v>
      </c>
      <c r="L676" s="3">
        <v>9.4</v>
      </c>
      <c r="M676" t="s">
        <v>1034</v>
      </c>
      <c r="N676">
        <v>87.47</v>
      </c>
    </row>
    <row r="677" spans="1:14" x14ac:dyDescent="0.3">
      <c r="A677" t="s">
        <v>689</v>
      </c>
      <c r="B677" t="s">
        <v>1017</v>
      </c>
      <c r="C677" t="s">
        <v>1026</v>
      </c>
      <c r="D677">
        <v>24</v>
      </c>
      <c r="E677">
        <v>0</v>
      </c>
      <c r="F677" s="3">
        <v>89964</v>
      </c>
      <c r="G677">
        <v>50</v>
      </c>
      <c r="H677">
        <v>12</v>
      </c>
      <c r="I677">
        <v>24</v>
      </c>
      <c r="J677">
        <v>32</v>
      </c>
      <c r="K677">
        <v>2.1</v>
      </c>
      <c r="L677" s="3">
        <v>6.7</v>
      </c>
      <c r="M677" t="s">
        <v>1035</v>
      </c>
      <c r="N677">
        <v>66.5</v>
      </c>
    </row>
    <row r="678" spans="1:14" x14ac:dyDescent="0.3">
      <c r="A678" t="s">
        <v>690</v>
      </c>
      <c r="B678" t="s">
        <v>1014</v>
      </c>
      <c r="C678" t="s">
        <v>1019</v>
      </c>
      <c r="D678">
        <v>50</v>
      </c>
      <c r="E678">
        <v>15</v>
      </c>
      <c r="F678" s="3">
        <v>40762</v>
      </c>
      <c r="G678">
        <v>37</v>
      </c>
      <c r="H678">
        <v>9</v>
      </c>
      <c r="I678">
        <v>24</v>
      </c>
      <c r="J678">
        <v>0</v>
      </c>
      <c r="K678">
        <v>4.0999999999999996</v>
      </c>
      <c r="L678" s="3">
        <v>5.8</v>
      </c>
      <c r="M678" t="s">
        <v>1036</v>
      </c>
      <c r="N678">
        <v>62.1</v>
      </c>
    </row>
    <row r="679" spans="1:14" x14ac:dyDescent="0.3">
      <c r="A679" t="s">
        <v>691</v>
      </c>
      <c r="B679" t="s">
        <v>1018</v>
      </c>
      <c r="C679" t="s">
        <v>1032</v>
      </c>
      <c r="D679">
        <v>44</v>
      </c>
      <c r="E679">
        <v>9</v>
      </c>
      <c r="F679" s="3">
        <v>40667</v>
      </c>
      <c r="G679">
        <v>55</v>
      </c>
      <c r="H679">
        <v>2</v>
      </c>
      <c r="I679">
        <v>0</v>
      </c>
      <c r="J679">
        <v>30</v>
      </c>
      <c r="K679">
        <v>4</v>
      </c>
      <c r="L679" s="3">
        <v>4.0999999999999996</v>
      </c>
      <c r="M679" t="s">
        <v>1036</v>
      </c>
      <c r="N679">
        <v>39.93</v>
      </c>
    </row>
    <row r="680" spans="1:14" x14ac:dyDescent="0.3">
      <c r="A680" t="s">
        <v>692</v>
      </c>
      <c r="B680" t="s">
        <v>1015</v>
      </c>
      <c r="C680" t="s">
        <v>1020</v>
      </c>
      <c r="D680">
        <v>23</v>
      </c>
      <c r="E680">
        <v>1</v>
      </c>
      <c r="F680" s="3">
        <v>55393</v>
      </c>
      <c r="G680">
        <v>39</v>
      </c>
      <c r="H680">
        <v>14</v>
      </c>
      <c r="I680">
        <v>22</v>
      </c>
      <c r="J680">
        <v>25</v>
      </c>
      <c r="K680">
        <v>2.6</v>
      </c>
      <c r="L680" s="3">
        <v>9.1</v>
      </c>
      <c r="M680" t="s">
        <v>1034</v>
      </c>
      <c r="N680">
        <v>85.73</v>
      </c>
    </row>
    <row r="681" spans="1:14" x14ac:dyDescent="0.3">
      <c r="A681" t="s">
        <v>693</v>
      </c>
      <c r="B681" t="s">
        <v>1017</v>
      </c>
      <c r="C681" t="s">
        <v>1024</v>
      </c>
      <c r="D681">
        <v>22</v>
      </c>
      <c r="E681">
        <v>0</v>
      </c>
      <c r="F681" s="3">
        <v>50223</v>
      </c>
      <c r="G681">
        <v>45</v>
      </c>
      <c r="H681">
        <v>9</v>
      </c>
      <c r="I681">
        <v>1</v>
      </c>
      <c r="J681">
        <v>18</v>
      </c>
      <c r="K681">
        <v>3.3</v>
      </c>
      <c r="L681" s="3">
        <v>4.9000000000000004</v>
      </c>
      <c r="M681" t="s">
        <v>1036</v>
      </c>
      <c r="N681">
        <v>54.3</v>
      </c>
    </row>
    <row r="682" spans="1:14" x14ac:dyDescent="0.3">
      <c r="A682" t="s">
        <v>694</v>
      </c>
      <c r="B682" t="s">
        <v>1015</v>
      </c>
      <c r="C682" t="s">
        <v>1021</v>
      </c>
      <c r="D682">
        <v>35</v>
      </c>
      <c r="E682">
        <v>12</v>
      </c>
      <c r="F682" s="3">
        <v>69870</v>
      </c>
      <c r="G682">
        <v>37</v>
      </c>
      <c r="H682">
        <v>10</v>
      </c>
      <c r="I682">
        <v>10</v>
      </c>
      <c r="J682">
        <v>3</v>
      </c>
      <c r="K682">
        <v>3.5</v>
      </c>
      <c r="L682" s="3">
        <v>9.4</v>
      </c>
      <c r="M682" t="s">
        <v>1034</v>
      </c>
      <c r="N682">
        <v>83.57</v>
      </c>
    </row>
    <row r="683" spans="1:14" x14ac:dyDescent="0.3">
      <c r="A683" t="s">
        <v>695</v>
      </c>
      <c r="B683" t="s">
        <v>1014</v>
      </c>
      <c r="C683" t="s">
        <v>1025</v>
      </c>
      <c r="D683">
        <v>29</v>
      </c>
      <c r="E683">
        <v>6</v>
      </c>
      <c r="F683" s="3">
        <v>48959</v>
      </c>
      <c r="G683">
        <v>49</v>
      </c>
      <c r="H683">
        <v>10</v>
      </c>
      <c r="I683">
        <v>1</v>
      </c>
      <c r="J683">
        <v>23</v>
      </c>
      <c r="K683">
        <v>3.1</v>
      </c>
      <c r="L683" s="3">
        <v>7.5</v>
      </c>
      <c r="M683" t="s">
        <v>1035</v>
      </c>
      <c r="N683">
        <v>70.97</v>
      </c>
    </row>
    <row r="684" spans="1:14" x14ac:dyDescent="0.3">
      <c r="A684" t="s">
        <v>696</v>
      </c>
      <c r="B684" t="s">
        <v>1014</v>
      </c>
      <c r="C684" t="s">
        <v>1025</v>
      </c>
      <c r="D684">
        <v>35</v>
      </c>
      <c r="E684">
        <v>2</v>
      </c>
      <c r="F684" s="3">
        <v>89307</v>
      </c>
      <c r="G684">
        <v>45</v>
      </c>
      <c r="H684">
        <v>4</v>
      </c>
      <c r="I684">
        <v>17</v>
      </c>
      <c r="J684">
        <v>7</v>
      </c>
      <c r="K684">
        <v>3.9</v>
      </c>
      <c r="L684" s="3">
        <v>8.1999999999999993</v>
      </c>
      <c r="M684" t="s">
        <v>1034</v>
      </c>
      <c r="N684">
        <v>67.569999999999993</v>
      </c>
    </row>
    <row r="685" spans="1:14" x14ac:dyDescent="0.3">
      <c r="A685" t="s">
        <v>697</v>
      </c>
      <c r="B685" t="s">
        <v>1018</v>
      </c>
      <c r="C685" t="s">
        <v>1032</v>
      </c>
      <c r="D685">
        <v>36</v>
      </c>
      <c r="E685">
        <v>10</v>
      </c>
      <c r="F685" s="3">
        <v>48115</v>
      </c>
      <c r="G685">
        <v>43</v>
      </c>
      <c r="H685">
        <v>9</v>
      </c>
      <c r="I685">
        <v>21</v>
      </c>
      <c r="J685">
        <v>27</v>
      </c>
      <c r="K685">
        <v>2.8</v>
      </c>
      <c r="L685" s="3">
        <v>3.4</v>
      </c>
      <c r="M685" t="s">
        <v>1036</v>
      </c>
      <c r="N685">
        <v>43.8</v>
      </c>
    </row>
    <row r="686" spans="1:14" x14ac:dyDescent="0.3">
      <c r="A686" t="s">
        <v>698</v>
      </c>
      <c r="B686" t="s">
        <v>1017</v>
      </c>
      <c r="C686" t="s">
        <v>1024</v>
      </c>
      <c r="D686">
        <v>53</v>
      </c>
      <c r="E686">
        <v>3</v>
      </c>
      <c r="F686" s="3">
        <v>55812</v>
      </c>
      <c r="G686">
        <v>52</v>
      </c>
      <c r="H686">
        <v>11</v>
      </c>
      <c r="I686">
        <v>17</v>
      </c>
      <c r="J686">
        <v>18</v>
      </c>
      <c r="K686">
        <v>3.4</v>
      </c>
      <c r="L686" s="3">
        <v>5.6</v>
      </c>
      <c r="M686" t="s">
        <v>1036</v>
      </c>
      <c r="N686">
        <v>62.13</v>
      </c>
    </row>
    <row r="687" spans="1:14" x14ac:dyDescent="0.3">
      <c r="A687" t="s">
        <v>699</v>
      </c>
      <c r="B687" t="s">
        <v>1014</v>
      </c>
      <c r="C687" t="s">
        <v>1019</v>
      </c>
      <c r="D687">
        <v>34</v>
      </c>
      <c r="E687">
        <v>7</v>
      </c>
      <c r="F687" s="3">
        <v>30721</v>
      </c>
      <c r="G687">
        <v>37</v>
      </c>
      <c r="H687">
        <v>7</v>
      </c>
      <c r="I687">
        <v>5</v>
      </c>
      <c r="J687">
        <v>18</v>
      </c>
      <c r="K687">
        <v>4.9000000000000004</v>
      </c>
      <c r="L687" s="3">
        <v>3.5</v>
      </c>
      <c r="M687" t="s">
        <v>1036</v>
      </c>
      <c r="N687">
        <v>47.37</v>
      </c>
    </row>
    <row r="688" spans="1:14" x14ac:dyDescent="0.3">
      <c r="A688" t="s">
        <v>700</v>
      </c>
      <c r="B688" t="s">
        <v>1016</v>
      </c>
      <c r="C688" t="s">
        <v>1033</v>
      </c>
      <c r="D688">
        <v>29</v>
      </c>
      <c r="E688">
        <v>2</v>
      </c>
      <c r="F688" s="3">
        <v>57527</v>
      </c>
      <c r="G688">
        <v>39</v>
      </c>
      <c r="H688">
        <v>14</v>
      </c>
      <c r="I688">
        <v>6</v>
      </c>
      <c r="J688">
        <v>33</v>
      </c>
      <c r="K688">
        <v>4.9000000000000004</v>
      </c>
      <c r="L688" s="3">
        <v>3.2</v>
      </c>
      <c r="M688" t="s">
        <v>1036</v>
      </c>
      <c r="N688">
        <v>57.23</v>
      </c>
    </row>
    <row r="689" spans="1:14" x14ac:dyDescent="0.3">
      <c r="A689" t="s">
        <v>701</v>
      </c>
      <c r="B689" t="s">
        <v>1015</v>
      </c>
      <c r="C689" t="s">
        <v>1029</v>
      </c>
      <c r="D689">
        <v>30</v>
      </c>
      <c r="E689">
        <v>7</v>
      </c>
      <c r="F689" s="3">
        <v>47721</v>
      </c>
      <c r="G689">
        <v>48</v>
      </c>
      <c r="H689">
        <v>8</v>
      </c>
      <c r="I689">
        <v>23</v>
      </c>
      <c r="J689">
        <v>1</v>
      </c>
      <c r="K689">
        <v>2.9</v>
      </c>
      <c r="L689" s="3">
        <v>3.4</v>
      </c>
      <c r="M689" t="s">
        <v>1036</v>
      </c>
      <c r="N689">
        <v>42.43</v>
      </c>
    </row>
    <row r="690" spans="1:14" x14ac:dyDescent="0.3">
      <c r="A690" t="s">
        <v>702</v>
      </c>
      <c r="B690" t="s">
        <v>1015</v>
      </c>
      <c r="C690" t="s">
        <v>1020</v>
      </c>
      <c r="D690">
        <v>43</v>
      </c>
      <c r="E690">
        <v>13</v>
      </c>
      <c r="F690" s="3">
        <v>62925</v>
      </c>
      <c r="G690">
        <v>45</v>
      </c>
      <c r="H690">
        <v>11</v>
      </c>
      <c r="I690">
        <v>20</v>
      </c>
      <c r="J690">
        <v>20</v>
      </c>
      <c r="K690">
        <v>3.5</v>
      </c>
      <c r="L690" s="3">
        <v>7.7</v>
      </c>
      <c r="M690" t="s">
        <v>1035</v>
      </c>
      <c r="N690">
        <v>75.03</v>
      </c>
    </row>
    <row r="691" spans="1:14" x14ac:dyDescent="0.3">
      <c r="A691" t="s">
        <v>703</v>
      </c>
      <c r="B691" t="s">
        <v>1015</v>
      </c>
      <c r="C691" t="s">
        <v>1021</v>
      </c>
      <c r="D691">
        <v>50</v>
      </c>
      <c r="E691">
        <v>14</v>
      </c>
      <c r="F691" s="3">
        <v>44928</v>
      </c>
      <c r="G691">
        <v>53</v>
      </c>
      <c r="H691">
        <v>3</v>
      </c>
      <c r="I691">
        <v>25</v>
      </c>
      <c r="J691">
        <v>19</v>
      </c>
      <c r="K691">
        <v>2.5</v>
      </c>
      <c r="L691" s="3">
        <v>4.8</v>
      </c>
      <c r="M691" t="s">
        <v>1036</v>
      </c>
      <c r="N691">
        <v>41.3</v>
      </c>
    </row>
    <row r="692" spans="1:14" x14ac:dyDescent="0.3">
      <c r="A692" t="s">
        <v>704</v>
      </c>
      <c r="B692" t="s">
        <v>1016</v>
      </c>
      <c r="C692" t="s">
        <v>1022</v>
      </c>
      <c r="D692">
        <v>40</v>
      </c>
      <c r="E692">
        <v>1</v>
      </c>
      <c r="F692" s="3">
        <v>34721</v>
      </c>
      <c r="G692">
        <v>46</v>
      </c>
      <c r="H692">
        <v>5</v>
      </c>
      <c r="I692">
        <v>14</v>
      </c>
      <c r="J692">
        <v>10</v>
      </c>
      <c r="K692">
        <v>3.9</v>
      </c>
      <c r="L692" s="3">
        <v>4.0999999999999996</v>
      </c>
      <c r="M692" t="s">
        <v>1036</v>
      </c>
      <c r="N692">
        <v>44.63</v>
      </c>
    </row>
    <row r="693" spans="1:14" x14ac:dyDescent="0.3">
      <c r="A693" t="s">
        <v>705</v>
      </c>
      <c r="B693" t="s">
        <v>1016</v>
      </c>
      <c r="C693" t="s">
        <v>1023</v>
      </c>
      <c r="D693">
        <v>33</v>
      </c>
      <c r="E693">
        <v>2</v>
      </c>
      <c r="F693" s="3">
        <v>80006</v>
      </c>
      <c r="G693">
        <v>39</v>
      </c>
      <c r="H693">
        <v>3</v>
      </c>
      <c r="I693">
        <v>7</v>
      </c>
      <c r="J693">
        <v>7</v>
      </c>
      <c r="K693">
        <v>2.1</v>
      </c>
      <c r="L693" s="3">
        <v>5.2</v>
      </c>
      <c r="M693" t="s">
        <v>1036</v>
      </c>
      <c r="N693">
        <v>42.5</v>
      </c>
    </row>
    <row r="694" spans="1:14" x14ac:dyDescent="0.3">
      <c r="A694" t="s">
        <v>706</v>
      </c>
      <c r="B694" t="s">
        <v>1017</v>
      </c>
      <c r="C694" t="s">
        <v>1030</v>
      </c>
      <c r="D694">
        <v>38</v>
      </c>
      <c r="E694">
        <v>11</v>
      </c>
      <c r="F694" s="3">
        <v>37091</v>
      </c>
      <c r="G694">
        <v>41</v>
      </c>
      <c r="H694">
        <v>9</v>
      </c>
      <c r="I694">
        <v>22</v>
      </c>
      <c r="J694">
        <v>2</v>
      </c>
      <c r="K694">
        <v>4</v>
      </c>
      <c r="L694" s="3">
        <v>9.8000000000000007</v>
      </c>
      <c r="M694" t="s">
        <v>1034</v>
      </c>
      <c r="N694">
        <v>85.8</v>
      </c>
    </row>
    <row r="695" spans="1:14" x14ac:dyDescent="0.3">
      <c r="A695" t="s">
        <v>707</v>
      </c>
      <c r="B695" t="s">
        <v>1016</v>
      </c>
      <c r="C695" t="s">
        <v>1033</v>
      </c>
      <c r="D695">
        <v>50</v>
      </c>
      <c r="E695">
        <v>5</v>
      </c>
      <c r="F695" s="3">
        <v>59972</v>
      </c>
      <c r="G695">
        <v>44</v>
      </c>
      <c r="H695">
        <v>2</v>
      </c>
      <c r="I695">
        <v>0</v>
      </c>
      <c r="J695">
        <v>25</v>
      </c>
      <c r="K695">
        <v>4.8</v>
      </c>
      <c r="L695" s="3">
        <v>8.4</v>
      </c>
      <c r="M695" t="s">
        <v>1034</v>
      </c>
      <c r="N695">
        <v>68.13</v>
      </c>
    </row>
    <row r="696" spans="1:14" x14ac:dyDescent="0.3">
      <c r="A696" t="s">
        <v>708</v>
      </c>
      <c r="B696" t="s">
        <v>1016</v>
      </c>
      <c r="C696" t="s">
        <v>1022</v>
      </c>
      <c r="D696">
        <v>31</v>
      </c>
      <c r="E696">
        <v>0</v>
      </c>
      <c r="F696" s="3">
        <v>88579</v>
      </c>
      <c r="G696">
        <v>52</v>
      </c>
      <c r="H696">
        <v>9</v>
      </c>
      <c r="I696">
        <v>10</v>
      </c>
      <c r="J696">
        <v>18</v>
      </c>
      <c r="K696">
        <v>3.4</v>
      </c>
      <c r="L696" s="3">
        <v>5</v>
      </c>
      <c r="M696" t="s">
        <v>1036</v>
      </c>
      <c r="N696">
        <v>55.2</v>
      </c>
    </row>
    <row r="697" spans="1:14" x14ac:dyDescent="0.3">
      <c r="A697" t="s">
        <v>709</v>
      </c>
      <c r="B697" t="s">
        <v>1018</v>
      </c>
      <c r="C697" t="s">
        <v>1032</v>
      </c>
      <c r="D697">
        <v>50</v>
      </c>
      <c r="E697">
        <v>10</v>
      </c>
      <c r="F697" s="3">
        <v>70163</v>
      </c>
      <c r="G697">
        <v>38</v>
      </c>
      <c r="H697">
        <v>12</v>
      </c>
      <c r="I697">
        <v>15</v>
      </c>
      <c r="J697">
        <v>2</v>
      </c>
      <c r="K697">
        <v>2.4</v>
      </c>
      <c r="L697" s="3">
        <v>6.9</v>
      </c>
      <c r="M697" t="s">
        <v>1035</v>
      </c>
      <c r="N697">
        <v>68.599999999999994</v>
      </c>
    </row>
    <row r="698" spans="1:14" x14ac:dyDescent="0.3">
      <c r="A698" t="s">
        <v>710</v>
      </c>
      <c r="B698" t="s">
        <v>1014</v>
      </c>
      <c r="C698" t="s">
        <v>1025</v>
      </c>
      <c r="D698">
        <v>47</v>
      </c>
      <c r="E698">
        <v>7</v>
      </c>
      <c r="F698" s="3">
        <v>54227</v>
      </c>
      <c r="G698">
        <v>46</v>
      </c>
      <c r="H698">
        <v>2</v>
      </c>
      <c r="I698">
        <v>10</v>
      </c>
      <c r="J698">
        <v>3</v>
      </c>
      <c r="K698">
        <v>3.8</v>
      </c>
      <c r="L698" s="3">
        <v>4.4000000000000004</v>
      </c>
      <c r="M698" t="s">
        <v>1036</v>
      </c>
      <c r="N698">
        <v>41.13</v>
      </c>
    </row>
    <row r="699" spans="1:14" x14ac:dyDescent="0.3">
      <c r="A699" t="s">
        <v>711</v>
      </c>
      <c r="B699" t="s">
        <v>1018</v>
      </c>
      <c r="C699" t="s">
        <v>1032</v>
      </c>
      <c r="D699">
        <v>39</v>
      </c>
      <c r="E699">
        <v>6</v>
      </c>
      <c r="F699" s="3">
        <v>26477</v>
      </c>
      <c r="G699">
        <v>37</v>
      </c>
      <c r="H699">
        <v>9</v>
      </c>
      <c r="I699">
        <v>14</v>
      </c>
      <c r="J699">
        <v>5</v>
      </c>
      <c r="K699">
        <v>4.9000000000000004</v>
      </c>
      <c r="L699" s="3">
        <v>5.8</v>
      </c>
      <c r="M699" t="s">
        <v>1036</v>
      </c>
      <c r="N699">
        <v>64.5</v>
      </c>
    </row>
    <row r="700" spans="1:14" x14ac:dyDescent="0.3">
      <c r="A700" t="s">
        <v>712</v>
      </c>
      <c r="B700" t="s">
        <v>1016</v>
      </c>
      <c r="C700" t="s">
        <v>1033</v>
      </c>
      <c r="D700">
        <v>54</v>
      </c>
      <c r="E700">
        <v>1</v>
      </c>
      <c r="F700" s="3">
        <v>84535</v>
      </c>
      <c r="G700">
        <v>46</v>
      </c>
      <c r="H700">
        <v>7</v>
      </c>
      <c r="I700">
        <v>4</v>
      </c>
      <c r="J700">
        <v>27</v>
      </c>
      <c r="K700">
        <v>3.1</v>
      </c>
      <c r="L700" s="3">
        <v>5.6</v>
      </c>
      <c r="M700" t="s">
        <v>1036</v>
      </c>
      <c r="N700">
        <v>54.57</v>
      </c>
    </row>
    <row r="701" spans="1:14" x14ac:dyDescent="0.3">
      <c r="A701" t="s">
        <v>713</v>
      </c>
      <c r="B701" t="s">
        <v>1016</v>
      </c>
      <c r="C701" t="s">
        <v>1022</v>
      </c>
      <c r="D701">
        <v>44</v>
      </c>
      <c r="E701">
        <v>9</v>
      </c>
      <c r="F701" s="3">
        <v>89062</v>
      </c>
      <c r="G701">
        <v>49</v>
      </c>
      <c r="H701">
        <v>14</v>
      </c>
      <c r="I701">
        <v>17</v>
      </c>
      <c r="J701">
        <v>5</v>
      </c>
      <c r="K701">
        <v>2.6</v>
      </c>
      <c r="L701" s="3">
        <v>9.1999999999999993</v>
      </c>
      <c r="M701" t="s">
        <v>1034</v>
      </c>
      <c r="N701">
        <v>86.33</v>
      </c>
    </row>
    <row r="702" spans="1:14" x14ac:dyDescent="0.3">
      <c r="A702" t="s">
        <v>714</v>
      </c>
      <c r="B702" t="s">
        <v>1017</v>
      </c>
      <c r="C702" t="s">
        <v>1030</v>
      </c>
      <c r="D702">
        <v>50</v>
      </c>
      <c r="E702">
        <v>9</v>
      </c>
      <c r="F702" s="3">
        <v>35734</v>
      </c>
      <c r="G702">
        <v>48</v>
      </c>
      <c r="H702">
        <v>12</v>
      </c>
      <c r="I702">
        <v>13</v>
      </c>
      <c r="J702">
        <v>8</v>
      </c>
      <c r="K702">
        <v>4.5</v>
      </c>
      <c r="L702" s="3">
        <v>7.2</v>
      </c>
      <c r="M702" t="s">
        <v>1035</v>
      </c>
      <c r="N702">
        <v>76.7</v>
      </c>
    </row>
    <row r="703" spans="1:14" x14ac:dyDescent="0.3">
      <c r="A703" t="s">
        <v>715</v>
      </c>
      <c r="B703" t="s">
        <v>1018</v>
      </c>
      <c r="C703" t="s">
        <v>1032</v>
      </c>
      <c r="D703">
        <v>41</v>
      </c>
      <c r="E703">
        <v>15</v>
      </c>
      <c r="F703" s="3">
        <v>89774</v>
      </c>
      <c r="G703">
        <v>51</v>
      </c>
      <c r="H703">
        <v>6</v>
      </c>
      <c r="I703">
        <v>2</v>
      </c>
      <c r="J703">
        <v>37</v>
      </c>
      <c r="K703">
        <v>4.3</v>
      </c>
      <c r="L703" s="3">
        <v>3.6</v>
      </c>
      <c r="M703" t="s">
        <v>1036</v>
      </c>
      <c r="N703">
        <v>44.5</v>
      </c>
    </row>
    <row r="704" spans="1:14" x14ac:dyDescent="0.3">
      <c r="A704" t="s">
        <v>716</v>
      </c>
      <c r="B704" t="s">
        <v>1016</v>
      </c>
      <c r="C704" t="s">
        <v>1033</v>
      </c>
      <c r="D704">
        <v>48</v>
      </c>
      <c r="E704">
        <v>5</v>
      </c>
      <c r="F704" s="3">
        <v>61425</v>
      </c>
      <c r="G704">
        <v>49</v>
      </c>
      <c r="H704">
        <v>12</v>
      </c>
      <c r="I704">
        <v>18</v>
      </c>
      <c r="J704">
        <v>8</v>
      </c>
      <c r="K704">
        <v>2.6</v>
      </c>
      <c r="L704" s="3">
        <v>8.8000000000000007</v>
      </c>
      <c r="M704" t="s">
        <v>1034</v>
      </c>
      <c r="N704">
        <v>80.599999999999994</v>
      </c>
    </row>
    <row r="705" spans="1:14" x14ac:dyDescent="0.3">
      <c r="A705" t="s">
        <v>717</v>
      </c>
      <c r="B705" t="s">
        <v>1015</v>
      </c>
      <c r="C705" t="s">
        <v>1029</v>
      </c>
      <c r="D705">
        <v>53</v>
      </c>
      <c r="E705">
        <v>1</v>
      </c>
      <c r="F705" s="3">
        <v>78922</v>
      </c>
      <c r="G705">
        <v>44</v>
      </c>
      <c r="H705">
        <v>14</v>
      </c>
      <c r="I705">
        <v>18</v>
      </c>
      <c r="J705">
        <v>19</v>
      </c>
      <c r="K705">
        <v>3.5</v>
      </c>
      <c r="L705" s="3">
        <v>8.1999999999999993</v>
      </c>
      <c r="M705" t="s">
        <v>1034</v>
      </c>
      <c r="N705">
        <v>83.03</v>
      </c>
    </row>
    <row r="706" spans="1:14" x14ac:dyDescent="0.3">
      <c r="A706" t="s">
        <v>718</v>
      </c>
      <c r="B706" t="s">
        <v>1014</v>
      </c>
      <c r="C706" t="s">
        <v>1031</v>
      </c>
      <c r="D706">
        <v>22</v>
      </c>
      <c r="E706">
        <v>0</v>
      </c>
      <c r="F706" s="3">
        <v>42214</v>
      </c>
      <c r="G706">
        <v>44</v>
      </c>
      <c r="H706">
        <v>11</v>
      </c>
      <c r="I706">
        <v>20</v>
      </c>
      <c r="J706">
        <v>30</v>
      </c>
      <c r="K706">
        <v>2.4</v>
      </c>
      <c r="L706" s="3">
        <v>7.7</v>
      </c>
      <c r="M706" t="s">
        <v>1035</v>
      </c>
      <c r="N706">
        <v>71.73</v>
      </c>
    </row>
    <row r="707" spans="1:14" x14ac:dyDescent="0.3">
      <c r="A707" t="s">
        <v>719</v>
      </c>
      <c r="B707" t="s">
        <v>1017</v>
      </c>
      <c r="C707" t="s">
        <v>1030</v>
      </c>
      <c r="D707">
        <v>33</v>
      </c>
      <c r="E707">
        <v>7</v>
      </c>
      <c r="F707" s="3">
        <v>84427</v>
      </c>
      <c r="G707">
        <v>55</v>
      </c>
      <c r="H707">
        <v>4</v>
      </c>
      <c r="I707">
        <v>0</v>
      </c>
      <c r="J707">
        <v>7</v>
      </c>
      <c r="K707">
        <v>4.3</v>
      </c>
      <c r="L707" s="3">
        <v>6.5</v>
      </c>
      <c r="M707" t="s">
        <v>1035</v>
      </c>
      <c r="N707">
        <v>58.57</v>
      </c>
    </row>
    <row r="708" spans="1:14" x14ac:dyDescent="0.3">
      <c r="A708" t="s">
        <v>720</v>
      </c>
      <c r="B708" t="s">
        <v>1015</v>
      </c>
      <c r="C708" t="s">
        <v>1029</v>
      </c>
      <c r="D708">
        <v>45</v>
      </c>
      <c r="E708">
        <v>15</v>
      </c>
      <c r="F708" s="3">
        <v>62065</v>
      </c>
      <c r="G708">
        <v>48</v>
      </c>
      <c r="H708">
        <v>14</v>
      </c>
      <c r="I708">
        <v>8</v>
      </c>
      <c r="J708">
        <v>40</v>
      </c>
      <c r="K708">
        <v>4.0999999999999996</v>
      </c>
      <c r="L708" s="3">
        <v>9.8000000000000007</v>
      </c>
      <c r="M708" t="s">
        <v>1034</v>
      </c>
      <c r="N708">
        <v>94.43</v>
      </c>
    </row>
    <row r="709" spans="1:14" x14ac:dyDescent="0.3">
      <c r="A709" t="s">
        <v>721</v>
      </c>
      <c r="B709" t="s">
        <v>1016</v>
      </c>
      <c r="C709" t="s">
        <v>1022</v>
      </c>
      <c r="D709">
        <v>54</v>
      </c>
      <c r="E709">
        <v>0</v>
      </c>
      <c r="F709" s="3">
        <v>80396</v>
      </c>
      <c r="G709">
        <v>43</v>
      </c>
      <c r="H709">
        <v>3</v>
      </c>
      <c r="I709">
        <v>18</v>
      </c>
      <c r="J709">
        <v>3</v>
      </c>
      <c r="K709">
        <v>2.4</v>
      </c>
      <c r="L709" s="3">
        <v>6.2</v>
      </c>
      <c r="M709" t="s">
        <v>1035</v>
      </c>
      <c r="N709">
        <v>49.4</v>
      </c>
    </row>
    <row r="710" spans="1:14" x14ac:dyDescent="0.3">
      <c r="A710" t="s">
        <v>722</v>
      </c>
      <c r="B710" t="s">
        <v>1018</v>
      </c>
      <c r="C710" t="s">
        <v>1032</v>
      </c>
      <c r="D710">
        <v>44</v>
      </c>
      <c r="E710">
        <v>5</v>
      </c>
      <c r="F710" s="3">
        <v>28466</v>
      </c>
      <c r="G710">
        <v>43</v>
      </c>
      <c r="H710">
        <v>6</v>
      </c>
      <c r="I710">
        <v>13</v>
      </c>
      <c r="J710">
        <v>40</v>
      </c>
      <c r="K710">
        <v>4.7</v>
      </c>
      <c r="L710" s="3">
        <v>5.5</v>
      </c>
      <c r="M710" t="s">
        <v>1036</v>
      </c>
      <c r="N710">
        <v>57.1</v>
      </c>
    </row>
    <row r="711" spans="1:14" x14ac:dyDescent="0.3">
      <c r="A711" t="s">
        <v>723</v>
      </c>
      <c r="B711" t="s">
        <v>1016</v>
      </c>
      <c r="C711" t="s">
        <v>1023</v>
      </c>
      <c r="D711">
        <v>55</v>
      </c>
      <c r="E711">
        <v>2</v>
      </c>
      <c r="F711" s="3">
        <v>58676</v>
      </c>
      <c r="G711">
        <v>41</v>
      </c>
      <c r="H711">
        <v>13</v>
      </c>
      <c r="I711">
        <v>20</v>
      </c>
      <c r="J711">
        <v>11</v>
      </c>
      <c r="K711">
        <v>4.3</v>
      </c>
      <c r="L711" s="3">
        <v>7.2</v>
      </c>
      <c r="M711" t="s">
        <v>1035</v>
      </c>
      <c r="N711">
        <v>77.77</v>
      </c>
    </row>
    <row r="712" spans="1:14" x14ac:dyDescent="0.3">
      <c r="A712" t="s">
        <v>724</v>
      </c>
      <c r="B712" t="s">
        <v>1015</v>
      </c>
      <c r="C712" t="s">
        <v>1029</v>
      </c>
      <c r="D712">
        <v>42</v>
      </c>
      <c r="E712">
        <v>10</v>
      </c>
      <c r="F712" s="3">
        <v>79186</v>
      </c>
      <c r="G712">
        <v>44</v>
      </c>
      <c r="H712">
        <v>5</v>
      </c>
      <c r="I712">
        <v>21</v>
      </c>
      <c r="J712">
        <v>23</v>
      </c>
      <c r="K712">
        <v>2.2999999999999998</v>
      </c>
      <c r="L712" s="3">
        <v>7.1</v>
      </c>
      <c r="M712" t="s">
        <v>1035</v>
      </c>
      <c r="N712">
        <v>57.83</v>
      </c>
    </row>
    <row r="713" spans="1:14" x14ac:dyDescent="0.3">
      <c r="A713" t="s">
        <v>725</v>
      </c>
      <c r="B713" t="s">
        <v>1014</v>
      </c>
      <c r="C713" t="s">
        <v>1019</v>
      </c>
      <c r="D713">
        <v>30</v>
      </c>
      <c r="E713">
        <v>8</v>
      </c>
      <c r="F713" s="3">
        <v>43442</v>
      </c>
      <c r="G713">
        <v>46</v>
      </c>
      <c r="H713">
        <v>13</v>
      </c>
      <c r="I713">
        <v>15</v>
      </c>
      <c r="J713">
        <v>26</v>
      </c>
      <c r="K713">
        <v>3</v>
      </c>
      <c r="L713" s="3">
        <v>9.4</v>
      </c>
      <c r="M713" t="s">
        <v>1034</v>
      </c>
      <c r="N713">
        <v>87.07</v>
      </c>
    </row>
    <row r="714" spans="1:14" x14ac:dyDescent="0.3">
      <c r="A714" t="s">
        <v>726</v>
      </c>
      <c r="B714" t="s">
        <v>1018</v>
      </c>
      <c r="C714" t="s">
        <v>1027</v>
      </c>
      <c r="D714">
        <v>31</v>
      </c>
      <c r="E714">
        <v>8</v>
      </c>
      <c r="F714" s="3">
        <v>39490</v>
      </c>
      <c r="G714">
        <v>41</v>
      </c>
      <c r="H714">
        <v>13</v>
      </c>
      <c r="I714">
        <v>17</v>
      </c>
      <c r="J714">
        <v>39</v>
      </c>
      <c r="K714">
        <v>4.0999999999999996</v>
      </c>
      <c r="L714" s="3">
        <v>9.6999999999999993</v>
      </c>
      <c r="M714" t="s">
        <v>1034</v>
      </c>
      <c r="N714">
        <v>92.17</v>
      </c>
    </row>
    <row r="715" spans="1:14" x14ac:dyDescent="0.3">
      <c r="A715" t="s">
        <v>727</v>
      </c>
      <c r="B715" t="s">
        <v>1015</v>
      </c>
      <c r="C715" t="s">
        <v>1021</v>
      </c>
      <c r="D715">
        <v>29</v>
      </c>
      <c r="E715">
        <v>6</v>
      </c>
      <c r="F715" s="3">
        <v>55178</v>
      </c>
      <c r="G715">
        <v>37</v>
      </c>
      <c r="H715">
        <v>2</v>
      </c>
      <c r="I715">
        <v>4</v>
      </c>
      <c r="J715">
        <v>1</v>
      </c>
      <c r="K715">
        <v>3.4</v>
      </c>
      <c r="L715" s="3">
        <v>5.2</v>
      </c>
      <c r="M715" t="s">
        <v>1036</v>
      </c>
      <c r="N715">
        <v>44.73</v>
      </c>
    </row>
    <row r="716" spans="1:14" x14ac:dyDescent="0.3">
      <c r="A716" t="s">
        <v>728</v>
      </c>
      <c r="B716" t="s">
        <v>1018</v>
      </c>
      <c r="C716" t="s">
        <v>1028</v>
      </c>
      <c r="D716">
        <v>50</v>
      </c>
      <c r="E716">
        <v>10</v>
      </c>
      <c r="F716" s="3">
        <v>36285</v>
      </c>
      <c r="G716">
        <v>44</v>
      </c>
      <c r="H716">
        <v>1</v>
      </c>
      <c r="I716">
        <v>23</v>
      </c>
      <c r="J716">
        <v>7</v>
      </c>
      <c r="K716">
        <v>2.7</v>
      </c>
      <c r="L716" s="3">
        <v>9</v>
      </c>
      <c r="M716" t="s">
        <v>1034</v>
      </c>
      <c r="N716">
        <v>63.77</v>
      </c>
    </row>
    <row r="717" spans="1:14" x14ac:dyDescent="0.3">
      <c r="A717" t="s">
        <v>729</v>
      </c>
      <c r="B717" t="s">
        <v>1018</v>
      </c>
      <c r="C717" t="s">
        <v>1032</v>
      </c>
      <c r="D717">
        <v>41</v>
      </c>
      <c r="E717">
        <v>4</v>
      </c>
      <c r="F717" s="3">
        <v>38752</v>
      </c>
      <c r="G717">
        <v>39</v>
      </c>
      <c r="H717">
        <v>2</v>
      </c>
      <c r="I717">
        <v>13</v>
      </c>
      <c r="J717">
        <v>7</v>
      </c>
      <c r="K717">
        <v>2.2000000000000002</v>
      </c>
      <c r="L717" s="3">
        <v>8.4</v>
      </c>
      <c r="M717" t="s">
        <v>1034</v>
      </c>
      <c r="N717">
        <v>60.33</v>
      </c>
    </row>
    <row r="718" spans="1:14" x14ac:dyDescent="0.3">
      <c r="A718" t="s">
        <v>730</v>
      </c>
      <c r="B718" t="s">
        <v>1014</v>
      </c>
      <c r="C718" t="s">
        <v>1019</v>
      </c>
      <c r="D718">
        <v>34</v>
      </c>
      <c r="E718">
        <v>1</v>
      </c>
      <c r="F718" s="3">
        <v>27149</v>
      </c>
      <c r="G718">
        <v>51</v>
      </c>
      <c r="H718">
        <v>10</v>
      </c>
      <c r="I718">
        <v>1</v>
      </c>
      <c r="J718">
        <v>30</v>
      </c>
      <c r="K718">
        <v>2.4</v>
      </c>
      <c r="L718" s="3">
        <v>4.8</v>
      </c>
      <c r="M718" t="s">
        <v>1036</v>
      </c>
      <c r="N718">
        <v>52.67</v>
      </c>
    </row>
    <row r="719" spans="1:14" x14ac:dyDescent="0.3">
      <c r="A719" t="s">
        <v>731</v>
      </c>
      <c r="B719" t="s">
        <v>1016</v>
      </c>
      <c r="C719" t="s">
        <v>1022</v>
      </c>
      <c r="D719">
        <v>22</v>
      </c>
      <c r="E719">
        <v>0</v>
      </c>
      <c r="F719" s="3">
        <v>76273</v>
      </c>
      <c r="G719">
        <v>38</v>
      </c>
      <c r="H719">
        <v>15</v>
      </c>
      <c r="I719">
        <v>19</v>
      </c>
      <c r="J719">
        <v>13</v>
      </c>
      <c r="K719">
        <v>3.8</v>
      </c>
      <c r="L719" s="3">
        <v>4.4000000000000004</v>
      </c>
      <c r="M719" t="s">
        <v>1036</v>
      </c>
      <c r="N719">
        <v>62.8</v>
      </c>
    </row>
    <row r="720" spans="1:14" x14ac:dyDescent="0.3">
      <c r="A720" t="s">
        <v>732</v>
      </c>
      <c r="B720" t="s">
        <v>1016</v>
      </c>
      <c r="C720" t="s">
        <v>1022</v>
      </c>
      <c r="D720">
        <v>23</v>
      </c>
      <c r="E720">
        <v>0</v>
      </c>
      <c r="F720" s="3">
        <v>34539</v>
      </c>
      <c r="G720">
        <v>43</v>
      </c>
      <c r="H720">
        <v>10</v>
      </c>
      <c r="I720">
        <v>11</v>
      </c>
      <c r="J720">
        <v>22</v>
      </c>
      <c r="K720">
        <v>2.5</v>
      </c>
      <c r="L720" s="3">
        <v>6.5</v>
      </c>
      <c r="M720" t="s">
        <v>1035</v>
      </c>
      <c r="N720">
        <v>63.17</v>
      </c>
    </row>
    <row r="721" spans="1:14" x14ac:dyDescent="0.3">
      <c r="A721" t="s">
        <v>733</v>
      </c>
      <c r="B721" t="s">
        <v>1015</v>
      </c>
      <c r="C721" t="s">
        <v>1021</v>
      </c>
      <c r="D721">
        <v>37</v>
      </c>
      <c r="E721">
        <v>2</v>
      </c>
      <c r="F721" s="3">
        <v>31494</v>
      </c>
      <c r="G721">
        <v>53</v>
      </c>
      <c r="H721">
        <v>13</v>
      </c>
      <c r="I721">
        <v>0</v>
      </c>
      <c r="J721">
        <v>33</v>
      </c>
      <c r="K721">
        <v>2.7</v>
      </c>
      <c r="L721" s="3">
        <v>4.3</v>
      </c>
      <c r="M721" t="s">
        <v>1036</v>
      </c>
      <c r="N721">
        <v>55.57</v>
      </c>
    </row>
    <row r="722" spans="1:14" x14ac:dyDescent="0.3">
      <c r="A722" t="s">
        <v>734</v>
      </c>
      <c r="B722" t="s">
        <v>1018</v>
      </c>
      <c r="C722" t="s">
        <v>1032</v>
      </c>
      <c r="D722">
        <v>22</v>
      </c>
      <c r="E722">
        <v>0</v>
      </c>
      <c r="F722" s="3">
        <v>85570</v>
      </c>
      <c r="G722">
        <v>41</v>
      </c>
      <c r="H722">
        <v>15</v>
      </c>
      <c r="I722">
        <v>16</v>
      </c>
      <c r="J722">
        <v>30</v>
      </c>
      <c r="K722">
        <v>3.1</v>
      </c>
      <c r="L722" s="3">
        <v>7.1</v>
      </c>
      <c r="M722" t="s">
        <v>1035</v>
      </c>
      <c r="N722">
        <v>76.900000000000006</v>
      </c>
    </row>
    <row r="723" spans="1:14" x14ac:dyDescent="0.3">
      <c r="A723" t="s">
        <v>735</v>
      </c>
      <c r="B723" t="s">
        <v>1014</v>
      </c>
      <c r="C723" t="s">
        <v>1031</v>
      </c>
      <c r="D723">
        <v>33</v>
      </c>
      <c r="E723">
        <v>5</v>
      </c>
      <c r="F723" s="3">
        <v>89310</v>
      </c>
      <c r="G723">
        <v>47</v>
      </c>
      <c r="H723">
        <v>7</v>
      </c>
      <c r="I723">
        <v>6</v>
      </c>
      <c r="J723">
        <v>32</v>
      </c>
      <c r="K723">
        <v>2.7</v>
      </c>
      <c r="L723" s="3">
        <v>3.8</v>
      </c>
      <c r="M723" t="s">
        <v>1036</v>
      </c>
      <c r="N723">
        <v>42.57</v>
      </c>
    </row>
    <row r="724" spans="1:14" x14ac:dyDescent="0.3">
      <c r="A724" t="s">
        <v>736</v>
      </c>
      <c r="B724" t="s">
        <v>1014</v>
      </c>
      <c r="C724" t="s">
        <v>1019</v>
      </c>
      <c r="D724">
        <v>51</v>
      </c>
      <c r="E724">
        <v>3</v>
      </c>
      <c r="F724" s="3">
        <v>59060</v>
      </c>
      <c r="G724">
        <v>39</v>
      </c>
      <c r="H724">
        <v>8</v>
      </c>
      <c r="I724">
        <v>24</v>
      </c>
      <c r="J724">
        <v>23</v>
      </c>
      <c r="K724">
        <v>4.0999999999999996</v>
      </c>
      <c r="L724" s="3">
        <v>6.9</v>
      </c>
      <c r="M724" t="s">
        <v>1035</v>
      </c>
      <c r="N724">
        <v>67.03</v>
      </c>
    </row>
    <row r="725" spans="1:14" x14ac:dyDescent="0.3">
      <c r="A725" t="s">
        <v>737</v>
      </c>
      <c r="B725" t="s">
        <v>1014</v>
      </c>
      <c r="C725" t="s">
        <v>1031</v>
      </c>
      <c r="D725">
        <v>42</v>
      </c>
      <c r="E725">
        <v>15</v>
      </c>
      <c r="F725" s="3">
        <v>32583</v>
      </c>
      <c r="G725">
        <v>47</v>
      </c>
      <c r="H725">
        <v>5</v>
      </c>
      <c r="I725">
        <v>14</v>
      </c>
      <c r="J725">
        <v>38</v>
      </c>
      <c r="K725">
        <v>4.2</v>
      </c>
      <c r="L725" s="3">
        <v>7.8</v>
      </c>
      <c r="M725" t="s">
        <v>1035</v>
      </c>
      <c r="N725">
        <v>67.73</v>
      </c>
    </row>
    <row r="726" spans="1:14" x14ac:dyDescent="0.3">
      <c r="A726" t="s">
        <v>738</v>
      </c>
      <c r="B726" t="s">
        <v>1018</v>
      </c>
      <c r="C726" t="s">
        <v>1028</v>
      </c>
      <c r="D726">
        <v>48</v>
      </c>
      <c r="E726">
        <v>9</v>
      </c>
      <c r="F726" s="3">
        <v>89550</v>
      </c>
      <c r="G726">
        <v>48</v>
      </c>
      <c r="H726">
        <v>4</v>
      </c>
      <c r="I726">
        <v>2</v>
      </c>
      <c r="J726">
        <v>30</v>
      </c>
      <c r="K726">
        <v>4.8</v>
      </c>
      <c r="L726" s="3">
        <v>5.6</v>
      </c>
      <c r="M726" t="s">
        <v>1036</v>
      </c>
      <c r="N726">
        <v>54.67</v>
      </c>
    </row>
    <row r="727" spans="1:14" x14ac:dyDescent="0.3">
      <c r="A727" t="s">
        <v>739</v>
      </c>
      <c r="B727" t="s">
        <v>1017</v>
      </c>
      <c r="C727" t="s">
        <v>1024</v>
      </c>
      <c r="D727">
        <v>28</v>
      </c>
      <c r="E727">
        <v>6</v>
      </c>
      <c r="F727" s="3">
        <v>53708</v>
      </c>
      <c r="G727">
        <v>51</v>
      </c>
      <c r="H727">
        <v>11</v>
      </c>
      <c r="I727">
        <v>21</v>
      </c>
      <c r="J727">
        <v>5</v>
      </c>
      <c r="K727">
        <v>2.4</v>
      </c>
      <c r="L727" s="3">
        <v>5.8</v>
      </c>
      <c r="M727" t="s">
        <v>1036</v>
      </c>
      <c r="N727">
        <v>60.33</v>
      </c>
    </row>
    <row r="728" spans="1:14" x14ac:dyDescent="0.3">
      <c r="A728" t="s">
        <v>740</v>
      </c>
      <c r="B728" t="s">
        <v>1015</v>
      </c>
      <c r="C728" t="s">
        <v>1029</v>
      </c>
      <c r="D728">
        <v>28</v>
      </c>
      <c r="E728">
        <v>2</v>
      </c>
      <c r="F728" s="3">
        <v>29240</v>
      </c>
      <c r="G728">
        <v>46</v>
      </c>
      <c r="H728">
        <v>4</v>
      </c>
      <c r="I728">
        <v>10</v>
      </c>
      <c r="J728">
        <v>12</v>
      </c>
      <c r="K728">
        <v>3.8</v>
      </c>
      <c r="L728" s="3">
        <v>9.9</v>
      </c>
      <c r="M728" t="s">
        <v>1034</v>
      </c>
      <c r="N728">
        <v>77.47</v>
      </c>
    </row>
    <row r="729" spans="1:14" x14ac:dyDescent="0.3">
      <c r="A729" t="s">
        <v>741</v>
      </c>
      <c r="B729" t="s">
        <v>1018</v>
      </c>
      <c r="C729" t="s">
        <v>1032</v>
      </c>
      <c r="D729">
        <v>49</v>
      </c>
      <c r="E729">
        <v>15</v>
      </c>
      <c r="F729" s="3">
        <v>43252</v>
      </c>
      <c r="G729">
        <v>53</v>
      </c>
      <c r="H729">
        <v>10</v>
      </c>
      <c r="I729">
        <v>8</v>
      </c>
      <c r="J729">
        <v>25</v>
      </c>
      <c r="K729">
        <v>3.1</v>
      </c>
      <c r="L729" s="3">
        <v>7.7</v>
      </c>
      <c r="M729" t="s">
        <v>1035</v>
      </c>
      <c r="N729">
        <v>72.17</v>
      </c>
    </row>
    <row r="730" spans="1:14" x14ac:dyDescent="0.3">
      <c r="A730" t="s">
        <v>742</v>
      </c>
      <c r="B730" t="s">
        <v>1017</v>
      </c>
      <c r="C730" t="s">
        <v>1030</v>
      </c>
      <c r="D730">
        <v>54</v>
      </c>
      <c r="E730">
        <v>8</v>
      </c>
      <c r="F730" s="3">
        <v>34658</v>
      </c>
      <c r="G730">
        <v>49</v>
      </c>
      <c r="H730">
        <v>2</v>
      </c>
      <c r="I730">
        <v>3</v>
      </c>
      <c r="J730">
        <v>16</v>
      </c>
      <c r="K730">
        <v>3.5</v>
      </c>
      <c r="L730" s="3">
        <v>4.5999999999999996</v>
      </c>
      <c r="M730" t="s">
        <v>1036</v>
      </c>
      <c r="N730">
        <v>41.43</v>
      </c>
    </row>
    <row r="731" spans="1:14" x14ac:dyDescent="0.3">
      <c r="A731" t="s">
        <v>743</v>
      </c>
      <c r="B731" t="s">
        <v>1014</v>
      </c>
      <c r="C731" t="s">
        <v>1025</v>
      </c>
      <c r="D731">
        <v>28</v>
      </c>
      <c r="E731">
        <v>0</v>
      </c>
      <c r="F731" s="3">
        <v>79415</v>
      </c>
      <c r="G731">
        <v>37</v>
      </c>
      <c r="H731">
        <v>8</v>
      </c>
      <c r="I731">
        <v>21</v>
      </c>
      <c r="J731">
        <v>1</v>
      </c>
      <c r="K731">
        <v>4.9000000000000004</v>
      </c>
      <c r="L731" s="3">
        <v>5.7</v>
      </c>
      <c r="M731" t="s">
        <v>1036</v>
      </c>
      <c r="N731">
        <v>62.23</v>
      </c>
    </row>
    <row r="732" spans="1:14" x14ac:dyDescent="0.3">
      <c r="A732" t="s">
        <v>744</v>
      </c>
      <c r="B732" t="s">
        <v>1016</v>
      </c>
      <c r="C732" t="s">
        <v>1033</v>
      </c>
      <c r="D732">
        <v>31</v>
      </c>
      <c r="E732">
        <v>4</v>
      </c>
      <c r="F732" s="3">
        <v>65761</v>
      </c>
      <c r="G732">
        <v>54</v>
      </c>
      <c r="H732">
        <v>2</v>
      </c>
      <c r="I732">
        <v>24</v>
      </c>
      <c r="J732">
        <v>4</v>
      </c>
      <c r="K732">
        <v>4</v>
      </c>
      <c r="L732" s="3">
        <v>6.6</v>
      </c>
      <c r="M732" t="s">
        <v>1035</v>
      </c>
      <c r="N732">
        <v>54.93</v>
      </c>
    </row>
    <row r="733" spans="1:14" x14ac:dyDescent="0.3">
      <c r="A733" t="s">
        <v>745</v>
      </c>
      <c r="B733" t="s">
        <v>1017</v>
      </c>
      <c r="C733" t="s">
        <v>1024</v>
      </c>
      <c r="D733">
        <v>34</v>
      </c>
      <c r="E733">
        <v>4</v>
      </c>
      <c r="F733" s="3">
        <v>68390</v>
      </c>
      <c r="G733">
        <v>50</v>
      </c>
      <c r="H733">
        <v>8</v>
      </c>
      <c r="I733">
        <v>16</v>
      </c>
      <c r="J733">
        <v>16</v>
      </c>
      <c r="K733">
        <v>3.6</v>
      </c>
      <c r="L733" s="3">
        <v>8.6999999999999993</v>
      </c>
      <c r="M733" t="s">
        <v>1034</v>
      </c>
      <c r="N733">
        <v>76.33</v>
      </c>
    </row>
    <row r="734" spans="1:14" x14ac:dyDescent="0.3">
      <c r="A734" t="s">
        <v>746</v>
      </c>
      <c r="B734" t="s">
        <v>1015</v>
      </c>
      <c r="C734" t="s">
        <v>1021</v>
      </c>
      <c r="D734">
        <v>23</v>
      </c>
      <c r="E734">
        <v>0</v>
      </c>
      <c r="F734" s="3">
        <v>89927</v>
      </c>
      <c r="G734">
        <v>48</v>
      </c>
      <c r="H734">
        <v>15</v>
      </c>
      <c r="I734">
        <v>3</v>
      </c>
      <c r="J734">
        <v>24</v>
      </c>
      <c r="K734">
        <v>3.4</v>
      </c>
      <c r="L734" s="3">
        <v>9</v>
      </c>
      <c r="M734" t="s">
        <v>1034</v>
      </c>
      <c r="N734">
        <v>89.2</v>
      </c>
    </row>
    <row r="735" spans="1:14" x14ac:dyDescent="0.3">
      <c r="A735" t="s">
        <v>747</v>
      </c>
      <c r="B735" t="s">
        <v>1017</v>
      </c>
      <c r="C735" t="s">
        <v>1026</v>
      </c>
      <c r="D735">
        <v>24</v>
      </c>
      <c r="E735">
        <v>0</v>
      </c>
      <c r="F735" s="3">
        <v>36591</v>
      </c>
      <c r="G735">
        <v>52</v>
      </c>
      <c r="H735">
        <v>11</v>
      </c>
      <c r="I735">
        <v>24</v>
      </c>
      <c r="J735">
        <v>19</v>
      </c>
      <c r="K735">
        <v>4.7</v>
      </c>
      <c r="L735" s="3">
        <v>4.0999999999999996</v>
      </c>
      <c r="M735" t="s">
        <v>1036</v>
      </c>
      <c r="N735">
        <v>57.03</v>
      </c>
    </row>
    <row r="736" spans="1:14" x14ac:dyDescent="0.3">
      <c r="A736" t="s">
        <v>748</v>
      </c>
      <c r="B736" t="s">
        <v>1018</v>
      </c>
      <c r="C736" t="s">
        <v>1027</v>
      </c>
      <c r="D736">
        <v>41</v>
      </c>
      <c r="E736">
        <v>12</v>
      </c>
      <c r="F736" s="3">
        <v>56945</v>
      </c>
      <c r="G736">
        <v>38</v>
      </c>
      <c r="H736">
        <v>10</v>
      </c>
      <c r="I736">
        <v>21</v>
      </c>
      <c r="J736">
        <v>31</v>
      </c>
      <c r="K736">
        <v>4</v>
      </c>
      <c r="L736" s="3">
        <v>7.8</v>
      </c>
      <c r="M736" t="s">
        <v>1035</v>
      </c>
      <c r="N736">
        <v>75.47</v>
      </c>
    </row>
    <row r="737" spans="1:14" x14ac:dyDescent="0.3">
      <c r="A737" t="s">
        <v>749</v>
      </c>
      <c r="B737" t="s">
        <v>1017</v>
      </c>
      <c r="C737" t="s">
        <v>1024</v>
      </c>
      <c r="D737">
        <v>52</v>
      </c>
      <c r="E737">
        <v>5</v>
      </c>
      <c r="F737" s="3">
        <v>58206</v>
      </c>
      <c r="G737">
        <v>36</v>
      </c>
      <c r="H737">
        <v>7</v>
      </c>
      <c r="I737">
        <v>8</v>
      </c>
      <c r="J737">
        <v>31</v>
      </c>
      <c r="K737">
        <v>3.8</v>
      </c>
      <c r="L737" s="3">
        <v>5.6</v>
      </c>
      <c r="M737" t="s">
        <v>1036</v>
      </c>
      <c r="N737">
        <v>56.67</v>
      </c>
    </row>
    <row r="738" spans="1:14" x14ac:dyDescent="0.3">
      <c r="A738" t="s">
        <v>750</v>
      </c>
      <c r="B738" t="s">
        <v>1016</v>
      </c>
      <c r="C738" t="s">
        <v>1022</v>
      </c>
      <c r="D738">
        <v>40</v>
      </c>
      <c r="E738">
        <v>10</v>
      </c>
      <c r="F738" s="3">
        <v>29025</v>
      </c>
      <c r="G738">
        <v>35</v>
      </c>
      <c r="H738">
        <v>10</v>
      </c>
      <c r="I738">
        <v>1</v>
      </c>
      <c r="J738">
        <v>8</v>
      </c>
      <c r="K738">
        <v>4.5</v>
      </c>
      <c r="L738" s="3">
        <v>5.4</v>
      </c>
      <c r="M738" t="s">
        <v>1036</v>
      </c>
      <c r="N738">
        <v>62.57</v>
      </c>
    </row>
    <row r="739" spans="1:14" x14ac:dyDescent="0.3">
      <c r="A739" t="s">
        <v>751</v>
      </c>
      <c r="B739" t="s">
        <v>1015</v>
      </c>
      <c r="C739" t="s">
        <v>1029</v>
      </c>
      <c r="D739">
        <v>23</v>
      </c>
      <c r="E739">
        <v>2</v>
      </c>
      <c r="F739" s="3">
        <v>47364</v>
      </c>
      <c r="G739">
        <v>47</v>
      </c>
      <c r="H739">
        <v>2</v>
      </c>
      <c r="I739">
        <v>13</v>
      </c>
      <c r="J739">
        <v>22</v>
      </c>
      <c r="K739">
        <v>5</v>
      </c>
      <c r="L739" s="3">
        <v>5.9</v>
      </c>
      <c r="M739" t="s">
        <v>1036</v>
      </c>
      <c r="N739">
        <v>53.73</v>
      </c>
    </row>
    <row r="740" spans="1:14" x14ac:dyDescent="0.3">
      <c r="A740" t="s">
        <v>752</v>
      </c>
      <c r="B740" t="s">
        <v>1018</v>
      </c>
      <c r="C740" t="s">
        <v>1028</v>
      </c>
      <c r="D740">
        <v>37</v>
      </c>
      <c r="E740">
        <v>7</v>
      </c>
      <c r="F740" s="3">
        <v>67472</v>
      </c>
      <c r="G740">
        <v>44</v>
      </c>
      <c r="H740">
        <v>10</v>
      </c>
      <c r="I740">
        <v>2</v>
      </c>
      <c r="J740">
        <v>4</v>
      </c>
      <c r="K740">
        <v>4.5999999999999996</v>
      </c>
      <c r="L740" s="3">
        <v>3.8</v>
      </c>
      <c r="M740" t="s">
        <v>1036</v>
      </c>
      <c r="N740">
        <v>53.27</v>
      </c>
    </row>
    <row r="741" spans="1:14" x14ac:dyDescent="0.3">
      <c r="A741" t="s">
        <v>753</v>
      </c>
      <c r="B741" t="s">
        <v>1014</v>
      </c>
      <c r="C741" t="s">
        <v>1025</v>
      </c>
      <c r="D741">
        <v>42</v>
      </c>
      <c r="E741">
        <v>1</v>
      </c>
      <c r="F741" s="3">
        <v>55206</v>
      </c>
      <c r="G741">
        <v>48</v>
      </c>
      <c r="H741">
        <v>10</v>
      </c>
      <c r="I741">
        <v>16</v>
      </c>
      <c r="J741">
        <v>26</v>
      </c>
      <c r="K741">
        <v>2.8</v>
      </c>
      <c r="L741" s="3">
        <v>7.9</v>
      </c>
      <c r="M741" t="s">
        <v>1035</v>
      </c>
      <c r="N741">
        <v>72.47</v>
      </c>
    </row>
    <row r="742" spans="1:14" x14ac:dyDescent="0.3">
      <c r="A742" t="s">
        <v>754</v>
      </c>
      <c r="B742" t="s">
        <v>1014</v>
      </c>
      <c r="C742" t="s">
        <v>1025</v>
      </c>
      <c r="D742">
        <v>42</v>
      </c>
      <c r="E742">
        <v>12</v>
      </c>
      <c r="F742" s="3">
        <v>62378</v>
      </c>
      <c r="G742">
        <v>47</v>
      </c>
      <c r="H742">
        <v>6</v>
      </c>
      <c r="I742">
        <v>18</v>
      </c>
      <c r="J742">
        <v>6</v>
      </c>
      <c r="K742">
        <v>4.4000000000000004</v>
      </c>
      <c r="L742" s="3">
        <v>3.7</v>
      </c>
      <c r="M742" t="s">
        <v>1036</v>
      </c>
      <c r="N742">
        <v>45.4</v>
      </c>
    </row>
    <row r="743" spans="1:14" x14ac:dyDescent="0.3">
      <c r="A743" t="s">
        <v>755</v>
      </c>
      <c r="B743" t="s">
        <v>1018</v>
      </c>
      <c r="C743" t="s">
        <v>1032</v>
      </c>
      <c r="D743">
        <v>43</v>
      </c>
      <c r="E743">
        <v>15</v>
      </c>
      <c r="F743" s="3">
        <v>57949</v>
      </c>
      <c r="G743">
        <v>45</v>
      </c>
      <c r="H743">
        <v>3</v>
      </c>
      <c r="I743">
        <v>19</v>
      </c>
      <c r="J743">
        <v>19</v>
      </c>
      <c r="K743">
        <v>3.1</v>
      </c>
      <c r="L743" s="3">
        <v>6.1</v>
      </c>
      <c r="M743" t="s">
        <v>1035</v>
      </c>
      <c r="N743">
        <v>50.9</v>
      </c>
    </row>
    <row r="744" spans="1:14" x14ac:dyDescent="0.3">
      <c r="A744" t="s">
        <v>756</v>
      </c>
      <c r="B744" t="s">
        <v>1014</v>
      </c>
      <c r="C744" t="s">
        <v>1019</v>
      </c>
      <c r="D744">
        <v>35</v>
      </c>
      <c r="E744">
        <v>4</v>
      </c>
      <c r="F744" s="3">
        <v>42377</v>
      </c>
      <c r="G744">
        <v>36</v>
      </c>
      <c r="H744">
        <v>5</v>
      </c>
      <c r="I744">
        <v>18</v>
      </c>
      <c r="J744">
        <v>25</v>
      </c>
      <c r="K744">
        <v>4.4000000000000004</v>
      </c>
      <c r="L744" s="3">
        <v>7.4</v>
      </c>
      <c r="M744" t="s">
        <v>1035</v>
      </c>
      <c r="N744">
        <v>65.930000000000007</v>
      </c>
    </row>
    <row r="745" spans="1:14" x14ac:dyDescent="0.3">
      <c r="A745" t="s">
        <v>757</v>
      </c>
      <c r="B745" t="s">
        <v>1015</v>
      </c>
      <c r="C745" t="s">
        <v>1029</v>
      </c>
      <c r="D745">
        <v>28</v>
      </c>
      <c r="E745">
        <v>5</v>
      </c>
      <c r="F745" s="3">
        <v>42915</v>
      </c>
      <c r="G745">
        <v>37</v>
      </c>
      <c r="H745">
        <v>10</v>
      </c>
      <c r="I745">
        <v>25</v>
      </c>
      <c r="J745">
        <v>33</v>
      </c>
      <c r="K745">
        <v>3.4</v>
      </c>
      <c r="L745" s="3">
        <v>4.5</v>
      </c>
      <c r="M745" t="s">
        <v>1036</v>
      </c>
      <c r="N745">
        <v>53.87</v>
      </c>
    </row>
    <row r="746" spans="1:14" x14ac:dyDescent="0.3">
      <c r="A746" t="s">
        <v>758</v>
      </c>
      <c r="B746" t="s">
        <v>1016</v>
      </c>
      <c r="C746" t="s">
        <v>1033</v>
      </c>
      <c r="D746">
        <v>54</v>
      </c>
      <c r="E746">
        <v>9</v>
      </c>
      <c r="F746" s="3">
        <v>53371</v>
      </c>
      <c r="G746">
        <v>52</v>
      </c>
      <c r="H746">
        <v>6</v>
      </c>
      <c r="I746">
        <v>6</v>
      </c>
      <c r="J746">
        <v>26</v>
      </c>
      <c r="K746">
        <v>3.2</v>
      </c>
      <c r="L746" s="3">
        <v>7.4</v>
      </c>
      <c r="M746" t="s">
        <v>1035</v>
      </c>
      <c r="N746">
        <v>64</v>
      </c>
    </row>
    <row r="747" spans="1:14" x14ac:dyDescent="0.3">
      <c r="A747" t="s">
        <v>759</v>
      </c>
      <c r="B747" t="s">
        <v>1015</v>
      </c>
      <c r="C747" t="s">
        <v>1020</v>
      </c>
      <c r="D747">
        <v>33</v>
      </c>
      <c r="E747">
        <v>0</v>
      </c>
      <c r="F747" s="3">
        <v>66146</v>
      </c>
      <c r="G747">
        <v>51</v>
      </c>
      <c r="H747">
        <v>14</v>
      </c>
      <c r="I747">
        <v>5</v>
      </c>
      <c r="J747">
        <v>36</v>
      </c>
      <c r="K747">
        <v>3.5</v>
      </c>
      <c r="L747" s="3">
        <v>7.6</v>
      </c>
      <c r="M747" t="s">
        <v>1035</v>
      </c>
      <c r="N747">
        <v>79.430000000000007</v>
      </c>
    </row>
    <row r="748" spans="1:14" x14ac:dyDescent="0.3">
      <c r="A748" t="s">
        <v>760</v>
      </c>
      <c r="B748" t="s">
        <v>1017</v>
      </c>
      <c r="C748" t="s">
        <v>1030</v>
      </c>
      <c r="D748">
        <v>39</v>
      </c>
      <c r="E748">
        <v>13</v>
      </c>
      <c r="F748" s="3">
        <v>86252</v>
      </c>
      <c r="G748">
        <v>53</v>
      </c>
      <c r="H748">
        <v>12</v>
      </c>
      <c r="I748">
        <v>20</v>
      </c>
      <c r="J748">
        <v>3</v>
      </c>
      <c r="K748">
        <v>3.6</v>
      </c>
      <c r="L748" s="3">
        <v>5.5</v>
      </c>
      <c r="M748" t="s">
        <v>1036</v>
      </c>
      <c r="N748">
        <v>63.8</v>
      </c>
    </row>
    <row r="749" spans="1:14" x14ac:dyDescent="0.3">
      <c r="A749" t="s">
        <v>761</v>
      </c>
      <c r="B749" t="s">
        <v>1018</v>
      </c>
      <c r="C749" t="s">
        <v>1028</v>
      </c>
      <c r="D749">
        <v>31</v>
      </c>
      <c r="E749">
        <v>10</v>
      </c>
      <c r="F749" s="3">
        <v>75169</v>
      </c>
      <c r="G749">
        <v>44</v>
      </c>
      <c r="H749">
        <v>14</v>
      </c>
      <c r="I749">
        <v>13</v>
      </c>
      <c r="J749">
        <v>26</v>
      </c>
      <c r="K749">
        <v>3</v>
      </c>
      <c r="L749" s="3">
        <v>8.8000000000000007</v>
      </c>
      <c r="M749" t="s">
        <v>1034</v>
      </c>
      <c r="N749">
        <v>85.13</v>
      </c>
    </row>
    <row r="750" spans="1:14" x14ac:dyDescent="0.3">
      <c r="A750" t="s">
        <v>762</v>
      </c>
      <c r="B750" t="s">
        <v>1018</v>
      </c>
      <c r="C750" t="s">
        <v>1028</v>
      </c>
      <c r="D750">
        <v>48</v>
      </c>
      <c r="E750">
        <v>8</v>
      </c>
      <c r="F750" s="3">
        <v>78982</v>
      </c>
      <c r="G750">
        <v>44</v>
      </c>
      <c r="H750">
        <v>11</v>
      </c>
      <c r="I750">
        <v>5</v>
      </c>
      <c r="J750">
        <v>16</v>
      </c>
      <c r="K750">
        <v>4.0999999999999996</v>
      </c>
      <c r="L750" s="3">
        <v>4.7</v>
      </c>
      <c r="M750" t="s">
        <v>1036</v>
      </c>
      <c r="N750">
        <v>58.83</v>
      </c>
    </row>
    <row r="751" spans="1:14" x14ac:dyDescent="0.3">
      <c r="A751" t="s">
        <v>763</v>
      </c>
      <c r="B751" t="s">
        <v>1014</v>
      </c>
      <c r="C751" t="s">
        <v>1031</v>
      </c>
      <c r="D751">
        <v>31</v>
      </c>
      <c r="E751">
        <v>3</v>
      </c>
      <c r="F751" s="3">
        <v>26815</v>
      </c>
      <c r="G751">
        <v>42</v>
      </c>
      <c r="H751">
        <v>13</v>
      </c>
      <c r="I751">
        <v>9</v>
      </c>
      <c r="J751">
        <v>29</v>
      </c>
      <c r="K751">
        <v>3.5</v>
      </c>
      <c r="L751" s="3">
        <v>9.9</v>
      </c>
      <c r="M751" t="s">
        <v>1034</v>
      </c>
      <c r="N751">
        <v>91.57</v>
      </c>
    </row>
    <row r="752" spans="1:14" x14ac:dyDescent="0.3">
      <c r="A752" t="s">
        <v>764</v>
      </c>
      <c r="B752" t="s">
        <v>1014</v>
      </c>
      <c r="C752" t="s">
        <v>1019</v>
      </c>
      <c r="D752">
        <v>34</v>
      </c>
      <c r="E752">
        <v>2</v>
      </c>
      <c r="F752" s="3">
        <v>42872</v>
      </c>
      <c r="G752">
        <v>39</v>
      </c>
      <c r="H752">
        <v>1</v>
      </c>
      <c r="I752">
        <v>8</v>
      </c>
      <c r="J752">
        <v>17</v>
      </c>
      <c r="K752">
        <v>4</v>
      </c>
      <c r="L752" s="3">
        <v>4.2</v>
      </c>
      <c r="M752" t="s">
        <v>1036</v>
      </c>
      <c r="N752">
        <v>38.869999999999997</v>
      </c>
    </row>
    <row r="753" spans="1:14" x14ac:dyDescent="0.3">
      <c r="A753" t="s">
        <v>765</v>
      </c>
      <c r="B753" t="s">
        <v>1017</v>
      </c>
      <c r="C753" t="s">
        <v>1026</v>
      </c>
      <c r="D753">
        <v>23</v>
      </c>
      <c r="E753">
        <v>0</v>
      </c>
      <c r="F753" s="3">
        <v>81333</v>
      </c>
      <c r="G753">
        <v>37</v>
      </c>
      <c r="H753">
        <v>6</v>
      </c>
      <c r="I753">
        <v>19</v>
      </c>
      <c r="J753">
        <v>19</v>
      </c>
      <c r="K753">
        <v>4.5999999999999996</v>
      </c>
      <c r="L753" s="3">
        <v>9.3000000000000007</v>
      </c>
      <c r="M753" t="s">
        <v>1034</v>
      </c>
      <c r="N753">
        <v>79.599999999999994</v>
      </c>
    </row>
    <row r="754" spans="1:14" x14ac:dyDescent="0.3">
      <c r="A754" t="s">
        <v>766</v>
      </c>
      <c r="B754" t="s">
        <v>1016</v>
      </c>
      <c r="C754" t="s">
        <v>1022</v>
      </c>
      <c r="D754">
        <v>27</v>
      </c>
      <c r="E754">
        <v>3</v>
      </c>
      <c r="F754" s="3">
        <v>86811</v>
      </c>
      <c r="G754">
        <v>39</v>
      </c>
      <c r="H754">
        <v>4</v>
      </c>
      <c r="I754">
        <v>3</v>
      </c>
      <c r="J754">
        <v>36</v>
      </c>
      <c r="K754">
        <v>4.2</v>
      </c>
      <c r="L754" s="3">
        <v>9.5</v>
      </c>
      <c r="M754" t="s">
        <v>1034</v>
      </c>
      <c r="N754">
        <v>76.27</v>
      </c>
    </row>
    <row r="755" spans="1:14" x14ac:dyDescent="0.3">
      <c r="A755" t="s">
        <v>767</v>
      </c>
      <c r="B755" t="s">
        <v>1015</v>
      </c>
      <c r="C755" t="s">
        <v>1020</v>
      </c>
      <c r="D755">
        <v>55</v>
      </c>
      <c r="E755">
        <v>8</v>
      </c>
      <c r="F755" s="3">
        <v>57535</v>
      </c>
      <c r="G755">
        <v>37</v>
      </c>
      <c r="H755">
        <v>4</v>
      </c>
      <c r="I755">
        <v>19</v>
      </c>
      <c r="J755">
        <v>7</v>
      </c>
      <c r="K755">
        <v>4.3</v>
      </c>
      <c r="L755" s="3">
        <v>5.2</v>
      </c>
      <c r="M755" t="s">
        <v>1036</v>
      </c>
      <c r="N755">
        <v>50.77</v>
      </c>
    </row>
    <row r="756" spans="1:14" x14ac:dyDescent="0.3">
      <c r="A756" t="s">
        <v>768</v>
      </c>
      <c r="B756" t="s">
        <v>1017</v>
      </c>
      <c r="C756" t="s">
        <v>1026</v>
      </c>
      <c r="D756">
        <v>37</v>
      </c>
      <c r="E756">
        <v>13</v>
      </c>
      <c r="F756" s="3">
        <v>39287</v>
      </c>
      <c r="G756">
        <v>39</v>
      </c>
      <c r="H756">
        <v>2</v>
      </c>
      <c r="I756">
        <v>5</v>
      </c>
      <c r="J756">
        <v>13</v>
      </c>
      <c r="K756">
        <v>4.9000000000000004</v>
      </c>
      <c r="L756" s="3">
        <v>6.1</v>
      </c>
      <c r="M756" t="s">
        <v>1035</v>
      </c>
      <c r="N756">
        <v>54.63</v>
      </c>
    </row>
    <row r="757" spans="1:14" x14ac:dyDescent="0.3">
      <c r="A757" t="s">
        <v>769</v>
      </c>
      <c r="B757" t="s">
        <v>1015</v>
      </c>
      <c r="C757" t="s">
        <v>1029</v>
      </c>
      <c r="D757">
        <v>25</v>
      </c>
      <c r="E757">
        <v>3</v>
      </c>
      <c r="F757" s="3">
        <v>59961</v>
      </c>
      <c r="G757">
        <v>46</v>
      </c>
      <c r="H757">
        <v>12</v>
      </c>
      <c r="I757">
        <v>3</v>
      </c>
      <c r="J757">
        <v>20</v>
      </c>
      <c r="K757">
        <v>3.6</v>
      </c>
      <c r="L757" s="3">
        <v>6.3</v>
      </c>
      <c r="M757" t="s">
        <v>1035</v>
      </c>
      <c r="N757">
        <v>68.599999999999994</v>
      </c>
    </row>
    <row r="758" spans="1:14" x14ac:dyDescent="0.3">
      <c r="A758" t="s">
        <v>770</v>
      </c>
      <c r="B758" t="s">
        <v>1016</v>
      </c>
      <c r="C758" t="s">
        <v>1023</v>
      </c>
      <c r="D758">
        <v>31</v>
      </c>
      <c r="E758">
        <v>5</v>
      </c>
      <c r="F758" s="3">
        <v>56144</v>
      </c>
      <c r="G758">
        <v>46</v>
      </c>
      <c r="H758">
        <v>14</v>
      </c>
      <c r="I758">
        <v>9</v>
      </c>
      <c r="J758">
        <v>1</v>
      </c>
      <c r="K758">
        <v>3.9</v>
      </c>
      <c r="L758" s="3">
        <v>9.3000000000000007</v>
      </c>
      <c r="M758" t="s">
        <v>1034</v>
      </c>
      <c r="N758">
        <v>90.83</v>
      </c>
    </row>
    <row r="759" spans="1:14" x14ac:dyDescent="0.3">
      <c r="A759" t="s">
        <v>771</v>
      </c>
      <c r="B759" t="s">
        <v>1014</v>
      </c>
      <c r="C759" t="s">
        <v>1025</v>
      </c>
      <c r="D759">
        <v>37</v>
      </c>
      <c r="E759">
        <v>8</v>
      </c>
      <c r="F759" s="3">
        <v>61223</v>
      </c>
      <c r="G759">
        <v>47</v>
      </c>
      <c r="H759">
        <v>5</v>
      </c>
      <c r="I759">
        <v>20</v>
      </c>
      <c r="J759">
        <v>23</v>
      </c>
      <c r="K759">
        <v>4.7</v>
      </c>
      <c r="L759" s="3">
        <v>7.8</v>
      </c>
      <c r="M759" t="s">
        <v>1035</v>
      </c>
      <c r="N759">
        <v>69.23</v>
      </c>
    </row>
    <row r="760" spans="1:14" x14ac:dyDescent="0.3">
      <c r="A760" t="s">
        <v>772</v>
      </c>
      <c r="B760" t="s">
        <v>1018</v>
      </c>
      <c r="C760" t="s">
        <v>1028</v>
      </c>
      <c r="D760">
        <v>50</v>
      </c>
      <c r="E760">
        <v>12</v>
      </c>
      <c r="F760" s="3">
        <v>25515</v>
      </c>
      <c r="G760">
        <v>47</v>
      </c>
      <c r="H760">
        <v>15</v>
      </c>
      <c r="I760">
        <v>8</v>
      </c>
      <c r="J760">
        <v>19</v>
      </c>
      <c r="K760">
        <v>2.2999999999999998</v>
      </c>
      <c r="L760" s="3">
        <v>8.8000000000000007</v>
      </c>
      <c r="M760" t="s">
        <v>1034</v>
      </c>
      <c r="N760">
        <v>84.7</v>
      </c>
    </row>
    <row r="761" spans="1:14" x14ac:dyDescent="0.3">
      <c r="A761" t="s">
        <v>773</v>
      </c>
      <c r="B761" t="s">
        <v>1016</v>
      </c>
      <c r="C761" t="s">
        <v>1022</v>
      </c>
      <c r="D761">
        <v>35</v>
      </c>
      <c r="E761">
        <v>13</v>
      </c>
      <c r="F761" s="3">
        <v>83343</v>
      </c>
      <c r="G761">
        <v>40</v>
      </c>
      <c r="H761">
        <v>15</v>
      </c>
      <c r="I761">
        <v>14</v>
      </c>
      <c r="J761">
        <v>40</v>
      </c>
      <c r="K761">
        <v>3</v>
      </c>
      <c r="L761" s="3">
        <v>8.6999999999999993</v>
      </c>
      <c r="M761" t="s">
        <v>1034</v>
      </c>
      <c r="N761">
        <v>86.2</v>
      </c>
    </row>
    <row r="762" spans="1:14" x14ac:dyDescent="0.3">
      <c r="A762" t="s">
        <v>774</v>
      </c>
      <c r="B762" t="s">
        <v>1017</v>
      </c>
      <c r="C762" t="s">
        <v>1026</v>
      </c>
      <c r="D762">
        <v>24</v>
      </c>
      <c r="E762">
        <v>2</v>
      </c>
      <c r="F762" s="3">
        <v>81783</v>
      </c>
      <c r="G762">
        <v>37</v>
      </c>
      <c r="H762">
        <v>14</v>
      </c>
      <c r="I762">
        <v>24</v>
      </c>
      <c r="J762">
        <v>31</v>
      </c>
      <c r="K762">
        <v>3.4</v>
      </c>
      <c r="L762" s="3">
        <v>5.9</v>
      </c>
      <c r="M762" t="s">
        <v>1036</v>
      </c>
      <c r="N762">
        <v>68.930000000000007</v>
      </c>
    </row>
    <row r="763" spans="1:14" x14ac:dyDescent="0.3">
      <c r="A763" t="s">
        <v>775</v>
      </c>
      <c r="B763" t="s">
        <v>1017</v>
      </c>
      <c r="C763" t="s">
        <v>1024</v>
      </c>
      <c r="D763">
        <v>28</v>
      </c>
      <c r="E763">
        <v>2</v>
      </c>
      <c r="F763" s="3">
        <v>70775</v>
      </c>
      <c r="G763">
        <v>43</v>
      </c>
      <c r="H763">
        <v>9</v>
      </c>
      <c r="I763">
        <v>2</v>
      </c>
      <c r="J763">
        <v>22</v>
      </c>
      <c r="K763">
        <v>3.3</v>
      </c>
      <c r="L763" s="3">
        <v>8.1</v>
      </c>
      <c r="M763" t="s">
        <v>1034</v>
      </c>
      <c r="N763">
        <v>73.5</v>
      </c>
    </row>
    <row r="764" spans="1:14" x14ac:dyDescent="0.3">
      <c r="A764" t="s">
        <v>776</v>
      </c>
      <c r="B764" t="s">
        <v>1016</v>
      </c>
      <c r="C764" t="s">
        <v>1023</v>
      </c>
      <c r="D764">
        <v>51</v>
      </c>
      <c r="E764">
        <v>0</v>
      </c>
      <c r="F764" s="3">
        <v>74936</v>
      </c>
      <c r="G764">
        <v>36</v>
      </c>
      <c r="H764">
        <v>11</v>
      </c>
      <c r="I764">
        <v>20</v>
      </c>
      <c r="J764">
        <v>11</v>
      </c>
      <c r="K764">
        <v>3.9</v>
      </c>
      <c r="L764" s="3">
        <v>8.5</v>
      </c>
      <c r="M764" t="s">
        <v>1034</v>
      </c>
      <c r="N764">
        <v>81.03</v>
      </c>
    </row>
    <row r="765" spans="1:14" x14ac:dyDescent="0.3">
      <c r="A765" t="s">
        <v>777</v>
      </c>
      <c r="B765" t="s">
        <v>1014</v>
      </c>
      <c r="C765" t="s">
        <v>1025</v>
      </c>
      <c r="D765">
        <v>47</v>
      </c>
      <c r="E765">
        <v>6</v>
      </c>
      <c r="F765" s="3">
        <v>66176</v>
      </c>
      <c r="G765">
        <v>44</v>
      </c>
      <c r="H765">
        <v>6</v>
      </c>
      <c r="I765">
        <v>18</v>
      </c>
      <c r="J765">
        <v>5</v>
      </c>
      <c r="K765">
        <v>2.2999999999999998</v>
      </c>
      <c r="L765" s="3">
        <v>4.7</v>
      </c>
      <c r="M765" t="s">
        <v>1036</v>
      </c>
      <c r="N765">
        <v>45.1</v>
      </c>
    </row>
    <row r="766" spans="1:14" x14ac:dyDescent="0.3">
      <c r="A766" t="s">
        <v>778</v>
      </c>
      <c r="B766" t="s">
        <v>1018</v>
      </c>
      <c r="C766" t="s">
        <v>1032</v>
      </c>
      <c r="D766">
        <v>48</v>
      </c>
      <c r="E766">
        <v>10</v>
      </c>
      <c r="F766" s="3">
        <v>54588</v>
      </c>
      <c r="G766">
        <v>50</v>
      </c>
      <c r="H766">
        <v>14</v>
      </c>
      <c r="I766">
        <v>23</v>
      </c>
      <c r="J766">
        <v>8</v>
      </c>
      <c r="K766">
        <v>2.8</v>
      </c>
      <c r="L766" s="3">
        <v>7.8</v>
      </c>
      <c r="M766" t="s">
        <v>1035</v>
      </c>
      <c r="N766">
        <v>78.53</v>
      </c>
    </row>
    <row r="767" spans="1:14" x14ac:dyDescent="0.3">
      <c r="A767" t="s">
        <v>779</v>
      </c>
      <c r="B767" t="s">
        <v>1016</v>
      </c>
      <c r="C767" t="s">
        <v>1023</v>
      </c>
      <c r="D767">
        <v>34</v>
      </c>
      <c r="E767">
        <v>1</v>
      </c>
      <c r="F767" s="3">
        <v>52164</v>
      </c>
      <c r="G767">
        <v>46</v>
      </c>
      <c r="H767">
        <v>3</v>
      </c>
      <c r="I767">
        <v>12</v>
      </c>
      <c r="J767">
        <v>24</v>
      </c>
      <c r="K767">
        <v>4.8</v>
      </c>
      <c r="L767" s="3">
        <v>9.1999999999999993</v>
      </c>
      <c r="M767" t="s">
        <v>1034</v>
      </c>
      <c r="N767">
        <v>74.599999999999994</v>
      </c>
    </row>
    <row r="768" spans="1:14" x14ac:dyDescent="0.3">
      <c r="A768" t="s">
        <v>780</v>
      </c>
      <c r="B768" t="s">
        <v>1014</v>
      </c>
      <c r="C768" t="s">
        <v>1025</v>
      </c>
      <c r="D768">
        <v>23</v>
      </c>
      <c r="E768">
        <v>2</v>
      </c>
      <c r="F768" s="3">
        <v>67408</v>
      </c>
      <c r="G768">
        <v>54</v>
      </c>
      <c r="H768">
        <v>11</v>
      </c>
      <c r="I768">
        <v>7</v>
      </c>
      <c r="J768">
        <v>5</v>
      </c>
      <c r="K768">
        <v>4.9000000000000004</v>
      </c>
      <c r="L768" s="3">
        <v>4.4000000000000004</v>
      </c>
      <c r="M768" t="s">
        <v>1036</v>
      </c>
      <c r="N768">
        <v>59.43</v>
      </c>
    </row>
    <row r="769" spans="1:14" x14ac:dyDescent="0.3">
      <c r="A769" t="s">
        <v>781</v>
      </c>
      <c r="B769" t="s">
        <v>1018</v>
      </c>
      <c r="C769" t="s">
        <v>1027</v>
      </c>
      <c r="D769">
        <v>25</v>
      </c>
      <c r="E769">
        <v>3</v>
      </c>
      <c r="F769" s="3">
        <v>65501</v>
      </c>
      <c r="G769">
        <v>48</v>
      </c>
      <c r="H769">
        <v>10</v>
      </c>
      <c r="I769">
        <v>8</v>
      </c>
      <c r="J769">
        <v>9</v>
      </c>
      <c r="K769">
        <v>2.2999999999999998</v>
      </c>
      <c r="L769" s="3">
        <v>5.6</v>
      </c>
      <c r="M769" t="s">
        <v>1036</v>
      </c>
      <c r="N769">
        <v>57.17</v>
      </c>
    </row>
    <row r="770" spans="1:14" x14ac:dyDescent="0.3">
      <c r="A770" t="s">
        <v>782</v>
      </c>
      <c r="B770" t="s">
        <v>1014</v>
      </c>
      <c r="C770" t="s">
        <v>1019</v>
      </c>
      <c r="D770">
        <v>22</v>
      </c>
      <c r="E770">
        <v>1</v>
      </c>
      <c r="F770" s="3">
        <v>75682</v>
      </c>
      <c r="G770">
        <v>49</v>
      </c>
      <c r="H770">
        <v>14</v>
      </c>
      <c r="I770">
        <v>21</v>
      </c>
      <c r="J770">
        <v>31</v>
      </c>
      <c r="K770">
        <v>2.4</v>
      </c>
      <c r="L770" s="3">
        <v>8</v>
      </c>
      <c r="M770" t="s">
        <v>1034</v>
      </c>
      <c r="N770">
        <v>78.53</v>
      </c>
    </row>
    <row r="771" spans="1:14" x14ac:dyDescent="0.3">
      <c r="A771" t="s">
        <v>783</v>
      </c>
      <c r="B771" t="s">
        <v>1016</v>
      </c>
      <c r="C771" t="s">
        <v>1022</v>
      </c>
      <c r="D771">
        <v>40</v>
      </c>
      <c r="E771">
        <v>15</v>
      </c>
      <c r="F771" s="3">
        <v>50039</v>
      </c>
      <c r="G771">
        <v>39</v>
      </c>
      <c r="H771">
        <v>7</v>
      </c>
      <c r="I771">
        <v>6</v>
      </c>
      <c r="J771">
        <v>38</v>
      </c>
      <c r="K771">
        <v>2.6</v>
      </c>
      <c r="L771" s="3">
        <v>8.8000000000000007</v>
      </c>
      <c r="M771" t="s">
        <v>1034</v>
      </c>
      <c r="N771">
        <v>72.27</v>
      </c>
    </row>
    <row r="772" spans="1:14" x14ac:dyDescent="0.3">
      <c r="A772" t="s">
        <v>784</v>
      </c>
      <c r="B772" t="s">
        <v>1018</v>
      </c>
      <c r="C772" t="s">
        <v>1028</v>
      </c>
      <c r="D772">
        <v>48</v>
      </c>
      <c r="E772">
        <v>5</v>
      </c>
      <c r="F772" s="3">
        <v>51773</v>
      </c>
      <c r="G772">
        <v>39</v>
      </c>
      <c r="H772">
        <v>1</v>
      </c>
      <c r="I772">
        <v>9</v>
      </c>
      <c r="J772">
        <v>16</v>
      </c>
      <c r="K772">
        <v>2.7</v>
      </c>
      <c r="L772" s="3">
        <v>6.2</v>
      </c>
      <c r="M772" t="s">
        <v>1035</v>
      </c>
      <c r="N772">
        <v>46.97</v>
      </c>
    </row>
    <row r="773" spans="1:14" x14ac:dyDescent="0.3">
      <c r="A773" t="s">
        <v>785</v>
      </c>
      <c r="B773" t="s">
        <v>1016</v>
      </c>
      <c r="C773" t="s">
        <v>1022</v>
      </c>
      <c r="D773">
        <v>51</v>
      </c>
      <c r="E773">
        <v>2</v>
      </c>
      <c r="F773" s="3">
        <v>25676</v>
      </c>
      <c r="G773">
        <v>50</v>
      </c>
      <c r="H773">
        <v>3</v>
      </c>
      <c r="I773">
        <v>10</v>
      </c>
      <c r="J773">
        <v>25</v>
      </c>
      <c r="K773">
        <v>4.0999999999999996</v>
      </c>
      <c r="L773" s="3">
        <v>8</v>
      </c>
      <c r="M773" t="s">
        <v>1034</v>
      </c>
      <c r="N773">
        <v>65.3</v>
      </c>
    </row>
    <row r="774" spans="1:14" x14ac:dyDescent="0.3">
      <c r="A774" t="s">
        <v>786</v>
      </c>
      <c r="B774" t="s">
        <v>1017</v>
      </c>
      <c r="C774" t="s">
        <v>1026</v>
      </c>
      <c r="D774">
        <v>38</v>
      </c>
      <c r="E774">
        <v>2</v>
      </c>
      <c r="F774" s="3">
        <v>31244</v>
      </c>
      <c r="G774">
        <v>52</v>
      </c>
      <c r="H774">
        <v>1</v>
      </c>
      <c r="I774">
        <v>1</v>
      </c>
      <c r="J774">
        <v>21</v>
      </c>
      <c r="K774">
        <v>4.8</v>
      </c>
      <c r="L774" s="3">
        <v>6.3</v>
      </c>
      <c r="M774" t="s">
        <v>1035</v>
      </c>
      <c r="N774">
        <v>53.87</v>
      </c>
    </row>
    <row r="775" spans="1:14" x14ac:dyDescent="0.3">
      <c r="A775" t="s">
        <v>787</v>
      </c>
      <c r="B775" t="s">
        <v>1015</v>
      </c>
      <c r="C775" t="s">
        <v>1029</v>
      </c>
      <c r="D775">
        <v>24</v>
      </c>
      <c r="E775">
        <v>0</v>
      </c>
      <c r="F775" s="3">
        <v>41623</v>
      </c>
      <c r="G775">
        <v>51</v>
      </c>
      <c r="H775">
        <v>10</v>
      </c>
      <c r="I775">
        <v>12</v>
      </c>
      <c r="J775">
        <v>19</v>
      </c>
      <c r="K775">
        <v>4.9000000000000004</v>
      </c>
      <c r="L775" s="3">
        <v>7.7</v>
      </c>
      <c r="M775" t="s">
        <v>1035</v>
      </c>
      <c r="N775">
        <v>77.569999999999993</v>
      </c>
    </row>
    <row r="776" spans="1:14" x14ac:dyDescent="0.3">
      <c r="A776" t="s">
        <v>788</v>
      </c>
      <c r="B776" t="s">
        <v>1015</v>
      </c>
      <c r="C776" t="s">
        <v>1021</v>
      </c>
      <c r="D776">
        <v>24</v>
      </c>
      <c r="E776">
        <v>1</v>
      </c>
      <c r="F776" s="3">
        <v>42058</v>
      </c>
      <c r="G776">
        <v>40</v>
      </c>
      <c r="H776">
        <v>9</v>
      </c>
      <c r="I776">
        <v>15</v>
      </c>
      <c r="J776">
        <v>21</v>
      </c>
      <c r="K776">
        <v>4.5999999999999996</v>
      </c>
      <c r="L776" s="3">
        <v>3.9</v>
      </c>
      <c r="M776" t="s">
        <v>1036</v>
      </c>
      <c r="N776">
        <v>52.2</v>
      </c>
    </row>
    <row r="777" spans="1:14" x14ac:dyDescent="0.3">
      <c r="A777" t="s">
        <v>789</v>
      </c>
      <c r="B777" t="s">
        <v>1015</v>
      </c>
      <c r="C777" t="s">
        <v>1021</v>
      </c>
      <c r="D777">
        <v>49</v>
      </c>
      <c r="E777">
        <v>4</v>
      </c>
      <c r="F777" s="3">
        <v>42065</v>
      </c>
      <c r="G777">
        <v>38</v>
      </c>
      <c r="H777">
        <v>6</v>
      </c>
      <c r="I777">
        <v>1</v>
      </c>
      <c r="J777">
        <v>8</v>
      </c>
      <c r="K777">
        <v>3.5</v>
      </c>
      <c r="L777" s="3">
        <v>9.8000000000000007</v>
      </c>
      <c r="M777" t="s">
        <v>1034</v>
      </c>
      <c r="N777">
        <v>79.3</v>
      </c>
    </row>
    <row r="778" spans="1:14" x14ac:dyDescent="0.3">
      <c r="A778" t="s">
        <v>790</v>
      </c>
      <c r="B778" t="s">
        <v>1016</v>
      </c>
      <c r="C778" t="s">
        <v>1023</v>
      </c>
      <c r="D778">
        <v>49</v>
      </c>
      <c r="E778">
        <v>9</v>
      </c>
      <c r="F778" s="3">
        <v>84165</v>
      </c>
      <c r="G778">
        <v>43</v>
      </c>
      <c r="H778">
        <v>10</v>
      </c>
      <c r="I778">
        <v>24</v>
      </c>
      <c r="J778">
        <v>16</v>
      </c>
      <c r="K778">
        <v>3.6</v>
      </c>
      <c r="L778" s="3">
        <v>6.1</v>
      </c>
      <c r="M778" t="s">
        <v>1035</v>
      </c>
      <c r="N778">
        <v>64.069999999999993</v>
      </c>
    </row>
    <row r="779" spans="1:14" x14ac:dyDescent="0.3">
      <c r="A779" t="s">
        <v>791</v>
      </c>
      <c r="B779" t="s">
        <v>1016</v>
      </c>
      <c r="C779" t="s">
        <v>1023</v>
      </c>
      <c r="D779">
        <v>53</v>
      </c>
      <c r="E779">
        <v>4</v>
      </c>
      <c r="F779" s="3">
        <v>61416</v>
      </c>
      <c r="G779">
        <v>55</v>
      </c>
      <c r="H779">
        <v>13</v>
      </c>
      <c r="I779">
        <v>14</v>
      </c>
      <c r="J779">
        <v>3</v>
      </c>
      <c r="K779">
        <v>2.6</v>
      </c>
      <c r="L779" s="3">
        <v>3.4</v>
      </c>
      <c r="M779" t="s">
        <v>1036</v>
      </c>
      <c r="N779">
        <v>49.87</v>
      </c>
    </row>
    <row r="780" spans="1:14" x14ac:dyDescent="0.3">
      <c r="A780" t="s">
        <v>792</v>
      </c>
      <c r="B780" t="s">
        <v>1014</v>
      </c>
      <c r="C780" t="s">
        <v>1025</v>
      </c>
      <c r="D780">
        <v>52</v>
      </c>
      <c r="E780">
        <v>8</v>
      </c>
      <c r="F780" s="3">
        <v>35718</v>
      </c>
      <c r="G780">
        <v>49</v>
      </c>
      <c r="H780">
        <v>7</v>
      </c>
      <c r="I780">
        <v>3</v>
      </c>
      <c r="J780">
        <v>31</v>
      </c>
      <c r="K780">
        <v>2.1</v>
      </c>
      <c r="L780" s="3">
        <v>5.5</v>
      </c>
      <c r="M780" t="s">
        <v>1036</v>
      </c>
      <c r="N780">
        <v>50.97</v>
      </c>
    </row>
    <row r="781" spans="1:14" x14ac:dyDescent="0.3">
      <c r="A781" t="s">
        <v>793</v>
      </c>
      <c r="B781" t="s">
        <v>1015</v>
      </c>
      <c r="C781" t="s">
        <v>1021</v>
      </c>
      <c r="D781">
        <v>53</v>
      </c>
      <c r="E781">
        <v>14</v>
      </c>
      <c r="F781" s="3">
        <v>57308</v>
      </c>
      <c r="G781">
        <v>38</v>
      </c>
      <c r="H781">
        <v>14</v>
      </c>
      <c r="I781">
        <v>23</v>
      </c>
      <c r="J781">
        <v>9</v>
      </c>
      <c r="K781">
        <v>2.4</v>
      </c>
      <c r="L781" s="3">
        <v>3.7</v>
      </c>
      <c r="M781" t="s">
        <v>1036</v>
      </c>
      <c r="N781">
        <v>52.73</v>
      </c>
    </row>
    <row r="782" spans="1:14" x14ac:dyDescent="0.3">
      <c r="A782" t="s">
        <v>794</v>
      </c>
      <c r="B782" t="s">
        <v>1018</v>
      </c>
      <c r="C782" t="s">
        <v>1028</v>
      </c>
      <c r="D782">
        <v>32</v>
      </c>
      <c r="E782">
        <v>11</v>
      </c>
      <c r="F782" s="3">
        <v>58340</v>
      </c>
      <c r="G782">
        <v>43</v>
      </c>
      <c r="H782">
        <v>10</v>
      </c>
      <c r="I782">
        <v>21</v>
      </c>
      <c r="J782">
        <v>37</v>
      </c>
      <c r="K782">
        <v>2.6</v>
      </c>
      <c r="L782" s="3">
        <v>10</v>
      </c>
      <c r="M782" t="s">
        <v>1034</v>
      </c>
      <c r="N782">
        <v>84.47</v>
      </c>
    </row>
    <row r="783" spans="1:14" x14ac:dyDescent="0.3">
      <c r="A783" t="s">
        <v>795</v>
      </c>
      <c r="B783" t="s">
        <v>1015</v>
      </c>
      <c r="C783" t="s">
        <v>1029</v>
      </c>
      <c r="D783">
        <v>33</v>
      </c>
      <c r="E783">
        <v>6</v>
      </c>
      <c r="F783" s="3">
        <v>85320</v>
      </c>
      <c r="G783">
        <v>37</v>
      </c>
      <c r="H783">
        <v>4</v>
      </c>
      <c r="I783">
        <v>24</v>
      </c>
      <c r="J783">
        <v>31</v>
      </c>
      <c r="K783">
        <v>4</v>
      </c>
      <c r="L783" s="3">
        <v>9.1999999999999993</v>
      </c>
      <c r="M783" t="s">
        <v>1034</v>
      </c>
      <c r="N783">
        <v>73.87</v>
      </c>
    </row>
    <row r="784" spans="1:14" x14ac:dyDescent="0.3">
      <c r="A784" t="s">
        <v>796</v>
      </c>
      <c r="B784" t="s">
        <v>1016</v>
      </c>
      <c r="C784" t="s">
        <v>1022</v>
      </c>
      <c r="D784">
        <v>29</v>
      </c>
      <c r="E784">
        <v>6</v>
      </c>
      <c r="F784" s="3">
        <v>49481</v>
      </c>
      <c r="G784">
        <v>53</v>
      </c>
      <c r="H784">
        <v>15</v>
      </c>
      <c r="I784">
        <v>3</v>
      </c>
      <c r="J784">
        <v>20</v>
      </c>
      <c r="K784">
        <v>2.5</v>
      </c>
      <c r="L784" s="3">
        <v>3.6</v>
      </c>
      <c r="M784" t="s">
        <v>1036</v>
      </c>
      <c r="N784">
        <v>54.1</v>
      </c>
    </row>
    <row r="785" spans="1:14" x14ac:dyDescent="0.3">
      <c r="A785" t="s">
        <v>797</v>
      </c>
      <c r="B785" t="s">
        <v>1017</v>
      </c>
      <c r="C785" t="s">
        <v>1024</v>
      </c>
      <c r="D785">
        <v>51</v>
      </c>
      <c r="E785">
        <v>8</v>
      </c>
      <c r="F785" s="3">
        <v>63941</v>
      </c>
      <c r="G785">
        <v>35</v>
      </c>
      <c r="H785">
        <v>6</v>
      </c>
      <c r="I785">
        <v>1</v>
      </c>
      <c r="J785">
        <v>39</v>
      </c>
      <c r="K785">
        <v>4.9000000000000004</v>
      </c>
      <c r="L785" s="3">
        <v>5.3</v>
      </c>
      <c r="M785" t="s">
        <v>1036</v>
      </c>
      <c r="N785">
        <v>56.5</v>
      </c>
    </row>
    <row r="786" spans="1:14" x14ac:dyDescent="0.3">
      <c r="A786" t="s">
        <v>798</v>
      </c>
      <c r="B786" t="s">
        <v>1015</v>
      </c>
      <c r="C786" t="s">
        <v>1029</v>
      </c>
      <c r="D786">
        <v>30</v>
      </c>
      <c r="E786">
        <v>3</v>
      </c>
      <c r="F786" s="3">
        <v>81575</v>
      </c>
      <c r="G786">
        <v>36</v>
      </c>
      <c r="H786">
        <v>13</v>
      </c>
      <c r="I786">
        <v>20</v>
      </c>
      <c r="J786">
        <v>18</v>
      </c>
      <c r="K786">
        <v>3</v>
      </c>
      <c r="L786" s="3">
        <v>3.4</v>
      </c>
      <c r="M786" t="s">
        <v>1036</v>
      </c>
      <c r="N786">
        <v>51.07</v>
      </c>
    </row>
    <row r="787" spans="1:14" x14ac:dyDescent="0.3">
      <c r="A787" t="s">
        <v>799</v>
      </c>
      <c r="B787" t="s">
        <v>1015</v>
      </c>
      <c r="C787" t="s">
        <v>1029</v>
      </c>
      <c r="D787">
        <v>46</v>
      </c>
      <c r="E787">
        <v>2</v>
      </c>
      <c r="F787" s="3">
        <v>51139</v>
      </c>
      <c r="G787">
        <v>43</v>
      </c>
      <c r="H787">
        <v>3</v>
      </c>
      <c r="I787">
        <v>7</v>
      </c>
      <c r="J787">
        <v>25</v>
      </c>
      <c r="K787">
        <v>2.2999999999999998</v>
      </c>
      <c r="L787" s="3">
        <v>9</v>
      </c>
      <c r="M787" t="s">
        <v>1034</v>
      </c>
      <c r="N787">
        <v>65.900000000000006</v>
      </c>
    </row>
    <row r="788" spans="1:14" x14ac:dyDescent="0.3">
      <c r="A788" t="s">
        <v>800</v>
      </c>
      <c r="B788" t="s">
        <v>1017</v>
      </c>
      <c r="C788" t="s">
        <v>1026</v>
      </c>
      <c r="D788">
        <v>47</v>
      </c>
      <c r="E788">
        <v>9</v>
      </c>
      <c r="F788" s="3">
        <v>67412</v>
      </c>
      <c r="G788">
        <v>55</v>
      </c>
      <c r="H788">
        <v>3</v>
      </c>
      <c r="I788">
        <v>3</v>
      </c>
      <c r="J788">
        <v>19</v>
      </c>
      <c r="K788">
        <v>3.5</v>
      </c>
      <c r="L788" s="3">
        <v>6</v>
      </c>
      <c r="M788" t="s">
        <v>1035</v>
      </c>
      <c r="N788">
        <v>51.5</v>
      </c>
    </row>
    <row r="789" spans="1:14" x14ac:dyDescent="0.3">
      <c r="A789" t="s">
        <v>801</v>
      </c>
      <c r="B789" t="s">
        <v>1015</v>
      </c>
      <c r="C789" t="s">
        <v>1021</v>
      </c>
      <c r="D789">
        <v>30</v>
      </c>
      <c r="E789">
        <v>5</v>
      </c>
      <c r="F789" s="3">
        <v>68615</v>
      </c>
      <c r="G789">
        <v>38</v>
      </c>
      <c r="H789">
        <v>14</v>
      </c>
      <c r="I789">
        <v>11</v>
      </c>
      <c r="J789">
        <v>32</v>
      </c>
      <c r="K789">
        <v>2.6</v>
      </c>
      <c r="L789" s="3">
        <v>6.1</v>
      </c>
      <c r="M789" t="s">
        <v>1035</v>
      </c>
      <c r="N789">
        <v>67.73</v>
      </c>
    </row>
    <row r="790" spans="1:14" x14ac:dyDescent="0.3">
      <c r="A790" t="s">
        <v>802</v>
      </c>
      <c r="B790" t="s">
        <v>1017</v>
      </c>
      <c r="C790" t="s">
        <v>1030</v>
      </c>
      <c r="D790">
        <v>39</v>
      </c>
      <c r="E790">
        <v>13</v>
      </c>
      <c r="F790" s="3">
        <v>30912</v>
      </c>
      <c r="G790">
        <v>48</v>
      </c>
      <c r="H790">
        <v>13</v>
      </c>
      <c r="I790">
        <v>11</v>
      </c>
      <c r="J790">
        <v>39</v>
      </c>
      <c r="K790">
        <v>2.6</v>
      </c>
      <c r="L790" s="3">
        <v>7.4</v>
      </c>
      <c r="M790" t="s">
        <v>1035</v>
      </c>
      <c r="N790">
        <v>73.87</v>
      </c>
    </row>
    <row r="791" spans="1:14" x14ac:dyDescent="0.3">
      <c r="A791" t="s">
        <v>803</v>
      </c>
      <c r="B791" t="s">
        <v>1014</v>
      </c>
      <c r="C791" t="s">
        <v>1025</v>
      </c>
      <c r="D791">
        <v>54</v>
      </c>
      <c r="E791">
        <v>10</v>
      </c>
      <c r="F791" s="3">
        <v>88784</v>
      </c>
      <c r="G791">
        <v>49</v>
      </c>
      <c r="H791">
        <v>11</v>
      </c>
      <c r="I791">
        <v>7</v>
      </c>
      <c r="J791">
        <v>9</v>
      </c>
      <c r="K791">
        <v>4.8</v>
      </c>
      <c r="L791" s="3">
        <v>6.7</v>
      </c>
      <c r="M791" t="s">
        <v>1035</v>
      </c>
      <c r="N791">
        <v>72.930000000000007</v>
      </c>
    </row>
    <row r="792" spans="1:14" x14ac:dyDescent="0.3">
      <c r="A792" t="s">
        <v>804</v>
      </c>
      <c r="B792" t="s">
        <v>1015</v>
      </c>
      <c r="C792" t="s">
        <v>1020</v>
      </c>
      <c r="D792">
        <v>27</v>
      </c>
      <c r="E792">
        <v>2</v>
      </c>
      <c r="F792" s="3">
        <v>55685</v>
      </c>
      <c r="G792">
        <v>48</v>
      </c>
      <c r="H792">
        <v>2</v>
      </c>
      <c r="I792">
        <v>25</v>
      </c>
      <c r="J792">
        <v>30</v>
      </c>
      <c r="K792">
        <v>2.9</v>
      </c>
      <c r="L792" s="3">
        <v>9.9</v>
      </c>
      <c r="M792" t="s">
        <v>1034</v>
      </c>
      <c r="N792">
        <v>71.430000000000007</v>
      </c>
    </row>
    <row r="793" spans="1:14" x14ac:dyDescent="0.3">
      <c r="A793" t="s">
        <v>805</v>
      </c>
      <c r="B793" t="s">
        <v>1016</v>
      </c>
      <c r="C793" t="s">
        <v>1022</v>
      </c>
      <c r="D793">
        <v>37</v>
      </c>
      <c r="E793">
        <v>13</v>
      </c>
      <c r="F793" s="3">
        <v>44364</v>
      </c>
      <c r="G793">
        <v>53</v>
      </c>
      <c r="H793">
        <v>1</v>
      </c>
      <c r="I793">
        <v>17</v>
      </c>
      <c r="J793">
        <v>4</v>
      </c>
      <c r="K793">
        <v>4.8</v>
      </c>
      <c r="L793" s="3">
        <v>6.6</v>
      </c>
      <c r="M793" t="s">
        <v>1035</v>
      </c>
      <c r="N793">
        <v>55.67</v>
      </c>
    </row>
    <row r="794" spans="1:14" x14ac:dyDescent="0.3">
      <c r="A794" t="s">
        <v>806</v>
      </c>
      <c r="B794" t="s">
        <v>1017</v>
      </c>
      <c r="C794" t="s">
        <v>1024</v>
      </c>
      <c r="D794">
        <v>48</v>
      </c>
      <c r="E794">
        <v>3</v>
      </c>
      <c r="F794" s="3">
        <v>55451</v>
      </c>
      <c r="G794">
        <v>53</v>
      </c>
      <c r="H794">
        <v>14</v>
      </c>
      <c r="I794">
        <v>8</v>
      </c>
      <c r="J794">
        <v>22</v>
      </c>
      <c r="K794">
        <v>2.8</v>
      </c>
      <c r="L794" s="3">
        <v>3.6</v>
      </c>
      <c r="M794" t="s">
        <v>1036</v>
      </c>
      <c r="N794">
        <v>53.33</v>
      </c>
    </row>
    <row r="795" spans="1:14" x14ac:dyDescent="0.3">
      <c r="A795" t="s">
        <v>807</v>
      </c>
      <c r="B795" t="s">
        <v>1014</v>
      </c>
      <c r="C795" t="s">
        <v>1031</v>
      </c>
      <c r="D795">
        <v>29</v>
      </c>
      <c r="E795">
        <v>7</v>
      </c>
      <c r="F795" s="3">
        <v>36767</v>
      </c>
      <c r="G795">
        <v>40</v>
      </c>
      <c r="H795">
        <v>14</v>
      </c>
      <c r="I795">
        <v>12</v>
      </c>
      <c r="J795">
        <v>2</v>
      </c>
      <c r="K795">
        <v>2.2000000000000002</v>
      </c>
      <c r="L795" s="3">
        <v>9.1</v>
      </c>
      <c r="M795" t="s">
        <v>1034</v>
      </c>
      <c r="N795">
        <v>84.53</v>
      </c>
    </row>
    <row r="796" spans="1:14" x14ac:dyDescent="0.3">
      <c r="A796" t="s">
        <v>808</v>
      </c>
      <c r="B796" t="s">
        <v>1016</v>
      </c>
      <c r="C796" t="s">
        <v>1022</v>
      </c>
      <c r="D796">
        <v>51</v>
      </c>
      <c r="E796">
        <v>14</v>
      </c>
      <c r="F796" s="3">
        <v>65882</v>
      </c>
      <c r="G796">
        <v>43</v>
      </c>
      <c r="H796">
        <v>6</v>
      </c>
      <c r="I796">
        <v>25</v>
      </c>
      <c r="J796">
        <v>11</v>
      </c>
      <c r="K796">
        <v>2.6</v>
      </c>
      <c r="L796" s="3">
        <v>3.5</v>
      </c>
      <c r="M796" t="s">
        <v>1036</v>
      </c>
      <c r="N796">
        <v>38.799999999999997</v>
      </c>
    </row>
    <row r="797" spans="1:14" x14ac:dyDescent="0.3">
      <c r="A797" t="s">
        <v>809</v>
      </c>
      <c r="B797" t="s">
        <v>1016</v>
      </c>
      <c r="C797" t="s">
        <v>1033</v>
      </c>
      <c r="D797">
        <v>28</v>
      </c>
      <c r="E797">
        <v>6</v>
      </c>
      <c r="F797" s="3">
        <v>60020</v>
      </c>
      <c r="G797">
        <v>35</v>
      </c>
      <c r="H797">
        <v>1</v>
      </c>
      <c r="I797">
        <v>12</v>
      </c>
      <c r="J797">
        <v>7</v>
      </c>
      <c r="K797">
        <v>2</v>
      </c>
      <c r="L797" s="3">
        <v>7.6</v>
      </c>
      <c r="M797" t="s">
        <v>1035</v>
      </c>
      <c r="N797">
        <v>53.27</v>
      </c>
    </row>
    <row r="798" spans="1:14" x14ac:dyDescent="0.3">
      <c r="A798" t="s">
        <v>810</v>
      </c>
      <c r="B798" t="s">
        <v>1017</v>
      </c>
      <c r="C798" t="s">
        <v>1030</v>
      </c>
      <c r="D798">
        <v>53</v>
      </c>
      <c r="E798">
        <v>9</v>
      </c>
      <c r="F798" s="3">
        <v>65533</v>
      </c>
      <c r="G798">
        <v>54</v>
      </c>
      <c r="H798">
        <v>6</v>
      </c>
      <c r="I798">
        <v>22</v>
      </c>
      <c r="J798">
        <v>25</v>
      </c>
      <c r="K798">
        <v>4.4000000000000004</v>
      </c>
      <c r="L798" s="3">
        <v>3.6</v>
      </c>
      <c r="M798" t="s">
        <v>1036</v>
      </c>
      <c r="N798">
        <v>44.8</v>
      </c>
    </row>
    <row r="799" spans="1:14" x14ac:dyDescent="0.3">
      <c r="A799" t="s">
        <v>811</v>
      </c>
      <c r="B799" t="s">
        <v>1014</v>
      </c>
      <c r="C799" t="s">
        <v>1025</v>
      </c>
      <c r="D799">
        <v>34</v>
      </c>
      <c r="E799">
        <v>1</v>
      </c>
      <c r="F799" s="3">
        <v>78475</v>
      </c>
      <c r="G799">
        <v>35</v>
      </c>
      <c r="H799">
        <v>12</v>
      </c>
      <c r="I799">
        <v>6</v>
      </c>
      <c r="J799">
        <v>1</v>
      </c>
      <c r="K799">
        <v>2.6</v>
      </c>
      <c r="L799" s="3">
        <v>7.5</v>
      </c>
      <c r="M799" t="s">
        <v>1035</v>
      </c>
      <c r="N799">
        <v>72.8</v>
      </c>
    </row>
    <row r="800" spans="1:14" x14ac:dyDescent="0.3">
      <c r="A800" t="s">
        <v>812</v>
      </c>
      <c r="B800" t="s">
        <v>1018</v>
      </c>
      <c r="C800" t="s">
        <v>1028</v>
      </c>
      <c r="D800">
        <v>49</v>
      </c>
      <c r="E800">
        <v>6</v>
      </c>
      <c r="F800" s="3">
        <v>30642</v>
      </c>
      <c r="G800">
        <v>44</v>
      </c>
      <c r="H800">
        <v>13</v>
      </c>
      <c r="I800">
        <v>14</v>
      </c>
      <c r="J800">
        <v>9</v>
      </c>
      <c r="K800">
        <v>3.4</v>
      </c>
      <c r="L800" s="3">
        <v>3.2</v>
      </c>
      <c r="M800" t="s">
        <v>1036</v>
      </c>
      <c r="N800">
        <v>51.07</v>
      </c>
    </row>
    <row r="801" spans="1:14" x14ac:dyDescent="0.3">
      <c r="A801" t="s">
        <v>813</v>
      </c>
      <c r="B801" t="s">
        <v>1018</v>
      </c>
      <c r="C801" t="s">
        <v>1032</v>
      </c>
      <c r="D801">
        <v>50</v>
      </c>
      <c r="E801">
        <v>15</v>
      </c>
      <c r="F801" s="3">
        <v>55899</v>
      </c>
      <c r="G801">
        <v>35</v>
      </c>
      <c r="H801">
        <v>14</v>
      </c>
      <c r="I801">
        <v>14</v>
      </c>
      <c r="J801">
        <v>37</v>
      </c>
      <c r="K801">
        <v>2.7</v>
      </c>
      <c r="L801" s="3">
        <v>5.0999999999999996</v>
      </c>
      <c r="M801" t="s">
        <v>1036</v>
      </c>
      <c r="N801">
        <v>62.03</v>
      </c>
    </row>
    <row r="802" spans="1:14" x14ac:dyDescent="0.3">
      <c r="A802" t="s">
        <v>814</v>
      </c>
      <c r="B802" t="s">
        <v>1014</v>
      </c>
      <c r="C802" t="s">
        <v>1025</v>
      </c>
      <c r="D802">
        <v>43</v>
      </c>
      <c r="E802">
        <v>0</v>
      </c>
      <c r="F802" s="3">
        <v>31728</v>
      </c>
      <c r="G802">
        <v>55</v>
      </c>
      <c r="H802">
        <v>14</v>
      </c>
      <c r="I802">
        <v>22</v>
      </c>
      <c r="J802">
        <v>27</v>
      </c>
      <c r="K802">
        <v>4.9000000000000004</v>
      </c>
      <c r="L802" s="3">
        <v>8.9</v>
      </c>
      <c r="M802" t="s">
        <v>1034</v>
      </c>
      <c r="N802">
        <v>91.43</v>
      </c>
    </row>
    <row r="803" spans="1:14" x14ac:dyDescent="0.3">
      <c r="A803" t="s">
        <v>815</v>
      </c>
      <c r="B803" t="s">
        <v>1015</v>
      </c>
      <c r="C803" t="s">
        <v>1021</v>
      </c>
      <c r="D803">
        <v>40</v>
      </c>
      <c r="E803">
        <v>1</v>
      </c>
      <c r="F803" s="3">
        <v>56948</v>
      </c>
      <c r="G803">
        <v>47</v>
      </c>
      <c r="H803">
        <v>8</v>
      </c>
      <c r="I803">
        <v>16</v>
      </c>
      <c r="J803">
        <v>37</v>
      </c>
      <c r="K803">
        <v>4.2</v>
      </c>
      <c r="L803" s="3">
        <v>9.5</v>
      </c>
      <c r="M803" t="s">
        <v>1034</v>
      </c>
      <c r="N803">
        <v>82.93</v>
      </c>
    </row>
    <row r="804" spans="1:14" x14ac:dyDescent="0.3">
      <c r="A804" t="s">
        <v>816</v>
      </c>
      <c r="B804" t="s">
        <v>1018</v>
      </c>
      <c r="C804" t="s">
        <v>1032</v>
      </c>
      <c r="D804">
        <v>25</v>
      </c>
      <c r="E804">
        <v>4</v>
      </c>
      <c r="F804" s="3">
        <v>26246</v>
      </c>
      <c r="G804">
        <v>48</v>
      </c>
      <c r="H804">
        <v>10</v>
      </c>
      <c r="I804">
        <v>10</v>
      </c>
      <c r="J804">
        <v>35</v>
      </c>
      <c r="K804">
        <v>2.2000000000000002</v>
      </c>
      <c r="L804" s="3">
        <v>9.3000000000000007</v>
      </c>
      <c r="M804" t="s">
        <v>1034</v>
      </c>
      <c r="N804">
        <v>79.069999999999993</v>
      </c>
    </row>
    <row r="805" spans="1:14" x14ac:dyDescent="0.3">
      <c r="A805" t="s">
        <v>817</v>
      </c>
      <c r="B805" t="s">
        <v>1017</v>
      </c>
      <c r="C805" t="s">
        <v>1030</v>
      </c>
      <c r="D805">
        <v>29</v>
      </c>
      <c r="E805">
        <v>7</v>
      </c>
      <c r="F805" s="3">
        <v>65809</v>
      </c>
      <c r="G805">
        <v>55</v>
      </c>
      <c r="H805">
        <v>6</v>
      </c>
      <c r="I805">
        <v>14</v>
      </c>
      <c r="J805">
        <v>27</v>
      </c>
      <c r="K805">
        <v>2.1</v>
      </c>
      <c r="L805" s="3">
        <v>5</v>
      </c>
      <c r="M805" t="s">
        <v>1036</v>
      </c>
      <c r="N805">
        <v>46.3</v>
      </c>
    </row>
    <row r="806" spans="1:14" x14ac:dyDescent="0.3">
      <c r="A806" t="s">
        <v>818</v>
      </c>
      <c r="B806" t="s">
        <v>1017</v>
      </c>
      <c r="C806" t="s">
        <v>1024</v>
      </c>
      <c r="D806">
        <v>44</v>
      </c>
      <c r="E806">
        <v>14</v>
      </c>
      <c r="F806" s="3">
        <v>40211</v>
      </c>
      <c r="G806">
        <v>51</v>
      </c>
      <c r="H806">
        <v>4</v>
      </c>
      <c r="I806">
        <v>18</v>
      </c>
      <c r="J806">
        <v>21</v>
      </c>
      <c r="K806">
        <v>4.8</v>
      </c>
      <c r="L806" s="3">
        <v>9</v>
      </c>
      <c r="M806" t="s">
        <v>1034</v>
      </c>
      <c r="N806">
        <v>75.069999999999993</v>
      </c>
    </row>
    <row r="807" spans="1:14" x14ac:dyDescent="0.3">
      <c r="A807" t="s">
        <v>819</v>
      </c>
      <c r="B807" t="s">
        <v>1017</v>
      </c>
      <c r="C807" t="s">
        <v>1030</v>
      </c>
      <c r="D807">
        <v>30</v>
      </c>
      <c r="E807">
        <v>4</v>
      </c>
      <c r="F807" s="3">
        <v>72382</v>
      </c>
      <c r="G807">
        <v>47</v>
      </c>
      <c r="H807">
        <v>7</v>
      </c>
      <c r="I807">
        <v>21</v>
      </c>
      <c r="J807">
        <v>23</v>
      </c>
      <c r="K807">
        <v>4.4000000000000004</v>
      </c>
      <c r="L807" s="3">
        <v>8.6</v>
      </c>
      <c r="M807" t="s">
        <v>1034</v>
      </c>
      <c r="N807">
        <v>76.47</v>
      </c>
    </row>
    <row r="808" spans="1:14" x14ac:dyDescent="0.3">
      <c r="A808" t="s">
        <v>820</v>
      </c>
      <c r="B808" t="s">
        <v>1015</v>
      </c>
      <c r="C808" t="s">
        <v>1021</v>
      </c>
      <c r="D808">
        <v>35</v>
      </c>
      <c r="E808">
        <v>4</v>
      </c>
      <c r="F808" s="3">
        <v>70265</v>
      </c>
      <c r="G808">
        <v>37</v>
      </c>
      <c r="H808">
        <v>11</v>
      </c>
      <c r="I808">
        <v>15</v>
      </c>
      <c r="J808">
        <v>8</v>
      </c>
      <c r="K808">
        <v>2.5</v>
      </c>
      <c r="L808" s="3">
        <v>4.0999999999999996</v>
      </c>
      <c r="M808" t="s">
        <v>1036</v>
      </c>
      <c r="N808">
        <v>50.43</v>
      </c>
    </row>
    <row r="809" spans="1:14" x14ac:dyDescent="0.3">
      <c r="A809" t="s">
        <v>821</v>
      </c>
      <c r="B809" t="s">
        <v>1014</v>
      </c>
      <c r="C809" t="s">
        <v>1031</v>
      </c>
      <c r="D809">
        <v>48</v>
      </c>
      <c r="E809">
        <v>15</v>
      </c>
      <c r="F809" s="3">
        <v>44900</v>
      </c>
      <c r="G809">
        <v>42</v>
      </c>
      <c r="H809">
        <v>4</v>
      </c>
      <c r="I809">
        <v>17</v>
      </c>
      <c r="J809">
        <v>3</v>
      </c>
      <c r="K809">
        <v>5</v>
      </c>
      <c r="L809" s="3">
        <v>5.5</v>
      </c>
      <c r="M809" t="s">
        <v>1036</v>
      </c>
      <c r="N809">
        <v>54.67</v>
      </c>
    </row>
    <row r="810" spans="1:14" x14ac:dyDescent="0.3">
      <c r="A810" t="s">
        <v>822</v>
      </c>
      <c r="B810" t="s">
        <v>1016</v>
      </c>
      <c r="C810" t="s">
        <v>1023</v>
      </c>
      <c r="D810">
        <v>32</v>
      </c>
      <c r="E810">
        <v>2</v>
      </c>
      <c r="F810" s="3">
        <v>79260</v>
      </c>
      <c r="G810">
        <v>51</v>
      </c>
      <c r="H810">
        <v>1</v>
      </c>
      <c r="I810">
        <v>25</v>
      </c>
      <c r="J810">
        <v>4</v>
      </c>
      <c r="K810">
        <v>3</v>
      </c>
      <c r="L810" s="3">
        <v>3.8</v>
      </c>
      <c r="M810" t="s">
        <v>1036</v>
      </c>
      <c r="N810">
        <v>33.47</v>
      </c>
    </row>
    <row r="811" spans="1:14" x14ac:dyDescent="0.3">
      <c r="A811" t="s">
        <v>823</v>
      </c>
      <c r="B811" t="s">
        <v>1014</v>
      </c>
      <c r="C811" t="s">
        <v>1019</v>
      </c>
      <c r="D811">
        <v>36</v>
      </c>
      <c r="E811">
        <v>15</v>
      </c>
      <c r="F811" s="3">
        <v>41896</v>
      </c>
      <c r="G811">
        <v>45</v>
      </c>
      <c r="H811">
        <v>13</v>
      </c>
      <c r="I811">
        <v>11</v>
      </c>
      <c r="J811">
        <v>2</v>
      </c>
      <c r="K811">
        <v>4.3</v>
      </c>
      <c r="L811" s="3">
        <v>6.9</v>
      </c>
      <c r="M811" t="s">
        <v>1035</v>
      </c>
      <c r="N811">
        <v>75.97</v>
      </c>
    </row>
    <row r="812" spans="1:14" x14ac:dyDescent="0.3">
      <c r="A812" t="s">
        <v>824</v>
      </c>
      <c r="B812" t="s">
        <v>1015</v>
      </c>
      <c r="C812" t="s">
        <v>1020</v>
      </c>
      <c r="D812">
        <v>28</v>
      </c>
      <c r="E812">
        <v>0</v>
      </c>
      <c r="F812" s="3">
        <v>85727</v>
      </c>
      <c r="G812">
        <v>49</v>
      </c>
      <c r="H812">
        <v>13</v>
      </c>
      <c r="I812">
        <v>14</v>
      </c>
      <c r="J812">
        <v>7</v>
      </c>
      <c r="K812">
        <v>4.9000000000000004</v>
      </c>
      <c r="L812" s="3">
        <v>8.5</v>
      </c>
      <c r="M812" t="s">
        <v>1034</v>
      </c>
      <c r="N812">
        <v>87.37</v>
      </c>
    </row>
    <row r="813" spans="1:14" x14ac:dyDescent="0.3">
      <c r="A813" t="s">
        <v>825</v>
      </c>
      <c r="B813" t="s">
        <v>1014</v>
      </c>
      <c r="C813" t="s">
        <v>1031</v>
      </c>
      <c r="D813">
        <v>24</v>
      </c>
      <c r="E813">
        <v>0</v>
      </c>
      <c r="F813" s="3">
        <v>35947</v>
      </c>
      <c r="G813">
        <v>55</v>
      </c>
      <c r="H813">
        <v>2</v>
      </c>
      <c r="I813">
        <v>6</v>
      </c>
      <c r="J813">
        <v>23</v>
      </c>
      <c r="K813">
        <v>2.5</v>
      </c>
      <c r="L813" s="3">
        <v>5</v>
      </c>
      <c r="M813" t="s">
        <v>1036</v>
      </c>
      <c r="N813">
        <v>40.83</v>
      </c>
    </row>
    <row r="814" spans="1:14" x14ac:dyDescent="0.3">
      <c r="A814" t="s">
        <v>826</v>
      </c>
      <c r="B814" t="s">
        <v>1015</v>
      </c>
      <c r="C814" t="s">
        <v>1021</v>
      </c>
      <c r="D814">
        <v>53</v>
      </c>
      <c r="E814">
        <v>3</v>
      </c>
      <c r="F814" s="3">
        <v>35111</v>
      </c>
      <c r="G814">
        <v>55</v>
      </c>
      <c r="H814">
        <v>6</v>
      </c>
      <c r="I814">
        <v>10</v>
      </c>
      <c r="J814">
        <v>8</v>
      </c>
      <c r="K814">
        <v>2.4</v>
      </c>
      <c r="L814" s="3">
        <v>4.4000000000000004</v>
      </c>
      <c r="M814" t="s">
        <v>1036</v>
      </c>
      <c r="N814">
        <v>43.6</v>
      </c>
    </row>
    <row r="815" spans="1:14" x14ac:dyDescent="0.3">
      <c r="A815" t="s">
        <v>827</v>
      </c>
      <c r="B815" t="s">
        <v>1014</v>
      </c>
      <c r="C815" t="s">
        <v>1031</v>
      </c>
      <c r="D815">
        <v>37</v>
      </c>
      <c r="E815">
        <v>15</v>
      </c>
      <c r="F815" s="3">
        <v>47368</v>
      </c>
      <c r="G815">
        <v>44</v>
      </c>
      <c r="H815">
        <v>9</v>
      </c>
      <c r="I815">
        <v>5</v>
      </c>
      <c r="J815">
        <v>5</v>
      </c>
      <c r="K815">
        <v>2.8</v>
      </c>
      <c r="L815" s="3">
        <v>8</v>
      </c>
      <c r="M815" t="s">
        <v>1034</v>
      </c>
      <c r="N815">
        <v>71.400000000000006</v>
      </c>
    </row>
    <row r="816" spans="1:14" x14ac:dyDescent="0.3">
      <c r="A816" t="s">
        <v>828</v>
      </c>
      <c r="B816" t="s">
        <v>1016</v>
      </c>
      <c r="C816" t="s">
        <v>1033</v>
      </c>
      <c r="D816">
        <v>37</v>
      </c>
      <c r="E816">
        <v>4</v>
      </c>
      <c r="F816" s="3">
        <v>74362</v>
      </c>
      <c r="G816">
        <v>51</v>
      </c>
      <c r="H816">
        <v>7</v>
      </c>
      <c r="I816">
        <v>25</v>
      </c>
      <c r="J816">
        <v>14</v>
      </c>
      <c r="K816">
        <v>2.4</v>
      </c>
      <c r="L816" s="3">
        <v>6</v>
      </c>
      <c r="M816" t="s">
        <v>1035</v>
      </c>
      <c r="N816">
        <v>54.87</v>
      </c>
    </row>
    <row r="817" spans="1:14" x14ac:dyDescent="0.3">
      <c r="A817" t="s">
        <v>829</v>
      </c>
      <c r="B817" t="s">
        <v>1017</v>
      </c>
      <c r="C817" t="s">
        <v>1030</v>
      </c>
      <c r="D817">
        <v>55</v>
      </c>
      <c r="E817">
        <v>11</v>
      </c>
      <c r="F817" s="3">
        <v>86848</v>
      </c>
      <c r="G817">
        <v>35</v>
      </c>
      <c r="H817">
        <v>8</v>
      </c>
      <c r="I817">
        <v>4</v>
      </c>
      <c r="J817">
        <v>0</v>
      </c>
      <c r="K817">
        <v>4.2</v>
      </c>
      <c r="L817" s="3">
        <v>6.6</v>
      </c>
      <c r="M817" t="s">
        <v>1035</v>
      </c>
      <c r="N817">
        <v>65.53</v>
      </c>
    </row>
    <row r="818" spans="1:14" x14ac:dyDescent="0.3">
      <c r="A818" t="s">
        <v>830</v>
      </c>
      <c r="B818" t="s">
        <v>1014</v>
      </c>
      <c r="C818" t="s">
        <v>1025</v>
      </c>
      <c r="D818">
        <v>43</v>
      </c>
      <c r="E818">
        <v>10</v>
      </c>
      <c r="F818" s="3">
        <v>51322</v>
      </c>
      <c r="G818">
        <v>40</v>
      </c>
      <c r="H818">
        <v>7</v>
      </c>
      <c r="I818">
        <v>1</v>
      </c>
      <c r="J818">
        <v>25</v>
      </c>
      <c r="K818">
        <v>4.3</v>
      </c>
      <c r="L818" s="3">
        <v>7.6</v>
      </c>
      <c r="M818" t="s">
        <v>1035</v>
      </c>
      <c r="N818">
        <v>70.17</v>
      </c>
    </row>
    <row r="819" spans="1:14" x14ac:dyDescent="0.3">
      <c r="A819" t="s">
        <v>831</v>
      </c>
      <c r="B819" t="s">
        <v>1018</v>
      </c>
      <c r="C819" t="s">
        <v>1032</v>
      </c>
      <c r="D819">
        <v>25</v>
      </c>
      <c r="E819">
        <v>4</v>
      </c>
      <c r="F819" s="3">
        <v>88744</v>
      </c>
      <c r="G819">
        <v>44</v>
      </c>
      <c r="H819">
        <v>7</v>
      </c>
      <c r="I819">
        <v>12</v>
      </c>
      <c r="J819">
        <v>35</v>
      </c>
      <c r="K819">
        <v>4.5999999999999996</v>
      </c>
      <c r="L819" s="3">
        <v>8.1</v>
      </c>
      <c r="M819" t="s">
        <v>1034</v>
      </c>
      <c r="N819">
        <v>74.069999999999993</v>
      </c>
    </row>
    <row r="820" spans="1:14" x14ac:dyDescent="0.3">
      <c r="A820" t="s">
        <v>832</v>
      </c>
      <c r="B820" t="s">
        <v>1016</v>
      </c>
      <c r="C820" t="s">
        <v>1022</v>
      </c>
      <c r="D820">
        <v>22</v>
      </c>
      <c r="E820">
        <v>1</v>
      </c>
      <c r="F820" s="3">
        <v>83996</v>
      </c>
      <c r="G820">
        <v>51</v>
      </c>
      <c r="H820">
        <v>10</v>
      </c>
      <c r="I820">
        <v>4</v>
      </c>
      <c r="J820">
        <v>25</v>
      </c>
      <c r="K820">
        <v>3.3</v>
      </c>
      <c r="L820" s="3">
        <v>4.4000000000000004</v>
      </c>
      <c r="M820" t="s">
        <v>1036</v>
      </c>
      <c r="N820">
        <v>52.97</v>
      </c>
    </row>
    <row r="821" spans="1:14" x14ac:dyDescent="0.3">
      <c r="A821" t="s">
        <v>833</v>
      </c>
      <c r="B821" t="s">
        <v>1015</v>
      </c>
      <c r="C821" t="s">
        <v>1020</v>
      </c>
      <c r="D821">
        <v>50</v>
      </c>
      <c r="E821">
        <v>11</v>
      </c>
      <c r="F821" s="3">
        <v>83174</v>
      </c>
      <c r="G821">
        <v>55</v>
      </c>
      <c r="H821">
        <v>7</v>
      </c>
      <c r="I821">
        <v>24</v>
      </c>
      <c r="J821">
        <v>12</v>
      </c>
      <c r="K821">
        <v>4.5999999999999996</v>
      </c>
      <c r="L821" s="3">
        <v>3.6</v>
      </c>
      <c r="M821" t="s">
        <v>1036</v>
      </c>
      <c r="N821">
        <v>47.07</v>
      </c>
    </row>
    <row r="822" spans="1:14" x14ac:dyDescent="0.3">
      <c r="A822" t="s">
        <v>834</v>
      </c>
      <c r="B822" t="s">
        <v>1016</v>
      </c>
      <c r="C822" t="s">
        <v>1033</v>
      </c>
      <c r="D822">
        <v>46</v>
      </c>
      <c r="E822">
        <v>4</v>
      </c>
      <c r="F822" s="3">
        <v>59109</v>
      </c>
      <c r="G822">
        <v>52</v>
      </c>
      <c r="H822">
        <v>5</v>
      </c>
      <c r="I822">
        <v>6</v>
      </c>
      <c r="J822">
        <v>5</v>
      </c>
      <c r="K822">
        <v>3.5</v>
      </c>
      <c r="L822" s="3">
        <v>5.2</v>
      </c>
      <c r="M822" t="s">
        <v>1036</v>
      </c>
      <c r="N822">
        <v>50.03</v>
      </c>
    </row>
    <row r="823" spans="1:14" x14ac:dyDescent="0.3">
      <c r="A823" t="s">
        <v>835</v>
      </c>
      <c r="B823" t="s">
        <v>1018</v>
      </c>
      <c r="C823" t="s">
        <v>1032</v>
      </c>
      <c r="D823">
        <v>23</v>
      </c>
      <c r="E823">
        <v>0</v>
      </c>
      <c r="F823" s="3">
        <v>83347</v>
      </c>
      <c r="G823">
        <v>52</v>
      </c>
      <c r="H823">
        <v>10</v>
      </c>
      <c r="I823">
        <v>8</v>
      </c>
      <c r="J823">
        <v>15</v>
      </c>
      <c r="K823">
        <v>4.5</v>
      </c>
      <c r="L823" s="3">
        <v>5.0999999999999996</v>
      </c>
      <c r="M823" t="s">
        <v>1036</v>
      </c>
      <c r="N823">
        <v>60.77</v>
      </c>
    </row>
    <row r="824" spans="1:14" x14ac:dyDescent="0.3">
      <c r="A824" t="s">
        <v>836</v>
      </c>
      <c r="B824" t="s">
        <v>1015</v>
      </c>
      <c r="C824" t="s">
        <v>1020</v>
      </c>
      <c r="D824">
        <v>29</v>
      </c>
      <c r="E824">
        <v>0</v>
      </c>
      <c r="F824" s="3">
        <v>80154</v>
      </c>
      <c r="G824">
        <v>46</v>
      </c>
      <c r="H824">
        <v>5</v>
      </c>
      <c r="I824">
        <v>20</v>
      </c>
      <c r="J824">
        <v>32</v>
      </c>
      <c r="K824">
        <v>3.1</v>
      </c>
      <c r="L824" s="3">
        <v>3.3</v>
      </c>
      <c r="M824" t="s">
        <v>1036</v>
      </c>
      <c r="N824">
        <v>37.43</v>
      </c>
    </row>
    <row r="825" spans="1:14" x14ac:dyDescent="0.3">
      <c r="A825" t="s">
        <v>837</v>
      </c>
      <c r="B825" t="s">
        <v>1014</v>
      </c>
      <c r="C825" t="s">
        <v>1025</v>
      </c>
      <c r="D825">
        <v>50</v>
      </c>
      <c r="E825">
        <v>9</v>
      </c>
      <c r="F825" s="3">
        <v>62515</v>
      </c>
      <c r="G825">
        <v>35</v>
      </c>
      <c r="H825">
        <v>8</v>
      </c>
      <c r="I825">
        <v>10</v>
      </c>
      <c r="J825">
        <v>15</v>
      </c>
      <c r="K825">
        <v>4.4000000000000004</v>
      </c>
      <c r="L825" s="3">
        <v>9.9</v>
      </c>
      <c r="M825" t="s">
        <v>1034</v>
      </c>
      <c r="N825">
        <v>85.93</v>
      </c>
    </row>
    <row r="826" spans="1:14" x14ac:dyDescent="0.3">
      <c r="A826" t="s">
        <v>838</v>
      </c>
      <c r="B826" t="s">
        <v>1015</v>
      </c>
      <c r="C826" t="s">
        <v>1020</v>
      </c>
      <c r="D826">
        <v>36</v>
      </c>
      <c r="E826">
        <v>11</v>
      </c>
      <c r="F826" s="3">
        <v>44608</v>
      </c>
      <c r="G826">
        <v>44</v>
      </c>
      <c r="H826">
        <v>11</v>
      </c>
      <c r="I826">
        <v>25</v>
      </c>
      <c r="J826">
        <v>36</v>
      </c>
      <c r="K826">
        <v>4</v>
      </c>
      <c r="L826" s="3">
        <v>8</v>
      </c>
      <c r="M826" t="s">
        <v>1034</v>
      </c>
      <c r="N826">
        <v>78.33</v>
      </c>
    </row>
    <row r="827" spans="1:14" x14ac:dyDescent="0.3">
      <c r="A827" t="s">
        <v>839</v>
      </c>
      <c r="B827" t="s">
        <v>1018</v>
      </c>
      <c r="C827" t="s">
        <v>1032</v>
      </c>
      <c r="D827">
        <v>28</v>
      </c>
      <c r="E827">
        <v>5</v>
      </c>
      <c r="F827" s="3">
        <v>58846</v>
      </c>
      <c r="G827">
        <v>53</v>
      </c>
      <c r="H827">
        <v>4</v>
      </c>
      <c r="I827">
        <v>24</v>
      </c>
      <c r="J827">
        <v>23</v>
      </c>
      <c r="K827">
        <v>3.4</v>
      </c>
      <c r="L827" s="3">
        <v>4</v>
      </c>
      <c r="M827" t="s">
        <v>1036</v>
      </c>
      <c r="N827">
        <v>40.869999999999997</v>
      </c>
    </row>
    <row r="828" spans="1:14" x14ac:dyDescent="0.3">
      <c r="A828" t="s">
        <v>840</v>
      </c>
      <c r="B828" t="s">
        <v>1017</v>
      </c>
      <c r="C828" t="s">
        <v>1024</v>
      </c>
      <c r="D828">
        <v>27</v>
      </c>
      <c r="E828">
        <v>0</v>
      </c>
      <c r="F828" s="3">
        <v>29075</v>
      </c>
      <c r="G828">
        <v>48</v>
      </c>
      <c r="H828">
        <v>15</v>
      </c>
      <c r="I828">
        <v>4</v>
      </c>
      <c r="J828">
        <v>30</v>
      </c>
      <c r="K828">
        <v>2.6</v>
      </c>
      <c r="L828" s="3">
        <v>3.5</v>
      </c>
      <c r="M828" t="s">
        <v>1036</v>
      </c>
      <c r="N828">
        <v>53.8</v>
      </c>
    </row>
    <row r="829" spans="1:14" x14ac:dyDescent="0.3">
      <c r="A829" t="s">
        <v>841</v>
      </c>
      <c r="B829" t="s">
        <v>1015</v>
      </c>
      <c r="C829" t="s">
        <v>1021</v>
      </c>
      <c r="D829">
        <v>47</v>
      </c>
      <c r="E829">
        <v>12</v>
      </c>
      <c r="F829" s="3">
        <v>82148</v>
      </c>
      <c r="G829">
        <v>43</v>
      </c>
      <c r="H829">
        <v>10</v>
      </c>
      <c r="I829">
        <v>15</v>
      </c>
      <c r="J829">
        <v>40</v>
      </c>
      <c r="K829">
        <v>3.3</v>
      </c>
      <c r="L829" s="3">
        <v>6.1</v>
      </c>
      <c r="M829" t="s">
        <v>1035</v>
      </c>
      <c r="N829">
        <v>63.17</v>
      </c>
    </row>
    <row r="830" spans="1:14" x14ac:dyDescent="0.3">
      <c r="A830" t="s">
        <v>842</v>
      </c>
      <c r="B830" t="s">
        <v>1017</v>
      </c>
      <c r="C830" t="s">
        <v>1024</v>
      </c>
      <c r="D830">
        <v>32</v>
      </c>
      <c r="E830">
        <v>2</v>
      </c>
      <c r="F830" s="3">
        <v>58147</v>
      </c>
      <c r="G830">
        <v>39</v>
      </c>
      <c r="H830">
        <v>8</v>
      </c>
      <c r="I830">
        <v>22</v>
      </c>
      <c r="J830">
        <v>29</v>
      </c>
      <c r="K830">
        <v>2.4</v>
      </c>
      <c r="L830" s="3">
        <v>7.9</v>
      </c>
      <c r="M830" t="s">
        <v>1035</v>
      </c>
      <c r="N830">
        <v>67.930000000000007</v>
      </c>
    </row>
    <row r="831" spans="1:14" x14ac:dyDescent="0.3">
      <c r="A831" t="s">
        <v>843</v>
      </c>
      <c r="B831" t="s">
        <v>1014</v>
      </c>
      <c r="C831" t="s">
        <v>1025</v>
      </c>
      <c r="D831">
        <v>35</v>
      </c>
      <c r="E831">
        <v>7</v>
      </c>
      <c r="F831" s="3">
        <v>56021</v>
      </c>
      <c r="G831">
        <v>36</v>
      </c>
      <c r="H831">
        <v>12</v>
      </c>
      <c r="I831">
        <v>5</v>
      </c>
      <c r="J831">
        <v>35</v>
      </c>
      <c r="K831">
        <v>3.1</v>
      </c>
      <c r="L831" s="3">
        <v>9.6999999999999993</v>
      </c>
      <c r="M831" t="s">
        <v>1034</v>
      </c>
      <c r="N831">
        <v>87.5</v>
      </c>
    </row>
    <row r="832" spans="1:14" x14ac:dyDescent="0.3">
      <c r="A832" t="s">
        <v>844</v>
      </c>
      <c r="B832" t="s">
        <v>1017</v>
      </c>
      <c r="C832" t="s">
        <v>1026</v>
      </c>
      <c r="D832">
        <v>29</v>
      </c>
      <c r="E832">
        <v>1</v>
      </c>
      <c r="F832" s="3">
        <v>49221</v>
      </c>
      <c r="G832">
        <v>53</v>
      </c>
      <c r="H832">
        <v>5</v>
      </c>
      <c r="I832">
        <v>1</v>
      </c>
      <c r="J832">
        <v>33</v>
      </c>
      <c r="K832">
        <v>2.5</v>
      </c>
      <c r="L832" s="3">
        <v>5.6</v>
      </c>
      <c r="M832" t="s">
        <v>1036</v>
      </c>
      <c r="N832">
        <v>49.43</v>
      </c>
    </row>
    <row r="833" spans="1:14" x14ac:dyDescent="0.3">
      <c r="A833" t="s">
        <v>845</v>
      </c>
      <c r="B833" t="s">
        <v>1016</v>
      </c>
      <c r="C833" t="s">
        <v>1033</v>
      </c>
      <c r="D833">
        <v>40</v>
      </c>
      <c r="E833">
        <v>15</v>
      </c>
      <c r="F833" s="3">
        <v>26833</v>
      </c>
      <c r="G833">
        <v>39</v>
      </c>
      <c r="H833">
        <v>3</v>
      </c>
      <c r="I833">
        <v>25</v>
      </c>
      <c r="J833">
        <v>37</v>
      </c>
      <c r="K833">
        <v>3.3</v>
      </c>
      <c r="L833" s="3">
        <v>9.6</v>
      </c>
      <c r="M833" t="s">
        <v>1034</v>
      </c>
      <c r="N833">
        <v>72.5</v>
      </c>
    </row>
    <row r="834" spans="1:14" x14ac:dyDescent="0.3">
      <c r="A834" t="s">
        <v>846</v>
      </c>
      <c r="B834" t="s">
        <v>1016</v>
      </c>
      <c r="C834" t="s">
        <v>1033</v>
      </c>
      <c r="D834">
        <v>35</v>
      </c>
      <c r="E834">
        <v>2</v>
      </c>
      <c r="F834" s="3">
        <v>78682</v>
      </c>
      <c r="G834">
        <v>50</v>
      </c>
      <c r="H834">
        <v>1</v>
      </c>
      <c r="I834">
        <v>3</v>
      </c>
      <c r="J834">
        <v>35</v>
      </c>
      <c r="K834">
        <v>3</v>
      </c>
      <c r="L834" s="3">
        <v>9.1</v>
      </c>
      <c r="M834" t="s">
        <v>1034</v>
      </c>
      <c r="N834">
        <v>65.27</v>
      </c>
    </row>
    <row r="835" spans="1:14" x14ac:dyDescent="0.3">
      <c r="A835" t="s">
        <v>847</v>
      </c>
      <c r="B835" t="s">
        <v>1017</v>
      </c>
      <c r="C835" t="s">
        <v>1030</v>
      </c>
      <c r="D835">
        <v>41</v>
      </c>
      <c r="E835">
        <v>14</v>
      </c>
      <c r="F835" s="3">
        <v>84001</v>
      </c>
      <c r="G835">
        <v>45</v>
      </c>
      <c r="H835">
        <v>13</v>
      </c>
      <c r="I835">
        <v>12</v>
      </c>
      <c r="J835">
        <v>30</v>
      </c>
      <c r="K835">
        <v>4.5</v>
      </c>
      <c r="L835" s="3">
        <v>8.8000000000000007</v>
      </c>
      <c r="M835" t="s">
        <v>1034</v>
      </c>
      <c r="N835">
        <v>87.97</v>
      </c>
    </row>
    <row r="836" spans="1:14" x14ac:dyDescent="0.3">
      <c r="A836" t="s">
        <v>848</v>
      </c>
      <c r="B836" t="s">
        <v>1018</v>
      </c>
      <c r="C836" t="s">
        <v>1027</v>
      </c>
      <c r="D836">
        <v>54</v>
      </c>
      <c r="E836">
        <v>14</v>
      </c>
      <c r="F836" s="3">
        <v>74917</v>
      </c>
      <c r="G836">
        <v>49</v>
      </c>
      <c r="H836">
        <v>11</v>
      </c>
      <c r="I836">
        <v>14</v>
      </c>
      <c r="J836">
        <v>9</v>
      </c>
      <c r="K836">
        <v>4.5999999999999996</v>
      </c>
      <c r="L836" s="3">
        <v>5.3</v>
      </c>
      <c r="M836" t="s">
        <v>1036</v>
      </c>
      <c r="N836">
        <v>63.93</v>
      </c>
    </row>
    <row r="837" spans="1:14" x14ac:dyDescent="0.3">
      <c r="A837" t="s">
        <v>849</v>
      </c>
      <c r="B837" t="s">
        <v>1015</v>
      </c>
      <c r="C837" t="s">
        <v>1020</v>
      </c>
      <c r="D837">
        <v>48</v>
      </c>
      <c r="E837">
        <v>12</v>
      </c>
      <c r="F837" s="3">
        <v>40258</v>
      </c>
      <c r="G837">
        <v>47</v>
      </c>
      <c r="H837">
        <v>6</v>
      </c>
      <c r="I837">
        <v>17</v>
      </c>
      <c r="J837">
        <v>2</v>
      </c>
      <c r="K837">
        <v>4.9000000000000004</v>
      </c>
      <c r="L837" s="3">
        <v>9.1999999999999993</v>
      </c>
      <c r="M837" t="s">
        <v>1034</v>
      </c>
      <c r="N837">
        <v>79.900000000000006</v>
      </c>
    </row>
    <row r="838" spans="1:14" x14ac:dyDescent="0.3">
      <c r="A838" t="s">
        <v>850</v>
      </c>
      <c r="B838" t="s">
        <v>1016</v>
      </c>
      <c r="C838" t="s">
        <v>1022</v>
      </c>
      <c r="D838">
        <v>27</v>
      </c>
      <c r="E838">
        <v>6</v>
      </c>
      <c r="F838" s="3">
        <v>35853</v>
      </c>
      <c r="G838">
        <v>35</v>
      </c>
      <c r="H838">
        <v>10</v>
      </c>
      <c r="I838">
        <v>20</v>
      </c>
      <c r="J838">
        <v>19</v>
      </c>
      <c r="K838">
        <v>3.7</v>
      </c>
      <c r="L838" s="3">
        <v>3.9</v>
      </c>
      <c r="M838" t="s">
        <v>1036</v>
      </c>
      <c r="N838">
        <v>51.17</v>
      </c>
    </row>
    <row r="839" spans="1:14" x14ac:dyDescent="0.3">
      <c r="A839" t="s">
        <v>851</v>
      </c>
      <c r="B839" t="s">
        <v>1014</v>
      </c>
      <c r="C839" t="s">
        <v>1025</v>
      </c>
      <c r="D839">
        <v>34</v>
      </c>
      <c r="E839">
        <v>9</v>
      </c>
      <c r="F839" s="3">
        <v>60509</v>
      </c>
      <c r="G839">
        <v>53</v>
      </c>
      <c r="H839">
        <v>13</v>
      </c>
      <c r="I839">
        <v>1</v>
      </c>
      <c r="J839">
        <v>36</v>
      </c>
      <c r="K839">
        <v>3.6</v>
      </c>
      <c r="L839" s="3">
        <v>8.3000000000000007</v>
      </c>
      <c r="M839" t="s">
        <v>1034</v>
      </c>
      <c r="N839">
        <v>82.27</v>
      </c>
    </row>
    <row r="840" spans="1:14" x14ac:dyDescent="0.3">
      <c r="A840" t="s">
        <v>852</v>
      </c>
      <c r="B840" t="s">
        <v>1014</v>
      </c>
      <c r="C840" t="s">
        <v>1025</v>
      </c>
      <c r="D840">
        <v>29</v>
      </c>
      <c r="E840">
        <v>8</v>
      </c>
      <c r="F840" s="3">
        <v>36779</v>
      </c>
      <c r="G840">
        <v>35</v>
      </c>
      <c r="H840">
        <v>5</v>
      </c>
      <c r="I840">
        <v>25</v>
      </c>
      <c r="J840">
        <v>13</v>
      </c>
      <c r="K840">
        <v>2.7</v>
      </c>
      <c r="L840" s="3">
        <v>7.9</v>
      </c>
      <c r="M840" t="s">
        <v>1035</v>
      </c>
      <c r="N840">
        <v>63.83</v>
      </c>
    </row>
    <row r="841" spans="1:14" x14ac:dyDescent="0.3">
      <c r="A841" t="s">
        <v>853</v>
      </c>
      <c r="B841" t="s">
        <v>1017</v>
      </c>
      <c r="C841" t="s">
        <v>1030</v>
      </c>
      <c r="D841">
        <v>27</v>
      </c>
      <c r="E841">
        <v>6</v>
      </c>
      <c r="F841" s="3">
        <v>59966</v>
      </c>
      <c r="G841">
        <v>54</v>
      </c>
      <c r="H841">
        <v>6</v>
      </c>
      <c r="I841">
        <v>12</v>
      </c>
      <c r="J841">
        <v>37</v>
      </c>
      <c r="K841">
        <v>2.1</v>
      </c>
      <c r="L841" s="3">
        <v>9</v>
      </c>
      <c r="M841" t="s">
        <v>1034</v>
      </c>
      <c r="N841">
        <v>70.3</v>
      </c>
    </row>
    <row r="842" spans="1:14" x14ac:dyDescent="0.3">
      <c r="A842" t="s">
        <v>854</v>
      </c>
      <c r="B842" t="s">
        <v>1016</v>
      </c>
      <c r="C842" t="s">
        <v>1023</v>
      </c>
      <c r="D842">
        <v>49</v>
      </c>
      <c r="E842">
        <v>5</v>
      </c>
      <c r="F842" s="3">
        <v>52193</v>
      </c>
      <c r="G842">
        <v>35</v>
      </c>
      <c r="H842">
        <v>14</v>
      </c>
      <c r="I842">
        <v>16</v>
      </c>
      <c r="J842">
        <v>20</v>
      </c>
      <c r="K842">
        <v>3.1</v>
      </c>
      <c r="L842" s="3">
        <v>3.6</v>
      </c>
      <c r="M842" t="s">
        <v>1036</v>
      </c>
      <c r="N842">
        <v>54.23</v>
      </c>
    </row>
    <row r="843" spans="1:14" x14ac:dyDescent="0.3">
      <c r="A843" t="s">
        <v>855</v>
      </c>
      <c r="B843" t="s">
        <v>1015</v>
      </c>
      <c r="C843" t="s">
        <v>1020</v>
      </c>
      <c r="D843">
        <v>32</v>
      </c>
      <c r="E843">
        <v>4</v>
      </c>
      <c r="F843" s="3">
        <v>34439</v>
      </c>
      <c r="G843">
        <v>40</v>
      </c>
      <c r="H843">
        <v>5</v>
      </c>
      <c r="I843">
        <v>24</v>
      </c>
      <c r="J843">
        <v>5</v>
      </c>
      <c r="K843">
        <v>2.5</v>
      </c>
      <c r="L843" s="3">
        <v>9.6999999999999993</v>
      </c>
      <c r="M843" t="s">
        <v>1034</v>
      </c>
      <c r="N843">
        <v>74.03</v>
      </c>
    </row>
    <row r="844" spans="1:14" x14ac:dyDescent="0.3">
      <c r="A844" t="s">
        <v>856</v>
      </c>
      <c r="B844" t="s">
        <v>1018</v>
      </c>
      <c r="C844" t="s">
        <v>1028</v>
      </c>
      <c r="D844">
        <v>25</v>
      </c>
      <c r="E844">
        <v>4</v>
      </c>
      <c r="F844" s="3">
        <v>87988</v>
      </c>
      <c r="G844">
        <v>45</v>
      </c>
      <c r="H844">
        <v>3</v>
      </c>
      <c r="I844">
        <v>0</v>
      </c>
      <c r="J844">
        <v>3</v>
      </c>
      <c r="K844">
        <v>2.9</v>
      </c>
      <c r="L844" s="3">
        <v>3.7</v>
      </c>
      <c r="M844" t="s">
        <v>1036</v>
      </c>
      <c r="N844">
        <v>35.9</v>
      </c>
    </row>
    <row r="845" spans="1:14" x14ac:dyDescent="0.3">
      <c r="A845" t="s">
        <v>857</v>
      </c>
      <c r="B845" t="s">
        <v>1017</v>
      </c>
      <c r="C845" t="s">
        <v>1026</v>
      </c>
      <c r="D845">
        <v>42</v>
      </c>
      <c r="E845">
        <v>8</v>
      </c>
      <c r="F845" s="3">
        <v>49609</v>
      </c>
      <c r="G845">
        <v>38</v>
      </c>
      <c r="H845">
        <v>1</v>
      </c>
      <c r="I845">
        <v>6</v>
      </c>
      <c r="J845">
        <v>15</v>
      </c>
      <c r="K845">
        <v>4.3</v>
      </c>
      <c r="L845" s="3">
        <v>7.1</v>
      </c>
      <c r="M845" t="s">
        <v>1035</v>
      </c>
      <c r="N845">
        <v>57.17</v>
      </c>
    </row>
    <row r="846" spans="1:14" x14ac:dyDescent="0.3">
      <c r="A846" t="s">
        <v>858</v>
      </c>
      <c r="B846" t="s">
        <v>1015</v>
      </c>
      <c r="C846" t="s">
        <v>1021</v>
      </c>
      <c r="D846">
        <v>54</v>
      </c>
      <c r="E846">
        <v>12</v>
      </c>
      <c r="F846" s="3">
        <v>87217</v>
      </c>
      <c r="G846">
        <v>38</v>
      </c>
      <c r="H846">
        <v>5</v>
      </c>
      <c r="I846">
        <v>1</v>
      </c>
      <c r="J846">
        <v>20</v>
      </c>
      <c r="K846">
        <v>3.4</v>
      </c>
      <c r="L846" s="3">
        <v>5.8</v>
      </c>
      <c r="M846" t="s">
        <v>1036</v>
      </c>
      <c r="N846">
        <v>53.33</v>
      </c>
    </row>
    <row r="847" spans="1:14" x14ac:dyDescent="0.3">
      <c r="A847" t="s">
        <v>859</v>
      </c>
      <c r="B847" t="s">
        <v>1014</v>
      </c>
      <c r="C847" t="s">
        <v>1025</v>
      </c>
      <c r="D847">
        <v>48</v>
      </c>
      <c r="E847">
        <v>7</v>
      </c>
      <c r="F847" s="3">
        <v>84882</v>
      </c>
      <c r="G847">
        <v>35</v>
      </c>
      <c r="H847">
        <v>5</v>
      </c>
      <c r="I847">
        <v>17</v>
      </c>
      <c r="J847">
        <v>37</v>
      </c>
      <c r="K847">
        <v>4</v>
      </c>
      <c r="L847" s="3">
        <v>4.7</v>
      </c>
      <c r="M847" t="s">
        <v>1036</v>
      </c>
      <c r="N847">
        <v>48.53</v>
      </c>
    </row>
    <row r="848" spans="1:14" x14ac:dyDescent="0.3">
      <c r="A848" t="s">
        <v>860</v>
      </c>
      <c r="B848" t="s">
        <v>1018</v>
      </c>
      <c r="C848" t="s">
        <v>1032</v>
      </c>
      <c r="D848">
        <v>41</v>
      </c>
      <c r="E848">
        <v>13</v>
      </c>
      <c r="F848" s="3">
        <v>54227</v>
      </c>
      <c r="G848">
        <v>37</v>
      </c>
      <c r="H848">
        <v>14</v>
      </c>
      <c r="I848">
        <v>20</v>
      </c>
      <c r="J848">
        <v>32</v>
      </c>
      <c r="K848">
        <v>2.6</v>
      </c>
      <c r="L848" s="3">
        <v>9.8000000000000007</v>
      </c>
      <c r="M848" t="s">
        <v>1034</v>
      </c>
      <c r="N848">
        <v>89.93</v>
      </c>
    </row>
    <row r="849" spans="1:14" x14ac:dyDescent="0.3">
      <c r="A849" t="s">
        <v>861</v>
      </c>
      <c r="B849" t="s">
        <v>1015</v>
      </c>
      <c r="C849" t="s">
        <v>1020</v>
      </c>
      <c r="D849">
        <v>32</v>
      </c>
      <c r="E849">
        <v>3</v>
      </c>
      <c r="F849" s="3">
        <v>60227</v>
      </c>
      <c r="G849">
        <v>48</v>
      </c>
      <c r="H849">
        <v>15</v>
      </c>
      <c r="I849">
        <v>17</v>
      </c>
      <c r="J849">
        <v>28</v>
      </c>
      <c r="K849">
        <v>2.1</v>
      </c>
      <c r="L849" s="3">
        <v>8.6999999999999993</v>
      </c>
      <c r="M849" t="s">
        <v>1034</v>
      </c>
      <c r="N849">
        <v>83.5</v>
      </c>
    </row>
    <row r="850" spans="1:14" x14ac:dyDescent="0.3">
      <c r="A850" t="s">
        <v>862</v>
      </c>
      <c r="B850" t="s">
        <v>1016</v>
      </c>
      <c r="C850" t="s">
        <v>1033</v>
      </c>
      <c r="D850">
        <v>32</v>
      </c>
      <c r="E850">
        <v>0</v>
      </c>
      <c r="F850" s="3">
        <v>28943</v>
      </c>
      <c r="G850">
        <v>50</v>
      </c>
      <c r="H850">
        <v>5</v>
      </c>
      <c r="I850">
        <v>19</v>
      </c>
      <c r="J850">
        <v>16</v>
      </c>
      <c r="K850">
        <v>4.5</v>
      </c>
      <c r="L850" s="3">
        <v>5.7</v>
      </c>
      <c r="M850" t="s">
        <v>1036</v>
      </c>
      <c r="N850">
        <v>56.03</v>
      </c>
    </row>
    <row r="851" spans="1:14" x14ac:dyDescent="0.3">
      <c r="A851" t="s">
        <v>863</v>
      </c>
      <c r="B851" t="s">
        <v>1018</v>
      </c>
      <c r="C851" t="s">
        <v>1027</v>
      </c>
      <c r="D851">
        <v>54</v>
      </c>
      <c r="E851">
        <v>9</v>
      </c>
      <c r="F851" s="3">
        <v>27980</v>
      </c>
      <c r="G851">
        <v>40</v>
      </c>
      <c r="H851">
        <v>12</v>
      </c>
      <c r="I851">
        <v>17</v>
      </c>
      <c r="J851">
        <v>36</v>
      </c>
      <c r="K851">
        <v>2.2000000000000002</v>
      </c>
      <c r="L851" s="3">
        <v>3.6</v>
      </c>
      <c r="M851" t="s">
        <v>1036</v>
      </c>
      <c r="N851">
        <v>48.2</v>
      </c>
    </row>
    <row r="852" spans="1:14" x14ac:dyDescent="0.3">
      <c r="A852" t="s">
        <v>864</v>
      </c>
      <c r="B852" t="s">
        <v>1014</v>
      </c>
      <c r="C852" t="s">
        <v>1025</v>
      </c>
      <c r="D852">
        <v>30</v>
      </c>
      <c r="E852">
        <v>8</v>
      </c>
      <c r="F852" s="3">
        <v>43314</v>
      </c>
      <c r="G852">
        <v>48</v>
      </c>
      <c r="H852">
        <v>4</v>
      </c>
      <c r="I852">
        <v>19</v>
      </c>
      <c r="J852">
        <v>32</v>
      </c>
      <c r="K852">
        <v>4.9000000000000004</v>
      </c>
      <c r="L852" s="3">
        <v>5.2</v>
      </c>
      <c r="M852" t="s">
        <v>1036</v>
      </c>
      <c r="N852">
        <v>52.57</v>
      </c>
    </row>
    <row r="853" spans="1:14" x14ac:dyDescent="0.3">
      <c r="A853" t="s">
        <v>865</v>
      </c>
      <c r="B853" t="s">
        <v>1016</v>
      </c>
      <c r="C853" t="s">
        <v>1033</v>
      </c>
      <c r="D853">
        <v>38</v>
      </c>
      <c r="E853">
        <v>14</v>
      </c>
      <c r="F853" s="3">
        <v>42892</v>
      </c>
      <c r="G853">
        <v>42</v>
      </c>
      <c r="H853">
        <v>11</v>
      </c>
      <c r="I853">
        <v>10</v>
      </c>
      <c r="J853">
        <v>21</v>
      </c>
      <c r="K853">
        <v>2.6</v>
      </c>
      <c r="L853" s="3">
        <v>9.6999999999999993</v>
      </c>
      <c r="M853" t="s">
        <v>1034</v>
      </c>
      <c r="N853">
        <v>84.33</v>
      </c>
    </row>
    <row r="854" spans="1:14" x14ac:dyDescent="0.3">
      <c r="A854" t="s">
        <v>866</v>
      </c>
      <c r="B854" t="s">
        <v>1014</v>
      </c>
      <c r="C854" t="s">
        <v>1025</v>
      </c>
      <c r="D854">
        <v>30</v>
      </c>
      <c r="E854">
        <v>0</v>
      </c>
      <c r="F854" s="3">
        <v>64897</v>
      </c>
      <c r="G854">
        <v>50</v>
      </c>
      <c r="H854">
        <v>1</v>
      </c>
      <c r="I854">
        <v>0</v>
      </c>
      <c r="J854">
        <v>11</v>
      </c>
      <c r="K854">
        <v>3.2</v>
      </c>
      <c r="L854" s="3">
        <v>9.3000000000000007</v>
      </c>
      <c r="M854" t="s">
        <v>1034</v>
      </c>
      <c r="N854">
        <v>67.069999999999993</v>
      </c>
    </row>
    <row r="855" spans="1:14" x14ac:dyDescent="0.3">
      <c r="A855" t="s">
        <v>867</v>
      </c>
      <c r="B855" t="s">
        <v>1017</v>
      </c>
      <c r="C855" t="s">
        <v>1024</v>
      </c>
      <c r="D855">
        <v>47</v>
      </c>
      <c r="E855">
        <v>2</v>
      </c>
      <c r="F855" s="3">
        <v>76596</v>
      </c>
      <c r="G855">
        <v>55</v>
      </c>
      <c r="H855">
        <v>11</v>
      </c>
      <c r="I855">
        <v>2</v>
      </c>
      <c r="J855">
        <v>34</v>
      </c>
      <c r="K855">
        <v>2.1</v>
      </c>
      <c r="L855" s="3">
        <v>8.8000000000000007</v>
      </c>
      <c r="M855" t="s">
        <v>1034</v>
      </c>
      <c r="N855">
        <v>77.430000000000007</v>
      </c>
    </row>
    <row r="856" spans="1:14" x14ac:dyDescent="0.3">
      <c r="A856" t="s">
        <v>868</v>
      </c>
      <c r="B856" t="s">
        <v>1017</v>
      </c>
      <c r="C856" t="s">
        <v>1024</v>
      </c>
      <c r="D856">
        <v>29</v>
      </c>
      <c r="E856">
        <v>5</v>
      </c>
      <c r="F856" s="3">
        <v>88703</v>
      </c>
      <c r="G856">
        <v>47</v>
      </c>
      <c r="H856">
        <v>14</v>
      </c>
      <c r="I856">
        <v>19</v>
      </c>
      <c r="J856">
        <v>22</v>
      </c>
      <c r="K856">
        <v>3.2</v>
      </c>
      <c r="L856" s="3">
        <v>8.9</v>
      </c>
      <c r="M856" t="s">
        <v>1034</v>
      </c>
      <c r="N856">
        <v>86.33</v>
      </c>
    </row>
    <row r="857" spans="1:14" x14ac:dyDescent="0.3">
      <c r="A857" t="s">
        <v>869</v>
      </c>
      <c r="B857" t="s">
        <v>1014</v>
      </c>
      <c r="C857" t="s">
        <v>1025</v>
      </c>
      <c r="D857">
        <v>29</v>
      </c>
      <c r="E857">
        <v>7</v>
      </c>
      <c r="F857" s="3">
        <v>49279</v>
      </c>
      <c r="G857">
        <v>41</v>
      </c>
      <c r="H857">
        <v>8</v>
      </c>
      <c r="I857">
        <v>0</v>
      </c>
      <c r="J857">
        <v>14</v>
      </c>
      <c r="K857">
        <v>4.2</v>
      </c>
      <c r="L857" s="3">
        <v>8.3000000000000007</v>
      </c>
      <c r="M857" t="s">
        <v>1034</v>
      </c>
      <c r="N857">
        <v>75.73</v>
      </c>
    </row>
    <row r="858" spans="1:14" x14ac:dyDescent="0.3">
      <c r="A858" t="s">
        <v>870</v>
      </c>
      <c r="B858" t="s">
        <v>1016</v>
      </c>
      <c r="C858" t="s">
        <v>1033</v>
      </c>
      <c r="D858">
        <v>34</v>
      </c>
      <c r="E858">
        <v>1</v>
      </c>
      <c r="F858" s="3">
        <v>78495</v>
      </c>
      <c r="G858">
        <v>54</v>
      </c>
      <c r="H858">
        <v>11</v>
      </c>
      <c r="I858">
        <v>9</v>
      </c>
      <c r="J858">
        <v>14</v>
      </c>
      <c r="K858">
        <v>2.7</v>
      </c>
      <c r="L858" s="3">
        <v>6.5</v>
      </c>
      <c r="M858" t="s">
        <v>1035</v>
      </c>
      <c r="N858">
        <v>65.430000000000007</v>
      </c>
    </row>
    <row r="859" spans="1:14" x14ac:dyDescent="0.3">
      <c r="A859" t="s">
        <v>871</v>
      </c>
      <c r="B859" t="s">
        <v>1014</v>
      </c>
      <c r="C859" t="s">
        <v>1019</v>
      </c>
      <c r="D859">
        <v>39</v>
      </c>
      <c r="E859">
        <v>15</v>
      </c>
      <c r="F859" s="3">
        <v>84277</v>
      </c>
      <c r="G859">
        <v>54</v>
      </c>
      <c r="H859">
        <v>4</v>
      </c>
      <c r="I859">
        <v>0</v>
      </c>
      <c r="J859">
        <v>12</v>
      </c>
      <c r="K859">
        <v>5</v>
      </c>
      <c r="L859" s="3">
        <v>7.5</v>
      </c>
      <c r="M859" t="s">
        <v>1035</v>
      </c>
      <c r="N859">
        <v>66.67</v>
      </c>
    </row>
    <row r="860" spans="1:14" x14ac:dyDescent="0.3">
      <c r="A860" t="s">
        <v>872</v>
      </c>
      <c r="B860" t="s">
        <v>1016</v>
      </c>
      <c r="C860" t="s">
        <v>1023</v>
      </c>
      <c r="D860">
        <v>54</v>
      </c>
      <c r="E860">
        <v>15</v>
      </c>
      <c r="F860" s="3">
        <v>36172</v>
      </c>
      <c r="G860">
        <v>52</v>
      </c>
      <c r="H860">
        <v>4</v>
      </c>
      <c r="I860">
        <v>21</v>
      </c>
      <c r="J860">
        <v>36</v>
      </c>
      <c r="K860">
        <v>4</v>
      </c>
      <c r="L860" s="3">
        <v>7.2</v>
      </c>
      <c r="M860" t="s">
        <v>1035</v>
      </c>
      <c r="N860">
        <v>61.87</v>
      </c>
    </row>
    <row r="861" spans="1:14" x14ac:dyDescent="0.3">
      <c r="A861" t="s">
        <v>873</v>
      </c>
      <c r="B861" t="s">
        <v>1014</v>
      </c>
      <c r="C861" t="s">
        <v>1031</v>
      </c>
      <c r="D861">
        <v>30</v>
      </c>
      <c r="E861">
        <v>1</v>
      </c>
      <c r="F861" s="3">
        <v>33351</v>
      </c>
      <c r="G861">
        <v>43</v>
      </c>
      <c r="H861">
        <v>15</v>
      </c>
      <c r="I861">
        <v>18</v>
      </c>
      <c r="J861">
        <v>14</v>
      </c>
      <c r="K861">
        <v>4.5999999999999996</v>
      </c>
      <c r="L861" s="3">
        <v>8.1</v>
      </c>
      <c r="M861" t="s">
        <v>1034</v>
      </c>
      <c r="N861">
        <v>87.4</v>
      </c>
    </row>
    <row r="862" spans="1:14" x14ac:dyDescent="0.3">
      <c r="A862" t="s">
        <v>874</v>
      </c>
      <c r="B862" t="s">
        <v>1018</v>
      </c>
      <c r="C862" t="s">
        <v>1032</v>
      </c>
      <c r="D862">
        <v>23</v>
      </c>
      <c r="E862">
        <v>2</v>
      </c>
      <c r="F862" s="3">
        <v>69416</v>
      </c>
      <c r="G862">
        <v>52</v>
      </c>
      <c r="H862">
        <v>10</v>
      </c>
      <c r="I862">
        <v>8</v>
      </c>
      <c r="J862">
        <v>35</v>
      </c>
      <c r="K862">
        <v>4.5999999999999996</v>
      </c>
      <c r="L862" s="3">
        <v>3</v>
      </c>
      <c r="M862" t="s">
        <v>1036</v>
      </c>
      <c r="N862">
        <v>48.47</v>
      </c>
    </row>
    <row r="863" spans="1:14" x14ac:dyDescent="0.3">
      <c r="A863" t="s">
        <v>875</v>
      </c>
      <c r="B863" t="s">
        <v>1014</v>
      </c>
      <c r="C863" t="s">
        <v>1019</v>
      </c>
      <c r="D863">
        <v>42</v>
      </c>
      <c r="E863">
        <v>13</v>
      </c>
      <c r="F863" s="3">
        <v>80334</v>
      </c>
      <c r="G863">
        <v>48</v>
      </c>
      <c r="H863">
        <v>5</v>
      </c>
      <c r="I863">
        <v>3</v>
      </c>
      <c r="J863">
        <v>33</v>
      </c>
      <c r="K863">
        <v>3.4</v>
      </c>
      <c r="L863" s="3">
        <v>5.5</v>
      </c>
      <c r="M863" t="s">
        <v>1036</v>
      </c>
      <c r="N863">
        <v>51.53</v>
      </c>
    </row>
    <row r="864" spans="1:14" x14ac:dyDescent="0.3">
      <c r="A864" t="s">
        <v>876</v>
      </c>
      <c r="B864" t="s">
        <v>1018</v>
      </c>
      <c r="C864" t="s">
        <v>1028</v>
      </c>
      <c r="D864">
        <v>25</v>
      </c>
      <c r="E864">
        <v>2</v>
      </c>
      <c r="F864" s="3">
        <v>85187</v>
      </c>
      <c r="G864">
        <v>48</v>
      </c>
      <c r="H864">
        <v>9</v>
      </c>
      <c r="I864">
        <v>14</v>
      </c>
      <c r="J864">
        <v>20</v>
      </c>
      <c r="K864">
        <v>2</v>
      </c>
      <c r="L864" s="3">
        <v>4.4000000000000004</v>
      </c>
      <c r="M864" t="s">
        <v>1036</v>
      </c>
      <c r="N864">
        <v>47.4</v>
      </c>
    </row>
    <row r="865" spans="1:14" x14ac:dyDescent="0.3">
      <c r="A865" t="s">
        <v>877</v>
      </c>
      <c r="B865" t="s">
        <v>1015</v>
      </c>
      <c r="C865" t="s">
        <v>1020</v>
      </c>
      <c r="D865">
        <v>23</v>
      </c>
      <c r="E865">
        <v>2</v>
      </c>
      <c r="F865" s="3">
        <v>39786</v>
      </c>
      <c r="G865">
        <v>48</v>
      </c>
      <c r="H865">
        <v>2</v>
      </c>
      <c r="I865">
        <v>7</v>
      </c>
      <c r="J865">
        <v>12</v>
      </c>
      <c r="K865">
        <v>2.5</v>
      </c>
      <c r="L865" s="3">
        <v>5.2</v>
      </c>
      <c r="M865" t="s">
        <v>1036</v>
      </c>
      <c r="N865">
        <v>42.03</v>
      </c>
    </row>
    <row r="866" spans="1:14" x14ac:dyDescent="0.3">
      <c r="A866" t="s">
        <v>878</v>
      </c>
      <c r="B866" t="s">
        <v>1014</v>
      </c>
      <c r="C866" t="s">
        <v>1019</v>
      </c>
      <c r="D866">
        <v>23</v>
      </c>
      <c r="E866">
        <v>1</v>
      </c>
      <c r="F866" s="3">
        <v>53308</v>
      </c>
      <c r="G866">
        <v>35</v>
      </c>
      <c r="H866">
        <v>10</v>
      </c>
      <c r="I866">
        <v>25</v>
      </c>
      <c r="J866">
        <v>40</v>
      </c>
      <c r="K866">
        <v>4.8</v>
      </c>
      <c r="L866" s="3">
        <v>8.9</v>
      </c>
      <c r="M866" t="s">
        <v>1034</v>
      </c>
      <c r="N866">
        <v>84.47</v>
      </c>
    </row>
    <row r="867" spans="1:14" x14ac:dyDescent="0.3">
      <c r="A867" t="s">
        <v>879</v>
      </c>
      <c r="B867" t="s">
        <v>1014</v>
      </c>
      <c r="C867" t="s">
        <v>1019</v>
      </c>
      <c r="D867">
        <v>52</v>
      </c>
      <c r="E867">
        <v>7</v>
      </c>
      <c r="F867" s="3">
        <v>87836</v>
      </c>
      <c r="G867">
        <v>45</v>
      </c>
      <c r="H867">
        <v>14</v>
      </c>
      <c r="I867">
        <v>1</v>
      </c>
      <c r="J867">
        <v>21</v>
      </c>
      <c r="K867">
        <v>3.6</v>
      </c>
      <c r="L867" s="3">
        <v>4.7</v>
      </c>
      <c r="M867" t="s">
        <v>1036</v>
      </c>
      <c r="N867">
        <v>62.33</v>
      </c>
    </row>
    <row r="868" spans="1:14" x14ac:dyDescent="0.3">
      <c r="A868" t="s">
        <v>880</v>
      </c>
      <c r="B868" t="s">
        <v>1015</v>
      </c>
      <c r="C868" t="s">
        <v>1021</v>
      </c>
      <c r="D868">
        <v>50</v>
      </c>
      <c r="E868">
        <v>3</v>
      </c>
      <c r="F868" s="3">
        <v>65982</v>
      </c>
      <c r="G868">
        <v>49</v>
      </c>
      <c r="H868">
        <v>10</v>
      </c>
      <c r="I868">
        <v>3</v>
      </c>
      <c r="J868">
        <v>5</v>
      </c>
      <c r="K868">
        <v>4.9000000000000004</v>
      </c>
      <c r="L868" s="3">
        <v>9.4</v>
      </c>
      <c r="M868" t="s">
        <v>1034</v>
      </c>
      <c r="N868">
        <v>87.77</v>
      </c>
    </row>
    <row r="869" spans="1:14" x14ac:dyDescent="0.3">
      <c r="A869" t="s">
        <v>881</v>
      </c>
      <c r="B869" t="s">
        <v>1016</v>
      </c>
      <c r="C869" t="s">
        <v>1022</v>
      </c>
      <c r="D869">
        <v>26</v>
      </c>
      <c r="E869">
        <v>1</v>
      </c>
      <c r="F869" s="3">
        <v>29063</v>
      </c>
      <c r="G869">
        <v>49</v>
      </c>
      <c r="H869">
        <v>1</v>
      </c>
      <c r="I869">
        <v>9</v>
      </c>
      <c r="J869">
        <v>39</v>
      </c>
      <c r="K869">
        <v>3.9</v>
      </c>
      <c r="L869" s="3">
        <v>3.5</v>
      </c>
      <c r="M869" t="s">
        <v>1036</v>
      </c>
      <c r="N869">
        <v>34.369999999999997</v>
      </c>
    </row>
    <row r="870" spans="1:14" x14ac:dyDescent="0.3">
      <c r="A870" t="s">
        <v>882</v>
      </c>
      <c r="B870" t="s">
        <v>1014</v>
      </c>
      <c r="C870" t="s">
        <v>1025</v>
      </c>
      <c r="D870">
        <v>25</v>
      </c>
      <c r="E870">
        <v>2</v>
      </c>
      <c r="F870" s="3">
        <v>80700</v>
      </c>
      <c r="G870">
        <v>47</v>
      </c>
      <c r="H870">
        <v>7</v>
      </c>
      <c r="I870">
        <v>3</v>
      </c>
      <c r="J870">
        <v>39</v>
      </c>
      <c r="K870">
        <v>4.3</v>
      </c>
      <c r="L870" s="3">
        <v>4.5999999999999996</v>
      </c>
      <c r="M870" t="s">
        <v>1036</v>
      </c>
      <c r="N870">
        <v>52.17</v>
      </c>
    </row>
    <row r="871" spans="1:14" x14ac:dyDescent="0.3">
      <c r="A871" t="s">
        <v>883</v>
      </c>
      <c r="B871" t="s">
        <v>1015</v>
      </c>
      <c r="C871" t="s">
        <v>1020</v>
      </c>
      <c r="D871">
        <v>22</v>
      </c>
      <c r="E871">
        <v>1</v>
      </c>
      <c r="F871" s="3">
        <v>50160</v>
      </c>
      <c r="G871">
        <v>49</v>
      </c>
      <c r="H871">
        <v>13</v>
      </c>
      <c r="I871">
        <v>13</v>
      </c>
      <c r="J871">
        <v>39</v>
      </c>
      <c r="K871">
        <v>3.9</v>
      </c>
      <c r="L871" s="3">
        <v>5.4</v>
      </c>
      <c r="M871" t="s">
        <v>1036</v>
      </c>
      <c r="N871">
        <v>65.77</v>
      </c>
    </row>
    <row r="872" spans="1:14" x14ac:dyDescent="0.3">
      <c r="A872" t="s">
        <v>884</v>
      </c>
      <c r="B872" t="s">
        <v>1014</v>
      </c>
      <c r="C872" t="s">
        <v>1019</v>
      </c>
      <c r="D872">
        <v>51</v>
      </c>
      <c r="E872">
        <v>10</v>
      </c>
      <c r="F872" s="3">
        <v>63522</v>
      </c>
      <c r="G872">
        <v>41</v>
      </c>
      <c r="H872">
        <v>2</v>
      </c>
      <c r="I872">
        <v>3</v>
      </c>
      <c r="J872">
        <v>0</v>
      </c>
      <c r="K872">
        <v>3.8</v>
      </c>
      <c r="L872" s="3">
        <v>3.5</v>
      </c>
      <c r="M872" t="s">
        <v>1036</v>
      </c>
      <c r="N872">
        <v>35.729999999999997</v>
      </c>
    </row>
    <row r="873" spans="1:14" x14ac:dyDescent="0.3">
      <c r="A873" t="s">
        <v>885</v>
      </c>
      <c r="B873" t="s">
        <v>1015</v>
      </c>
      <c r="C873" t="s">
        <v>1029</v>
      </c>
      <c r="D873">
        <v>30</v>
      </c>
      <c r="E873">
        <v>8</v>
      </c>
      <c r="F873" s="3">
        <v>41795</v>
      </c>
      <c r="G873">
        <v>46</v>
      </c>
      <c r="H873">
        <v>7</v>
      </c>
      <c r="I873">
        <v>15</v>
      </c>
      <c r="J873">
        <v>39</v>
      </c>
      <c r="K873">
        <v>3.3</v>
      </c>
      <c r="L873" s="3">
        <v>4.7</v>
      </c>
      <c r="M873" t="s">
        <v>1036</v>
      </c>
      <c r="N873">
        <v>49.77</v>
      </c>
    </row>
    <row r="874" spans="1:14" x14ac:dyDescent="0.3">
      <c r="A874" t="s">
        <v>886</v>
      </c>
      <c r="B874" t="s">
        <v>1014</v>
      </c>
      <c r="C874" t="s">
        <v>1019</v>
      </c>
      <c r="D874">
        <v>30</v>
      </c>
      <c r="E874">
        <v>4</v>
      </c>
      <c r="F874" s="3">
        <v>63307</v>
      </c>
      <c r="G874">
        <v>48</v>
      </c>
      <c r="H874">
        <v>9</v>
      </c>
      <c r="I874">
        <v>20</v>
      </c>
      <c r="J874">
        <v>22</v>
      </c>
      <c r="K874">
        <v>2.9</v>
      </c>
      <c r="L874" s="3">
        <v>9.1999999999999993</v>
      </c>
      <c r="M874" t="s">
        <v>1034</v>
      </c>
      <c r="N874">
        <v>78.900000000000006</v>
      </c>
    </row>
    <row r="875" spans="1:14" x14ac:dyDescent="0.3">
      <c r="A875" t="s">
        <v>887</v>
      </c>
      <c r="B875" t="s">
        <v>1018</v>
      </c>
      <c r="C875" t="s">
        <v>1028</v>
      </c>
      <c r="D875">
        <v>52</v>
      </c>
      <c r="E875">
        <v>9</v>
      </c>
      <c r="F875" s="3">
        <v>64539</v>
      </c>
      <c r="G875">
        <v>45</v>
      </c>
      <c r="H875">
        <v>5</v>
      </c>
      <c r="I875">
        <v>11</v>
      </c>
      <c r="J875">
        <v>0</v>
      </c>
      <c r="K875">
        <v>3.6</v>
      </c>
      <c r="L875" s="3">
        <v>7.6</v>
      </c>
      <c r="M875" t="s">
        <v>1035</v>
      </c>
      <c r="N875">
        <v>64.73</v>
      </c>
    </row>
    <row r="876" spans="1:14" x14ac:dyDescent="0.3">
      <c r="A876" t="s">
        <v>888</v>
      </c>
      <c r="B876" t="s">
        <v>1014</v>
      </c>
      <c r="C876" t="s">
        <v>1031</v>
      </c>
      <c r="D876">
        <v>37</v>
      </c>
      <c r="E876">
        <v>1</v>
      </c>
      <c r="F876" s="3">
        <v>52660</v>
      </c>
      <c r="G876">
        <v>46</v>
      </c>
      <c r="H876">
        <v>4</v>
      </c>
      <c r="I876">
        <v>6</v>
      </c>
      <c r="J876">
        <v>40</v>
      </c>
      <c r="K876">
        <v>4.7</v>
      </c>
      <c r="L876" s="3">
        <v>8.5</v>
      </c>
      <c r="M876" t="s">
        <v>1034</v>
      </c>
      <c r="N876">
        <v>71.77</v>
      </c>
    </row>
    <row r="877" spans="1:14" x14ac:dyDescent="0.3">
      <c r="A877" t="s">
        <v>889</v>
      </c>
      <c r="B877" t="s">
        <v>1018</v>
      </c>
      <c r="C877" t="s">
        <v>1032</v>
      </c>
      <c r="D877">
        <v>52</v>
      </c>
      <c r="E877">
        <v>14</v>
      </c>
      <c r="F877" s="3">
        <v>64306</v>
      </c>
      <c r="G877">
        <v>45</v>
      </c>
      <c r="H877">
        <v>14</v>
      </c>
      <c r="I877">
        <v>18</v>
      </c>
      <c r="J877">
        <v>36</v>
      </c>
      <c r="K877">
        <v>4.9000000000000004</v>
      </c>
      <c r="L877" s="3">
        <v>7.3</v>
      </c>
      <c r="M877" t="s">
        <v>1035</v>
      </c>
      <c r="N877">
        <v>81.83</v>
      </c>
    </row>
    <row r="878" spans="1:14" x14ac:dyDescent="0.3">
      <c r="A878" t="s">
        <v>890</v>
      </c>
      <c r="B878" t="s">
        <v>1016</v>
      </c>
      <c r="C878" t="s">
        <v>1033</v>
      </c>
      <c r="D878">
        <v>32</v>
      </c>
      <c r="E878">
        <v>1</v>
      </c>
      <c r="F878" s="3">
        <v>54773</v>
      </c>
      <c r="G878">
        <v>36</v>
      </c>
      <c r="H878">
        <v>8</v>
      </c>
      <c r="I878">
        <v>7</v>
      </c>
      <c r="J878">
        <v>0</v>
      </c>
      <c r="K878">
        <v>3.9</v>
      </c>
      <c r="L878" s="3">
        <v>7.9</v>
      </c>
      <c r="M878" t="s">
        <v>1035</v>
      </c>
      <c r="N878">
        <v>72.430000000000007</v>
      </c>
    </row>
    <row r="879" spans="1:14" x14ac:dyDescent="0.3">
      <c r="A879" t="s">
        <v>891</v>
      </c>
      <c r="B879" t="s">
        <v>1015</v>
      </c>
      <c r="C879" t="s">
        <v>1029</v>
      </c>
      <c r="D879">
        <v>35</v>
      </c>
      <c r="E879">
        <v>3</v>
      </c>
      <c r="F879" s="3">
        <v>56506</v>
      </c>
      <c r="G879">
        <v>45</v>
      </c>
      <c r="H879">
        <v>13</v>
      </c>
      <c r="I879">
        <v>23</v>
      </c>
      <c r="J879">
        <v>24</v>
      </c>
      <c r="K879">
        <v>2.6</v>
      </c>
      <c r="L879" s="3">
        <v>4.3</v>
      </c>
      <c r="M879" t="s">
        <v>1036</v>
      </c>
      <c r="N879">
        <v>55.27</v>
      </c>
    </row>
    <row r="880" spans="1:14" x14ac:dyDescent="0.3">
      <c r="A880" t="s">
        <v>892</v>
      </c>
      <c r="B880" t="s">
        <v>1016</v>
      </c>
      <c r="C880" t="s">
        <v>1022</v>
      </c>
      <c r="D880">
        <v>22</v>
      </c>
      <c r="E880">
        <v>0</v>
      </c>
      <c r="F880" s="3">
        <v>48454</v>
      </c>
      <c r="G880">
        <v>35</v>
      </c>
      <c r="H880">
        <v>9</v>
      </c>
      <c r="I880">
        <v>3</v>
      </c>
      <c r="J880">
        <v>9</v>
      </c>
      <c r="K880">
        <v>2.9</v>
      </c>
      <c r="L880" s="3">
        <v>4.4000000000000004</v>
      </c>
      <c r="M880" t="s">
        <v>1036</v>
      </c>
      <c r="N880">
        <v>50.1</v>
      </c>
    </row>
    <row r="881" spans="1:14" x14ac:dyDescent="0.3">
      <c r="A881" t="s">
        <v>893</v>
      </c>
      <c r="B881" t="s">
        <v>1016</v>
      </c>
      <c r="C881" t="s">
        <v>1033</v>
      </c>
      <c r="D881">
        <v>24</v>
      </c>
      <c r="E881">
        <v>0</v>
      </c>
      <c r="F881" s="3">
        <v>38049</v>
      </c>
      <c r="G881">
        <v>41</v>
      </c>
      <c r="H881">
        <v>5</v>
      </c>
      <c r="I881">
        <v>5</v>
      </c>
      <c r="J881">
        <v>14</v>
      </c>
      <c r="K881">
        <v>4.7</v>
      </c>
      <c r="L881" s="3">
        <v>8</v>
      </c>
      <c r="M881" t="s">
        <v>1034</v>
      </c>
      <c r="N881">
        <v>70.430000000000007</v>
      </c>
    </row>
    <row r="882" spans="1:14" x14ac:dyDescent="0.3">
      <c r="A882" t="s">
        <v>894</v>
      </c>
      <c r="B882" t="s">
        <v>1015</v>
      </c>
      <c r="C882" t="s">
        <v>1021</v>
      </c>
      <c r="D882">
        <v>37</v>
      </c>
      <c r="E882">
        <v>5</v>
      </c>
      <c r="F882" s="3">
        <v>37844</v>
      </c>
      <c r="G882">
        <v>35</v>
      </c>
      <c r="H882">
        <v>3</v>
      </c>
      <c r="I882">
        <v>8</v>
      </c>
      <c r="J882">
        <v>6</v>
      </c>
      <c r="K882">
        <v>2.1</v>
      </c>
      <c r="L882" s="3">
        <v>7.7</v>
      </c>
      <c r="M882" t="s">
        <v>1035</v>
      </c>
      <c r="N882">
        <v>57.5</v>
      </c>
    </row>
    <row r="883" spans="1:14" x14ac:dyDescent="0.3">
      <c r="A883" t="s">
        <v>895</v>
      </c>
      <c r="B883" t="s">
        <v>1014</v>
      </c>
      <c r="C883" t="s">
        <v>1025</v>
      </c>
      <c r="D883">
        <v>43</v>
      </c>
      <c r="E883">
        <v>6</v>
      </c>
      <c r="F883" s="3">
        <v>44993</v>
      </c>
      <c r="G883">
        <v>49</v>
      </c>
      <c r="H883">
        <v>4</v>
      </c>
      <c r="I883">
        <v>11</v>
      </c>
      <c r="J883">
        <v>23</v>
      </c>
      <c r="K883">
        <v>4</v>
      </c>
      <c r="L883" s="3">
        <v>9.6</v>
      </c>
      <c r="M883" t="s">
        <v>1034</v>
      </c>
      <c r="N883">
        <v>76.27</v>
      </c>
    </row>
    <row r="884" spans="1:14" x14ac:dyDescent="0.3">
      <c r="A884" t="s">
        <v>896</v>
      </c>
      <c r="B884" t="s">
        <v>1017</v>
      </c>
      <c r="C884" t="s">
        <v>1026</v>
      </c>
      <c r="D884">
        <v>26</v>
      </c>
      <c r="E884">
        <v>0</v>
      </c>
      <c r="F884" s="3">
        <v>34465</v>
      </c>
      <c r="G884">
        <v>39</v>
      </c>
      <c r="H884">
        <v>13</v>
      </c>
      <c r="I884">
        <v>6</v>
      </c>
      <c r="J884">
        <v>12</v>
      </c>
      <c r="K884">
        <v>3.6</v>
      </c>
      <c r="L884" s="3">
        <v>7.9</v>
      </c>
      <c r="M884" t="s">
        <v>1035</v>
      </c>
      <c r="N884">
        <v>79.87</v>
      </c>
    </row>
    <row r="885" spans="1:14" x14ac:dyDescent="0.3">
      <c r="A885" t="s">
        <v>897</v>
      </c>
      <c r="B885" t="s">
        <v>1015</v>
      </c>
      <c r="C885" t="s">
        <v>1029</v>
      </c>
      <c r="D885">
        <v>49</v>
      </c>
      <c r="E885">
        <v>7</v>
      </c>
      <c r="F885" s="3">
        <v>85359</v>
      </c>
      <c r="G885">
        <v>36</v>
      </c>
      <c r="H885">
        <v>13</v>
      </c>
      <c r="I885">
        <v>19</v>
      </c>
      <c r="J885">
        <v>37</v>
      </c>
      <c r="K885">
        <v>2.6</v>
      </c>
      <c r="L885" s="3">
        <v>6.7</v>
      </c>
      <c r="M885" t="s">
        <v>1035</v>
      </c>
      <c r="N885">
        <v>69.67</v>
      </c>
    </row>
    <row r="886" spans="1:14" x14ac:dyDescent="0.3">
      <c r="A886" t="s">
        <v>898</v>
      </c>
      <c r="B886" t="s">
        <v>1016</v>
      </c>
      <c r="C886" t="s">
        <v>1023</v>
      </c>
      <c r="D886">
        <v>37</v>
      </c>
      <c r="E886">
        <v>1</v>
      </c>
      <c r="F886" s="3">
        <v>66252</v>
      </c>
      <c r="G886">
        <v>43</v>
      </c>
      <c r="H886">
        <v>14</v>
      </c>
      <c r="I886">
        <v>4</v>
      </c>
      <c r="J886">
        <v>32</v>
      </c>
      <c r="K886">
        <v>4.9000000000000004</v>
      </c>
      <c r="L886" s="3">
        <v>9.1999999999999993</v>
      </c>
      <c r="M886" t="s">
        <v>1034</v>
      </c>
      <c r="N886">
        <v>93.23</v>
      </c>
    </row>
    <row r="887" spans="1:14" x14ac:dyDescent="0.3">
      <c r="A887" t="s">
        <v>899</v>
      </c>
      <c r="B887" t="s">
        <v>1014</v>
      </c>
      <c r="C887" t="s">
        <v>1019</v>
      </c>
      <c r="D887">
        <v>52</v>
      </c>
      <c r="E887">
        <v>2</v>
      </c>
      <c r="F887" s="3">
        <v>35972</v>
      </c>
      <c r="G887">
        <v>51</v>
      </c>
      <c r="H887">
        <v>7</v>
      </c>
      <c r="I887">
        <v>24</v>
      </c>
      <c r="J887">
        <v>32</v>
      </c>
      <c r="K887">
        <v>3.1</v>
      </c>
      <c r="L887" s="3">
        <v>6.6</v>
      </c>
      <c r="M887" t="s">
        <v>1035</v>
      </c>
      <c r="N887">
        <v>60.57</v>
      </c>
    </row>
    <row r="888" spans="1:14" x14ac:dyDescent="0.3">
      <c r="A888" t="s">
        <v>900</v>
      </c>
      <c r="B888" t="s">
        <v>1016</v>
      </c>
      <c r="C888" t="s">
        <v>1022</v>
      </c>
      <c r="D888">
        <v>45</v>
      </c>
      <c r="E888">
        <v>15</v>
      </c>
      <c r="F888" s="3">
        <v>71900</v>
      </c>
      <c r="G888">
        <v>50</v>
      </c>
      <c r="H888">
        <v>8</v>
      </c>
      <c r="I888">
        <v>8</v>
      </c>
      <c r="J888">
        <v>37</v>
      </c>
      <c r="K888">
        <v>3.2</v>
      </c>
      <c r="L888" s="3">
        <v>9.4</v>
      </c>
      <c r="M888" t="s">
        <v>1034</v>
      </c>
      <c r="N888">
        <v>79.33</v>
      </c>
    </row>
    <row r="889" spans="1:14" x14ac:dyDescent="0.3">
      <c r="A889" t="s">
        <v>901</v>
      </c>
      <c r="B889" t="s">
        <v>1014</v>
      </c>
      <c r="C889" t="s">
        <v>1031</v>
      </c>
      <c r="D889">
        <v>35</v>
      </c>
      <c r="E889">
        <v>3</v>
      </c>
      <c r="F889" s="3">
        <v>83647</v>
      </c>
      <c r="G889">
        <v>41</v>
      </c>
      <c r="H889">
        <v>8</v>
      </c>
      <c r="I889">
        <v>7</v>
      </c>
      <c r="J889">
        <v>25</v>
      </c>
      <c r="K889">
        <v>2.7</v>
      </c>
      <c r="L889" s="3">
        <v>6</v>
      </c>
      <c r="M889" t="s">
        <v>1035</v>
      </c>
      <c r="N889">
        <v>57.43</v>
      </c>
    </row>
    <row r="890" spans="1:14" x14ac:dyDescent="0.3">
      <c r="A890" t="s">
        <v>902</v>
      </c>
      <c r="B890" t="s">
        <v>1015</v>
      </c>
      <c r="C890" t="s">
        <v>1029</v>
      </c>
      <c r="D890">
        <v>32</v>
      </c>
      <c r="E890">
        <v>5</v>
      </c>
      <c r="F890" s="3">
        <v>41680</v>
      </c>
      <c r="G890">
        <v>52</v>
      </c>
      <c r="H890">
        <v>2</v>
      </c>
      <c r="I890">
        <v>4</v>
      </c>
      <c r="J890">
        <v>5</v>
      </c>
      <c r="K890">
        <v>2.9</v>
      </c>
      <c r="L890" s="3">
        <v>6.6</v>
      </c>
      <c r="M890" t="s">
        <v>1035</v>
      </c>
      <c r="N890">
        <v>51.63</v>
      </c>
    </row>
    <row r="891" spans="1:14" x14ac:dyDescent="0.3">
      <c r="A891" t="s">
        <v>903</v>
      </c>
      <c r="B891" t="s">
        <v>1015</v>
      </c>
      <c r="C891" t="s">
        <v>1021</v>
      </c>
      <c r="D891">
        <v>24</v>
      </c>
      <c r="E891">
        <v>3</v>
      </c>
      <c r="F891" s="3">
        <v>58571</v>
      </c>
      <c r="G891">
        <v>54</v>
      </c>
      <c r="H891">
        <v>6</v>
      </c>
      <c r="I891">
        <v>13</v>
      </c>
      <c r="J891">
        <v>28</v>
      </c>
      <c r="K891">
        <v>3.4</v>
      </c>
      <c r="L891" s="3">
        <v>5.9</v>
      </c>
      <c r="M891" t="s">
        <v>1036</v>
      </c>
      <c r="N891">
        <v>55.6</v>
      </c>
    </row>
    <row r="892" spans="1:14" x14ac:dyDescent="0.3">
      <c r="A892" t="s">
        <v>904</v>
      </c>
      <c r="B892" t="s">
        <v>1016</v>
      </c>
      <c r="C892" t="s">
        <v>1023</v>
      </c>
      <c r="D892">
        <v>39</v>
      </c>
      <c r="E892">
        <v>12</v>
      </c>
      <c r="F892" s="3">
        <v>26619</v>
      </c>
      <c r="G892">
        <v>40</v>
      </c>
      <c r="H892">
        <v>8</v>
      </c>
      <c r="I892">
        <v>7</v>
      </c>
      <c r="J892">
        <v>16</v>
      </c>
      <c r="K892">
        <v>3.9</v>
      </c>
      <c r="L892" s="3">
        <v>5.5</v>
      </c>
      <c r="M892" t="s">
        <v>1036</v>
      </c>
      <c r="N892">
        <v>58.03</v>
      </c>
    </row>
    <row r="893" spans="1:14" x14ac:dyDescent="0.3">
      <c r="A893" t="s">
        <v>905</v>
      </c>
      <c r="B893" t="s">
        <v>1016</v>
      </c>
      <c r="C893" t="s">
        <v>1022</v>
      </c>
      <c r="D893">
        <v>54</v>
      </c>
      <c r="E893">
        <v>2</v>
      </c>
      <c r="F893" s="3">
        <v>76502</v>
      </c>
      <c r="G893">
        <v>43</v>
      </c>
      <c r="H893">
        <v>15</v>
      </c>
      <c r="I893">
        <v>7</v>
      </c>
      <c r="J893">
        <v>6</v>
      </c>
      <c r="K893">
        <v>2.4</v>
      </c>
      <c r="L893" s="3">
        <v>5.5</v>
      </c>
      <c r="M893" t="s">
        <v>1036</v>
      </c>
      <c r="N893">
        <v>65.2</v>
      </c>
    </row>
    <row r="894" spans="1:14" x14ac:dyDescent="0.3">
      <c r="A894" t="s">
        <v>906</v>
      </c>
      <c r="B894" t="s">
        <v>1018</v>
      </c>
      <c r="C894" t="s">
        <v>1028</v>
      </c>
      <c r="D894">
        <v>43</v>
      </c>
      <c r="E894">
        <v>6</v>
      </c>
      <c r="F894" s="3">
        <v>69243</v>
      </c>
      <c r="G894">
        <v>45</v>
      </c>
      <c r="H894">
        <v>5</v>
      </c>
      <c r="I894">
        <v>9</v>
      </c>
      <c r="J894">
        <v>17</v>
      </c>
      <c r="K894">
        <v>2.6</v>
      </c>
      <c r="L894" s="3">
        <v>7.2</v>
      </c>
      <c r="M894" t="s">
        <v>1035</v>
      </c>
      <c r="N894">
        <v>59.33</v>
      </c>
    </row>
    <row r="895" spans="1:14" x14ac:dyDescent="0.3">
      <c r="A895" t="s">
        <v>907</v>
      </c>
      <c r="B895" t="s">
        <v>1015</v>
      </c>
      <c r="C895" t="s">
        <v>1020</v>
      </c>
      <c r="D895">
        <v>38</v>
      </c>
      <c r="E895">
        <v>0</v>
      </c>
      <c r="F895" s="3">
        <v>75467</v>
      </c>
      <c r="G895">
        <v>44</v>
      </c>
      <c r="H895">
        <v>5</v>
      </c>
      <c r="I895">
        <v>11</v>
      </c>
      <c r="J895">
        <v>25</v>
      </c>
      <c r="K895">
        <v>4.8</v>
      </c>
      <c r="L895" s="3">
        <v>8.8000000000000007</v>
      </c>
      <c r="M895" t="s">
        <v>1034</v>
      </c>
      <c r="N895">
        <v>75.53</v>
      </c>
    </row>
    <row r="896" spans="1:14" x14ac:dyDescent="0.3">
      <c r="A896" t="s">
        <v>908</v>
      </c>
      <c r="B896" t="s">
        <v>1014</v>
      </c>
      <c r="C896" t="s">
        <v>1025</v>
      </c>
      <c r="D896">
        <v>52</v>
      </c>
      <c r="E896">
        <v>4</v>
      </c>
      <c r="F896" s="3">
        <v>81719</v>
      </c>
      <c r="G896">
        <v>47</v>
      </c>
      <c r="H896">
        <v>4</v>
      </c>
      <c r="I896">
        <v>7</v>
      </c>
      <c r="J896">
        <v>13</v>
      </c>
      <c r="K896">
        <v>3.4</v>
      </c>
      <c r="L896" s="3">
        <v>6.6</v>
      </c>
      <c r="M896" t="s">
        <v>1035</v>
      </c>
      <c r="N896">
        <v>56.47</v>
      </c>
    </row>
    <row r="897" spans="1:14" x14ac:dyDescent="0.3">
      <c r="A897" t="s">
        <v>909</v>
      </c>
      <c r="B897" t="s">
        <v>1017</v>
      </c>
      <c r="C897" t="s">
        <v>1030</v>
      </c>
      <c r="D897">
        <v>51</v>
      </c>
      <c r="E897">
        <v>10</v>
      </c>
      <c r="F897" s="3">
        <v>76898</v>
      </c>
      <c r="G897">
        <v>37</v>
      </c>
      <c r="H897">
        <v>6</v>
      </c>
      <c r="I897">
        <v>6</v>
      </c>
      <c r="J897">
        <v>27</v>
      </c>
      <c r="K897">
        <v>4.3</v>
      </c>
      <c r="L897" s="3">
        <v>7.9</v>
      </c>
      <c r="M897" t="s">
        <v>1035</v>
      </c>
      <c r="N897">
        <v>70.3</v>
      </c>
    </row>
    <row r="898" spans="1:14" x14ac:dyDescent="0.3">
      <c r="A898" t="s">
        <v>910</v>
      </c>
      <c r="B898" t="s">
        <v>1017</v>
      </c>
      <c r="C898" t="s">
        <v>1024</v>
      </c>
      <c r="D898">
        <v>50</v>
      </c>
      <c r="E898">
        <v>0</v>
      </c>
      <c r="F898" s="3">
        <v>49556</v>
      </c>
      <c r="G898">
        <v>39</v>
      </c>
      <c r="H898">
        <v>10</v>
      </c>
      <c r="I898">
        <v>4</v>
      </c>
      <c r="J898">
        <v>19</v>
      </c>
      <c r="K898">
        <v>4.8</v>
      </c>
      <c r="L898" s="3">
        <v>3.1</v>
      </c>
      <c r="M898" t="s">
        <v>1036</v>
      </c>
      <c r="N898">
        <v>49.67</v>
      </c>
    </row>
    <row r="899" spans="1:14" x14ac:dyDescent="0.3">
      <c r="A899" t="s">
        <v>911</v>
      </c>
      <c r="B899" t="s">
        <v>1016</v>
      </c>
      <c r="C899" t="s">
        <v>1033</v>
      </c>
      <c r="D899">
        <v>43</v>
      </c>
      <c r="E899">
        <v>7</v>
      </c>
      <c r="F899" s="3">
        <v>52469</v>
      </c>
      <c r="G899">
        <v>48</v>
      </c>
      <c r="H899">
        <v>11</v>
      </c>
      <c r="I899">
        <v>24</v>
      </c>
      <c r="J899">
        <v>25</v>
      </c>
      <c r="K899">
        <v>4.3</v>
      </c>
      <c r="L899" s="3">
        <v>7.8</v>
      </c>
      <c r="M899" t="s">
        <v>1035</v>
      </c>
      <c r="N899">
        <v>78.03</v>
      </c>
    </row>
    <row r="900" spans="1:14" x14ac:dyDescent="0.3">
      <c r="A900" t="s">
        <v>912</v>
      </c>
      <c r="B900" t="s">
        <v>1016</v>
      </c>
      <c r="C900" t="s">
        <v>1022</v>
      </c>
      <c r="D900">
        <v>23</v>
      </c>
      <c r="E900">
        <v>2</v>
      </c>
      <c r="F900" s="3">
        <v>76469</v>
      </c>
      <c r="G900">
        <v>36</v>
      </c>
      <c r="H900">
        <v>15</v>
      </c>
      <c r="I900">
        <v>4</v>
      </c>
      <c r="J900">
        <v>9</v>
      </c>
      <c r="K900">
        <v>4.9000000000000004</v>
      </c>
      <c r="L900" s="3">
        <v>10</v>
      </c>
      <c r="M900" t="s">
        <v>1034</v>
      </c>
      <c r="N900">
        <v>99.7</v>
      </c>
    </row>
    <row r="901" spans="1:14" x14ac:dyDescent="0.3">
      <c r="A901" t="s">
        <v>913</v>
      </c>
      <c r="B901" t="s">
        <v>1015</v>
      </c>
      <c r="C901" t="s">
        <v>1020</v>
      </c>
      <c r="D901">
        <v>47</v>
      </c>
      <c r="E901">
        <v>12</v>
      </c>
      <c r="F901" s="3">
        <v>38382</v>
      </c>
      <c r="G901">
        <v>47</v>
      </c>
      <c r="H901">
        <v>2</v>
      </c>
      <c r="I901">
        <v>17</v>
      </c>
      <c r="J901">
        <v>24</v>
      </c>
      <c r="K901">
        <v>2.6</v>
      </c>
      <c r="L901" s="3">
        <v>3.8</v>
      </c>
      <c r="M901" t="s">
        <v>1036</v>
      </c>
      <c r="N901">
        <v>33.93</v>
      </c>
    </row>
    <row r="902" spans="1:14" x14ac:dyDescent="0.3">
      <c r="A902" t="s">
        <v>914</v>
      </c>
      <c r="B902" t="s">
        <v>1017</v>
      </c>
      <c r="C902" t="s">
        <v>1026</v>
      </c>
      <c r="D902">
        <v>41</v>
      </c>
      <c r="E902">
        <v>2</v>
      </c>
      <c r="F902" s="3">
        <v>36234</v>
      </c>
      <c r="G902">
        <v>38</v>
      </c>
      <c r="H902">
        <v>11</v>
      </c>
      <c r="I902">
        <v>17</v>
      </c>
      <c r="J902">
        <v>11</v>
      </c>
      <c r="K902">
        <v>2.1</v>
      </c>
      <c r="L902" s="3">
        <v>7.8</v>
      </c>
      <c r="M902" t="s">
        <v>1035</v>
      </c>
      <c r="N902">
        <v>71.430000000000007</v>
      </c>
    </row>
    <row r="903" spans="1:14" x14ac:dyDescent="0.3">
      <c r="A903" t="s">
        <v>915</v>
      </c>
      <c r="B903" t="s">
        <v>1014</v>
      </c>
      <c r="C903" t="s">
        <v>1031</v>
      </c>
      <c r="D903">
        <v>33</v>
      </c>
      <c r="E903">
        <v>3</v>
      </c>
      <c r="F903" s="3">
        <v>29554</v>
      </c>
      <c r="G903">
        <v>47</v>
      </c>
      <c r="H903">
        <v>5</v>
      </c>
      <c r="I903">
        <v>6</v>
      </c>
      <c r="J903">
        <v>14</v>
      </c>
      <c r="K903">
        <v>2.9</v>
      </c>
      <c r="L903" s="3">
        <v>6.7</v>
      </c>
      <c r="M903" t="s">
        <v>1035</v>
      </c>
      <c r="N903">
        <v>57.23</v>
      </c>
    </row>
    <row r="904" spans="1:14" x14ac:dyDescent="0.3">
      <c r="A904" t="s">
        <v>916</v>
      </c>
      <c r="B904" t="s">
        <v>1014</v>
      </c>
      <c r="C904" t="s">
        <v>1025</v>
      </c>
      <c r="D904">
        <v>45</v>
      </c>
      <c r="E904">
        <v>0</v>
      </c>
      <c r="F904" s="3">
        <v>36260</v>
      </c>
      <c r="G904">
        <v>45</v>
      </c>
      <c r="H904">
        <v>14</v>
      </c>
      <c r="I904">
        <v>13</v>
      </c>
      <c r="J904">
        <v>25</v>
      </c>
      <c r="K904">
        <v>2.5</v>
      </c>
      <c r="L904" s="3">
        <v>3.8</v>
      </c>
      <c r="M904" t="s">
        <v>1036</v>
      </c>
      <c r="N904">
        <v>53.63</v>
      </c>
    </row>
    <row r="905" spans="1:14" x14ac:dyDescent="0.3">
      <c r="A905" t="s">
        <v>917</v>
      </c>
      <c r="B905" t="s">
        <v>1017</v>
      </c>
      <c r="C905" t="s">
        <v>1026</v>
      </c>
      <c r="D905">
        <v>52</v>
      </c>
      <c r="E905">
        <v>2</v>
      </c>
      <c r="F905" s="3">
        <v>50493</v>
      </c>
      <c r="G905">
        <v>41</v>
      </c>
      <c r="H905">
        <v>3</v>
      </c>
      <c r="I905">
        <v>6</v>
      </c>
      <c r="J905">
        <v>19</v>
      </c>
      <c r="K905">
        <v>3.3</v>
      </c>
      <c r="L905" s="3">
        <v>8</v>
      </c>
      <c r="M905" t="s">
        <v>1034</v>
      </c>
      <c r="N905">
        <v>62.9</v>
      </c>
    </row>
    <row r="906" spans="1:14" x14ac:dyDescent="0.3">
      <c r="A906" t="s">
        <v>918</v>
      </c>
      <c r="B906" t="s">
        <v>1018</v>
      </c>
      <c r="C906" t="s">
        <v>1032</v>
      </c>
      <c r="D906">
        <v>41</v>
      </c>
      <c r="E906">
        <v>6</v>
      </c>
      <c r="F906" s="3">
        <v>57930</v>
      </c>
      <c r="G906">
        <v>49</v>
      </c>
      <c r="H906">
        <v>5</v>
      </c>
      <c r="I906">
        <v>6</v>
      </c>
      <c r="J906">
        <v>0</v>
      </c>
      <c r="K906">
        <v>5</v>
      </c>
      <c r="L906" s="3">
        <v>6.1</v>
      </c>
      <c r="M906" t="s">
        <v>1035</v>
      </c>
      <c r="N906">
        <v>59.93</v>
      </c>
    </row>
    <row r="907" spans="1:14" x14ac:dyDescent="0.3">
      <c r="A907" t="s">
        <v>919</v>
      </c>
      <c r="B907" t="s">
        <v>1015</v>
      </c>
      <c r="C907" t="s">
        <v>1029</v>
      </c>
      <c r="D907">
        <v>37</v>
      </c>
      <c r="E907">
        <v>10</v>
      </c>
      <c r="F907" s="3">
        <v>84657</v>
      </c>
      <c r="G907">
        <v>53</v>
      </c>
      <c r="H907">
        <v>15</v>
      </c>
      <c r="I907">
        <v>15</v>
      </c>
      <c r="J907">
        <v>29</v>
      </c>
      <c r="K907">
        <v>3.4</v>
      </c>
      <c r="L907" s="3">
        <v>3.3</v>
      </c>
      <c r="M907" t="s">
        <v>1036</v>
      </c>
      <c r="N907">
        <v>55</v>
      </c>
    </row>
    <row r="908" spans="1:14" x14ac:dyDescent="0.3">
      <c r="A908" t="s">
        <v>920</v>
      </c>
      <c r="B908" t="s">
        <v>1016</v>
      </c>
      <c r="C908" t="s">
        <v>1022</v>
      </c>
      <c r="D908">
        <v>51</v>
      </c>
      <c r="E908">
        <v>11</v>
      </c>
      <c r="F908" s="3">
        <v>70895</v>
      </c>
      <c r="G908">
        <v>44</v>
      </c>
      <c r="H908">
        <v>7</v>
      </c>
      <c r="I908">
        <v>19</v>
      </c>
      <c r="J908">
        <v>11</v>
      </c>
      <c r="K908">
        <v>3.2</v>
      </c>
      <c r="L908" s="3">
        <v>4.3</v>
      </c>
      <c r="M908" t="s">
        <v>1036</v>
      </c>
      <c r="N908">
        <v>47.07</v>
      </c>
    </row>
    <row r="909" spans="1:14" x14ac:dyDescent="0.3">
      <c r="A909" t="s">
        <v>921</v>
      </c>
      <c r="B909" t="s">
        <v>1017</v>
      </c>
      <c r="C909" t="s">
        <v>1030</v>
      </c>
      <c r="D909">
        <v>51</v>
      </c>
      <c r="E909">
        <v>12</v>
      </c>
      <c r="F909" s="3">
        <v>84692</v>
      </c>
      <c r="G909">
        <v>40</v>
      </c>
      <c r="H909">
        <v>12</v>
      </c>
      <c r="I909">
        <v>18</v>
      </c>
      <c r="J909">
        <v>6</v>
      </c>
      <c r="K909">
        <v>3.2</v>
      </c>
      <c r="L909" s="3">
        <v>9.6</v>
      </c>
      <c r="M909" t="s">
        <v>1034</v>
      </c>
      <c r="N909">
        <v>87.2</v>
      </c>
    </row>
    <row r="910" spans="1:14" x14ac:dyDescent="0.3">
      <c r="A910" t="s">
        <v>922</v>
      </c>
      <c r="B910" t="s">
        <v>1018</v>
      </c>
      <c r="C910" t="s">
        <v>1027</v>
      </c>
      <c r="D910">
        <v>39</v>
      </c>
      <c r="E910">
        <v>9</v>
      </c>
      <c r="F910" s="3">
        <v>68690</v>
      </c>
      <c r="G910">
        <v>37</v>
      </c>
      <c r="H910">
        <v>12</v>
      </c>
      <c r="I910">
        <v>23</v>
      </c>
      <c r="J910">
        <v>13</v>
      </c>
      <c r="K910">
        <v>4.7</v>
      </c>
      <c r="L910" s="3">
        <v>5.9</v>
      </c>
      <c r="M910" t="s">
        <v>1036</v>
      </c>
      <c r="N910">
        <v>69.5</v>
      </c>
    </row>
    <row r="911" spans="1:14" x14ac:dyDescent="0.3">
      <c r="A911" t="s">
        <v>923</v>
      </c>
      <c r="B911" t="s">
        <v>1014</v>
      </c>
      <c r="C911" t="s">
        <v>1019</v>
      </c>
      <c r="D911">
        <v>45</v>
      </c>
      <c r="E911">
        <v>2</v>
      </c>
      <c r="F911" s="3">
        <v>74505</v>
      </c>
      <c r="G911">
        <v>38</v>
      </c>
      <c r="H911">
        <v>9</v>
      </c>
      <c r="I911">
        <v>24</v>
      </c>
      <c r="J911">
        <v>20</v>
      </c>
      <c r="K911">
        <v>3.2</v>
      </c>
      <c r="L911" s="3">
        <v>4.2</v>
      </c>
      <c r="M911" t="s">
        <v>1036</v>
      </c>
      <c r="N911">
        <v>49.8</v>
      </c>
    </row>
    <row r="912" spans="1:14" x14ac:dyDescent="0.3">
      <c r="A912" t="s">
        <v>924</v>
      </c>
      <c r="B912" t="s">
        <v>1015</v>
      </c>
      <c r="C912" t="s">
        <v>1029</v>
      </c>
      <c r="D912">
        <v>24</v>
      </c>
      <c r="E912">
        <v>3</v>
      </c>
      <c r="F912" s="3">
        <v>26750</v>
      </c>
      <c r="G912">
        <v>37</v>
      </c>
      <c r="H912">
        <v>11</v>
      </c>
      <c r="I912">
        <v>22</v>
      </c>
      <c r="J912">
        <v>29</v>
      </c>
      <c r="K912">
        <v>3.1</v>
      </c>
      <c r="L912" s="3">
        <v>8.1999999999999993</v>
      </c>
      <c r="M912" t="s">
        <v>1034</v>
      </c>
      <c r="N912">
        <v>76.83</v>
      </c>
    </row>
    <row r="913" spans="1:14" x14ac:dyDescent="0.3">
      <c r="A913" t="s">
        <v>925</v>
      </c>
      <c r="B913" t="s">
        <v>1017</v>
      </c>
      <c r="C913" t="s">
        <v>1026</v>
      </c>
      <c r="D913">
        <v>24</v>
      </c>
      <c r="E913">
        <v>0</v>
      </c>
      <c r="F913" s="3">
        <v>41423</v>
      </c>
      <c r="G913">
        <v>38</v>
      </c>
      <c r="H913">
        <v>12</v>
      </c>
      <c r="I913">
        <v>4</v>
      </c>
      <c r="J913">
        <v>20</v>
      </c>
      <c r="K913">
        <v>4</v>
      </c>
      <c r="L913" s="3">
        <v>6.2</v>
      </c>
      <c r="M913" t="s">
        <v>1035</v>
      </c>
      <c r="N913">
        <v>69.2</v>
      </c>
    </row>
    <row r="914" spans="1:14" x14ac:dyDescent="0.3">
      <c r="A914" t="s">
        <v>926</v>
      </c>
      <c r="B914" t="s">
        <v>1014</v>
      </c>
      <c r="C914" t="s">
        <v>1019</v>
      </c>
      <c r="D914">
        <v>27</v>
      </c>
      <c r="E914">
        <v>4</v>
      </c>
      <c r="F914" s="3">
        <v>68058</v>
      </c>
      <c r="G914">
        <v>42</v>
      </c>
      <c r="H914">
        <v>12</v>
      </c>
      <c r="I914">
        <v>14</v>
      </c>
      <c r="J914">
        <v>8</v>
      </c>
      <c r="K914">
        <v>3.4</v>
      </c>
      <c r="L914" s="3">
        <v>5</v>
      </c>
      <c r="M914" t="s">
        <v>1036</v>
      </c>
      <c r="N914">
        <v>60.2</v>
      </c>
    </row>
    <row r="915" spans="1:14" x14ac:dyDescent="0.3">
      <c r="A915" t="s">
        <v>927</v>
      </c>
      <c r="B915" t="s">
        <v>1018</v>
      </c>
      <c r="C915" t="s">
        <v>1027</v>
      </c>
      <c r="D915">
        <v>23</v>
      </c>
      <c r="E915">
        <v>2</v>
      </c>
      <c r="F915" s="3">
        <v>31587</v>
      </c>
      <c r="G915">
        <v>40</v>
      </c>
      <c r="H915">
        <v>5</v>
      </c>
      <c r="I915">
        <v>3</v>
      </c>
      <c r="J915">
        <v>34</v>
      </c>
      <c r="K915">
        <v>4.2</v>
      </c>
      <c r="L915" s="3">
        <v>4.2</v>
      </c>
      <c r="M915" t="s">
        <v>1036</v>
      </c>
      <c r="N915">
        <v>46.13</v>
      </c>
    </row>
    <row r="916" spans="1:14" x14ac:dyDescent="0.3">
      <c r="A916" t="s">
        <v>928</v>
      </c>
      <c r="B916" t="s">
        <v>1014</v>
      </c>
      <c r="C916" t="s">
        <v>1031</v>
      </c>
      <c r="D916">
        <v>39</v>
      </c>
      <c r="E916">
        <v>4</v>
      </c>
      <c r="F916" s="3">
        <v>53878</v>
      </c>
      <c r="G916">
        <v>46</v>
      </c>
      <c r="H916">
        <v>3</v>
      </c>
      <c r="I916">
        <v>6</v>
      </c>
      <c r="J916">
        <v>2</v>
      </c>
      <c r="K916">
        <v>4.7</v>
      </c>
      <c r="L916" s="3">
        <v>6.7</v>
      </c>
      <c r="M916" t="s">
        <v>1035</v>
      </c>
      <c r="N916">
        <v>59.3</v>
      </c>
    </row>
    <row r="917" spans="1:14" x14ac:dyDescent="0.3">
      <c r="A917" t="s">
        <v>929</v>
      </c>
      <c r="B917" t="s">
        <v>1014</v>
      </c>
      <c r="C917" t="s">
        <v>1019</v>
      </c>
      <c r="D917">
        <v>55</v>
      </c>
      <c r="E917">
        <v>3</v>
      </c>
      <c r="F917" s="3">
        <v>50599</v>
      </c>
      <c r="G917">
        <v>44</v>
      </c>
      <c r="H917">
        <v>8</v>
      </c>
      <c r="I917">
        <v>1</v>
      </c>
      <c r="J917">
        <v>38</v>
      </c>
      <c r="K917">
        <v>2</v>
      </c>
      <c r="L917" s="3">
        <v>8.4</v>
      </c>
      <c r="M917" t="s">
        <v>1034</v>
      </c>
      <c r="N917">
        <v>69.73</v>
      </c>
    </row>
    <row r="918" spans="1:14" x14ac:dyDescent="0.3">
      <c r="A918" t="s">
        <v>930</v>
      </c>
      <c r="B918" t="s">
        <v>1018</v>
      </c>
      <c r="C918" t="s">
        <v>1028</v>
      </c>
      <c r="D918">
        <v>45</v>
      </c>
      <c r="E918">
        <v>7</v>
      </c>
      <c r="F918" s="3">
        <v>38106</v>
      </c>
      <c r="G918">
        <v>37</v>
      </c>
      <c r="H918">
        <v>1</v>
      </c>
      <c r="I918">
        <v>13</v>
      </c>
      <c r="J918">
        <v>1</v>
      </c>
      <c r="K918">
        <v>5</v>
      </c>
      <c r="L918" s="3">
        <v>5.4</v>
      </c>
      <c r="M918" t="s">
        <v>1036</v>
      </c>
      <c r="N918">
        <v>49.07</v>
      </c>
    </row>
    <row r="919" spans="1:14" x14ac:dyDescent="0.3">
      <c r="A919" t="s">
        <v>931</v>
      </c>
      <c r="B919" t="s">
        <v>1014</v>
      </c>
      <c r="C919" t="s">
        <v>1031</v>
      </c>
      <c r="D919">
        <v>36</v>
      </c>
      <c r="E919">
        <v>3</v>
      </c>
      <c r="F919" s="3">
        <v>77227</v>
      </c>
      <c r="G919">
        <v>40</v>
      </c>
      <c r="H919">
        <v>12</v>
      </c>
      <c r="I919">
        <v>5</v>
      </c>
      <c r="J919">
        <v>2</v>
      </c>
      <c r="K919">
        <v>3.2</v>
      </c>
      <c r="L919" s="3">
        <v>3.8</v>
      </c>
      <c r="M919" t="s">
        <v>1036</v>
      </c>
      <c r="N919">
        <v>52.4</v>
      </c>
    </row>
    <row r="920" spans="1:14" x14ac:dyDescent="0.3">
      <c r="A920" t="s">
        <v>932</v>
      </c>
      <c r="B920" t="s">
        <v>1016</v>
      </c>
      <c r="C920" t="s">
        <v>1033</v>
      </c>
      <c r="D920">
        <v>34</v>
      </c>
      <c r="E920">
        <v>9</v>
      </c>
      <c r="F920" s="3">
        <v>38573</v>
      </c>
      <c r="G920">
        <v>52</v>
      </c>
      <c r="H920">
        <v>7</v>
      </c>
      <c r="I920">
        <v>13</v>
      </c>
      <c r="J920">
        <v>7</v>
      </c>
      <c r="K920">
        <v>2.7</v>
      </c>
      <c r="L920" s="3">
        <v>3.7</v>
      </c>
      <c r="M920" t="s">
        <v>1036</v>
      </c>
      <c r="N920">
        <v>41.97</v>
      </c>
    </row>
    <row r="921" spans="1:14" x14ac:dyDescent="0.3">
      <c r="A921" t="s">
        <v>933</v>
      </c>
      <c r="B921" t="s">
        <v>1018</v>
      </c>
      <c r="C921" t="s">
        <v>1032</v>
      </c>
      <c r="D921">
        <v>22</v>
      </c>
      <c r="E921">
        <v>1</v>
      </c>
      <c r="F921" s="3">
        <v>67860</v>
      </c>
      <c r="G921">
        <v>45</v>
      </c>
      <c r="H921">
        <v>1</v>
      </c>
      <c r="I921">
        <v>12</v>
      </c>
      <c r="J921">
        <v>13</v>
      </c>
      <c r="K921">
        <v>3.4</v>
      </c>
      <c r="L921" s="3">
        <v>3.5</v>
      </c>
      <c r="M921" t="s">
        <v>1036</v>
      </c>
      <c r="N921">
        <v>32.869999999999997</v>
      </c>
    </row>
    <row r="922" spans="1:14" x14ac:dyDescent="0.3">
      <c r="A922" t="s">
        <v>934</v>
      </c>
      <c r="B922" t="s">
        <v>1015</v>
      </c>
      <c r="C922" t="s">
        <v>1020</v>
      </c>
      <c r="D922">
        <v>45</v>
      </c>
      <c r="E922">
        <v>1</v>
      </c>
      <c r="F922" s="3">
        <v>29412</v>
      </c>
      <c r="G922">
        <v>41</v>
      </c>
      <c r="H922">
        <v>7</v>
      </c>
      <c r="I922">
        <v>9</v>
      </c>
      <c r="J922">
        <v>38</v>
      </c>
      <c r="K922">
        <v>3.5</v>
      </c>
      <c r="L922" s="3">
        <v>9.9</v>
      </c>
      <c r="M922" t="s">
        <v>1034</v>
      </c>
      <c r="N922">
        <v>81.569999999999993</v>
      </c>
    </row>
    <row r="923" spans="1:14" x14ac:dyDescent="0.3">
      <c r="A923" t="s">
        <v>935</v>
      </c>
      <c r="B923" t="s">
        <v>1015</v>
      </c>
      <c r="C923" t="s">
        <v>1020</v>
      </c>
      <c r="D923">
        <v>32</v>
      </c>
      <c r="E923">
        <v>4</v>
      </c>
      <c r="F923" s="3">
        <v>87851</v>
      </c>
      <c r="G923">
        <v>38</v>
      </c>
      <c r="H923">
        <v>10</v>
      </c>
      <c r="I923">
        <v>10</v>
      </c>
      <c r="J923">
        <v>40</v>
      </c>
      <c r="K923">
        <v>4.0999999999999996</v>
      </c>
      <c r="L923" s="3">
        <v>7.7</v>
      </c>
      <c r="M923" t="s">
        <v>1035</v>
      </c>
      <c r="N923">
        <v>75.17</v>
      </c>
    </row>
    <row r="924" spans="1:14" x14ac:dyDescent="0.3">
      <c r="A924" t="s">
        <v>936</v>
      </c>
      <c r="B924" t="s">
        <v>1018</v>
      </c>
      <c r="C924" t="s">
        <v>1027</v>
      </c>
      <c r="D924">
        <v>43</v>
      </c>
      <c r="E924">
        <v>5</v>
      </c>
      <c r="F924" s="3">
        <v>66638</v>
      </c>
      <c r="G924">
        <v>45</v>
      </c>
      <c r="H924">
        <v>14</v>
      </c>
      <c r="I924">
        <v>21</v>
      </c>
      <c r="J924">
        <v>30</v>
      </c>
      <c r="K924">
        <v>2.2000000000000002</v>
      </c>
      <c r="L924" s="3">
        <v>3.1</v>
      </c>
      <c r="M924" t="s">
        <v>1036</v>
      </c>
      <c r="N924">
        <v>48.53</v>
      </c>
    </row>
    <row r="925" spans="1:14" x14ac:dyDescent="0.3">
      <c r="A925" t="s">
        <v>937</v>
      </c>
      <c r="B925" t="s">
        <v>1017</v>
      </c>
      <c r="C925" t="s">
        <v>1030</v>
      </c>
      <c r="D925">
        <v>46</v>
      </c>
      <c r="E925">
        <v>7</v>
      </c>
      <c r="F925" s="3">
        <v>57992</v>
      </c>
      <c r="G925">
        <v>53</v>
      </c>
      <c r="H925">
        <v>12</v>
      </c>
      <c r="I925">
        <v>0</v>
      </c>
      <c r="J925">
        <v>14</v>
      </c>
      <c r="K925">
        <v>2.1</v>
      </c>
      <c r="L925" s="3">
        <v>8.3000000000000007</v>
      </c>
      <c r="M925" t="s">
        <v>1034</v>
      </c>
      <c r="N925">
        <v>76.099999999999994</v>
      </c>
    </row>
    <row r="926" spans="1:14" x14ac:dyDescent="0.3">
      <c r="A926" t="s">
        <v>938</v>
      </c>
      <c r="B926" t="s">
        <v>1016</v>
      </c>
      <c r="C926" t="s">
        <v>1023</v>
      </c>
      <c r="D926">
        <v>37</v>
      </c>
      <c r="E926">
        <v>13</v>
      </c>
      <c r="F926" s="3">
        <v>74626</v>
      </c>
      <c r="G926">
        <v>42</v>
      </c>
      <c r="H926">
        <v>10</v>
      </c>
      <c r="I926">
        <v>2</v>
      </c>
      <c r="J926">
        <v>3</v>
      </c>
      <c r="K926">
        <v>2.4</v>
      </c>
      <c r="L926" s="3">
        <v>6.5</v>
      </c>
      <c r="M926" t="s">
        <v>1035</v>
      </c>
      <c r="N926">
        <v>62.87</v>
      </c>
    </row>
    <row r="927" spans="1:14" x14ac:dyDescent="0.3">
      <c r="A927" t="s">
        <v>939</v>
      </c>
      <c r="B927" t="s">
        <v>1018</v>
      </c>
      <c r="C927" t="s">
        <v>1032</v>
      </c>
      <c r="D927">
        <v>46</v>
      </c>
      <c r="E927">
        <v>6</v>
      </c>
      <c r="F927" s="3">
        <v>67076</v>
      </c>
      <c r="G927">
        <v>36</v>
      </c>
      <c r="H927">
        <v>4</v>
      </c>
      <c r="I927">
        <v>23</v>
      </c>
      <c r="J927">
        <v>38</v>
      </c>
      <c r="K927">
        <v>5</v>
      </c>
      <c r="L927" s="3">
        <v>6.1</v>
      </c>
      <c r="M927" t="s">
        <v>1035</v>
      </c>
      <c r="N927">
        <v>58.27</v>
      </c>
    </row>
    <row r="928" spans="1:14" x14ac:dyDescent="0.3">
      <c r="A928" t="s">
        <v>940</v>
      </c>
      <c r="B928" t="s">
        <v>1018</v>
      </c>
      <c r="C928" t="s">
        <v>1028</v>
      </c>
      <c r="D928">
        <v>39</v>
      </c>
      <c r="E928">
        <v>10</v>
      </c>
      <c r="F928" s="3">
        <v>67179</v>
      </c>
      <c r="G928">
        <v>36</v>
      </c>
      <c r="H928">
        <v>9</v>
      </c>
      <c r="I928">
        <v>25</v>
      </c>
      <c r="J928">
        <v>26</v>
      </c>
      <c r="K928">
        <v>3.9</v>
      </c>
      <c r="L928" s="3">
        <v>5</v>
      </c>
      <c r="M928" t="s">
        <v>1036</v>
      </c>
      <c r="N928">
        <v>56.7</v>
      </c>
    </row>
    <row r="929" spans="1:14" x14ac:dyDescent="0.3">
      <c r="A929" t="s">
        <v>941</v>
      </c>
      <c r="B929" t="s">
        <v>1018</v>
      </c>
      <c r="C929" t="s">
        <v>1028</v>
      </c>
      <c r="D929">
        <v>43</v>
      </c>
      <c r="E929">
        <v>10</v>
      </c>
      <c r="F929" s="3">
        <v>40876</v>
      </c>
      <c r="G929">
        <v>41</v>
      </c>
      <c r="H929">
        <v>9</v>
      </c>
      <c r="I929">
        <v>1</v>
      </c>
      <c r="J929">
        <v>15</v>
      </c>
      <c r="K929">
        <v>4.4000000000000004</v>
      </c>
      <c r="L929" s="3">
        <v>7.9</v>
      </c>
      <c r="M929" t="s">
        <v>1035</v>
      </c>
      <c r="N929">
        <v>75.599999999999994</v>
      </c>
    </row>
    <row r="930" spans="1:14" x14ac:dyDescent="0.3">
      <c r="A930" t="s">
        <v>942</v>
      </c>
      <c r="B930" t="s">
        <v>1015</v>
      </c>
      <c r="C930" t="s">
        <v>1029</v>
      </c>
      <c r="D930">
        <v>46</v>
      </c>
      <c r="E930">
        <v>10</v>
      </c>
      <c r="F930" s="3">
        <v>37028</v>
      </c>
      <c r="G930">
        <v>49</v>
      </c>
      <c r="H930">
        <v>11</v>
      </c>
      <c r="I930">
        <v>0</v>
      </c>
      <c r="J930">
        <v>4</v>
      </c>
      <c r="K930">
        <v>4.5999999999999996</v>
      </c>
      <c r="L930" s="3">
        <v>3.5</v>
      </c>
      <c r="M930" t="s">
        <v>1036</v>
      </c>
      <c r="N930">
        <v>53.13</v>
      </c>
    </row>
    <row r="931" spans="1:14" x14ac:dyDescent="0.3">
      <c r="A931" t="s">
        <v>943</v>
      </c>
      <c r="B931" t="s">
        <v>1014</v>
      </c>
      <c r="C931" t="s">
        <v>1019</v>
      </c>
      <c r="D931">
        <v>31</v>
      </c>
      <c r="E931">
        <v>3</v>
      </c>
      <c r="F931" s="3">
        <v>33228</v>
      </c>
      <c r="G931">
        <v>37</v>
      </c>
      <c r="H931">
        <v>3</v>
      </c>
      <c r="I931">
        <v>18</v>
      </c>
      <c r="J931">
        <v>35</v>
      </c>
      <c r="K931">
        <v>4.5</v>
      </c>
      <c r="L931" s="3">
        <v>9.5</v>
      </c>
      <c r="M931" t="s">
        <v>1034</v>
      </c>
      <c r="N931">
        <v>75.5</v>
      </c>
    </row>
    <row r="932" spans="1:14" x14ac:dyDescent="0.3">
      <c r="A932" t="s">
        <v>944</v>
      </c>
      <c r="B932" t="s">
        <v>1015</v>
      </c>
      <c r="C932" t="s">
        <v>1029</v>
      </c>
      <c r="D932">
        <v>27</v>
      </c>
      <c r="E932">
        <v>3</v>
      </c>
      <c r="F932" s="3">
        <v>72512</v>
      </c>
      <c r="G932">
        <v>49</v>
      </c>
      <c r="H932">
        <v>5</v>
      </c>
      <c r="I932">
        <v>5</v>
      </c>
      <c r="J932">
        <v>12</v>
      </c>
      <c r="K932">
        <v>2.7</v>
      </c>
      <c r="L932" s="3">
        <v>4.2</v>
      </c>
      <c r="M932" t="s">
        <v>1036</v>
      </c>
      <c r="N932">
        <v>41.63</v>
      </c>
    </row>
    <row r="933" spans="1:14" x14ac:dyDescent="0.3">
      <c r="A933" t="s">
        <v>945</v>
      </c>
      <c r="B933" t="s">
        <v>1016</v>
      </c>
      <c r="C933" t="s">
        <v>1033</v>
      </c>
      <c r="D933">
        <v>40</v>
      </c>
      <c r="E933">
        <v>14</v>
      </c>
      <c r="F933" s="3">
        <v>88420</v>
      </c>
      <c r="G933">
        <v>55</v>
      </c>
      <c r="H933">
        <v>4</v>
      </c>
      <c r="I933">
        <v>8</v>
      </c>
      <c r="J933">
        <v>30</v>
      </c>
      <c r="K933">
        <v>2.2000000000000002</v>
      </c>
      <c r="L933" s="3">
        <v>9.8000000000000007</v>
      </c>
      <c r="M933" t="s">
        <v>1034</v>
      </c>
      <c r="N933">
        <v>72.069999999999993</v>
      </c>
    </row>
    <row r="934" spans="1:14" x14ac:dyDescent="0.3">
      <c r="A934" t="s">
        <v>946</v>
      </c>
      <c r="B934" t="s">
        <v>1017</v>
      </c>
      <c r="C934" t="s">
        <v>1026</v>
      </c>
      <c r="D934">
        <v>32</v>
      </c>
      <c r="E934">
        <v>7</v>
      </c>
      <c r="F934" s="3">
        <v>53926</v>
      </c>
      <c r="G934">
        <v>48</v>
      </c>
      <c r="H934">
        <v>9</v>
      </c>
      <c r="I934">
        <v>19</v>
      </c>
      <c r="J934">
        <v>27</v>
      </c>
      <c r="K934">
        <v>4.3</v>
      </c>
      <c r="L934" s="3">
        <v>8.6999999999999993</v>
      </c>
      <c r="M934" t="s">
        <v>1034</v>
      </c>
      <c r="N934">
        <v>80.099999999999994</v>
      </c>
    </row>
    <row r="935" spans="1:14" x14ac:dyDescent="0.3">
      <c r="A935" t="s">
        <v>947</v>
      </c>
      <c r="B935" t="s">
        <v>1014</v>
      </c>
      <c r="C935" t="s">
        <v>1019</v>
      </c>
      <c r="D935">
        <v>46</v>
      </c>
      <c r="E935">
        <v>13</v>
      </c>
      <c r="F935" s="3">
        <v>80970</v>
      </c>
      <c r="G935">
        <v>37</v>
      </c>
      <c r="H935">
        <v>13</v>
      </c>
      <c r="I935">
        <v>9</v>
      </c>
      <c r="J935">
        <v>38</v>
      </c>
      <c r="K935">
        <v>3.6</v>
      </c>
      <c r="L935" s="3">
        <v>6.9</v>
      </c>
      <c r="M935" t="s">
        <v>1035</v>
      </c>
      <c r="N935">
        <v>73.87</v>
      </c>
    </row>
    <row r="936" spans="1:14" x14ac:dyDescent="0.3">
      <c r="A936" t="s">
        <v>948</v>
      </c>
      <c r="B936" t="s">
        <v>1016</v>
      </c>
      <c r="C936" t="s">
        <v>1023</v>
      </c>
      <c r="D936">
        <v>46</v>
      </c>
      <c r="E936">
        <v>14</v>
      </c>
      <c r="F936" s="3">
        <v>45044</v>
      </c>
      <c r="G936">
        <v>49</v>
      </c>
      <c r="H936">
        <v>5</v>
      </c>
      <c r="I936">
        <v>12</v>
      </c>
      <c r="J936">
        <v>35</v>
      </c>
      <c r="K936">
        <v>3.8</v>
      </c>
      <c r="L936" s="3">
        <v>3.5</v>
      </c>
      <c r="M936" t="s">
        <v>1036</v>
      </c>
      <c r="N936">
        <v>40.729999999999997</v>
      </c>
    </row>
    <row r="937" spans="1:14" x14ac:dyDescent="0.3">
      <c r="A937" t="s">
        <v>949</v>
      </c>
      <c r="B937" t="s">
        <v>1017</v>
      </c>
      <c r="C937" t="s">
        <v>1026</v>
      </c>
      <c r="D937">
        <v>34</v>
      </c>
      <c r="E937">
        <v>2</v>
      </c>
      <c r="F937" s="3">
        <v>85039</v>
      </c>
      <c r="G937">
        <v>41</v>
      </c>
      <c r="H937">
        <v>1</v>
      </c>
      <c r="I937">
        <v>0</v>
      </c>
      <c r="J937">
        <v>32</v>
      </c>
      <c r="K937">
        <v>4.2</v>
      </c>
      <c r="L937" s="3">
        <v>5.6</v>
      </c>
      <c r="M937" t="s">
        <v>1036</v>
      </c>
      <c r="N937">
        <v>47.87</v>
      </c>
    </row>
    <row r="938" spans="1:14" x14ac:dyDescent="0.3">
      <c r="A938" t="s">
        <v>950</v>
      </c>
      <c r="B938" t="s">
        <v>1017</v>
      </c>
      <c r="C938" t="s">
        <v>1030</v>
      </c>
      <c r="D938">
        <v>47</v>
      </c>
      <c r="E938">
        <v>11</v>
      </c>
      <c r="F938" s="3">
        <v>50168</v>
      </c>
      <c r="G938">
        <v>50</v>
      </c>
      <c r="H938">
        <v>5</v>
      </c>
      <c r="I938">
        <v>20</v>
      </c>
      <c r="J938">
        <v>37</v>
      </c>
      <c r="K938">
        <v>2.2000000000000002</v>
      </c>
      <c r="L938" s="3">
        <v>9.1999999999999993</v>
      </c>
      <c r="M938" t="s">
        <v>1034</v>
      </c>
      <c r="N938">
        <v>70.13</v>
      </c>
    </row>
    <row r="939" spans="1:14" x14ac:dyDescent="0.3">
      <c r="A939" t="s">
        <v>951</v>
      </c>
      <c r="B939" t="s">
        <v>1017</v>
      </c>
      <c r="C939" t="s">
        <v>1024</v>
      </c>
      <c r="D939">
        <v>32</v>
      </c>
      <c r="E939">
        <v>3</v>
      </c>
      <c r="F939" s="3">
        <v>75000</v>
      </c>
      <c r="G939">
        <v>48</v>
      </c>
      <c r="H939">
        <v>5</v>
      </c>
      <c r="I939">
        <v>24</v>
      </c>
      <c r="J939">
        <v>22</v>
      </c>
      <c r="K939">
        <v>3.5</v>
      </c>
      <c r="L939" s="3">
        <v>6.4</v>
      </c>
      <c r="M939" t="s">
        <v>1035</v>
      </c>
      <c r="N939">
        <v>57.23</v>
      </c>
    </row>
    <row r="940" spans="1:14" x14ac:dyDescent="0.3">
      <c r="A940" t="s">
        <v>952</v>
      </c>
      <c r="B940" t="s">
        <v>1016</v>
      </c>
      <c r="C940" t="s">
        <v>1033</v>
      </c>
      <c r="D940">
        <v>25</v>
      </c>
      <c r="E940">
        <v>3</v>
      </c>
      <c r="F940" s="3">
        <v>85720</v>
      </c>
      <c r="G940">
        <v>48</v>
      </c>
      <c r="H940">
        <v>12</v>
      </c>
      <c r="I940">
        <v>7</v>
      </c>
      <c r="J940">
        <v>15</v>
      </c>
      <c r="K940">
        <v>3.4</v>
      </c>
      <c r="L940" s="3">
        <v>9.5</v>
      </c>
      <c r="M940" t="s">
        <v>1034</v>
      </c>
      <c r="N940">
        <v>87.2</v>
      </c>
    </row>
    <row r="941" spans="1:14" x14ac:dyDescent="0.3">
      <c r="A941" t="s">
        <v>953</v>
      </c>
      <c r="B941" t="s">
        <v>1014</v>
      </c>
      <c r="C941" t="s">
        <v>1025</v>
      </c>
      <c r="D941">
        <v>31</v>
      </c>
      <c r="E941">
        <v>4</v>
      </c>
      <c r="F941" s="3">
        <v>64677</v>
      </c>
      <c r="G941">
        <v>49</v>
      </c>
      <c r="H941">
        <v>11</v>
      </c>
      <c r="I941">
        <v>4</v>
      </c>
      <c r="J941">
        <v>16</v>
      </c>
      <c r="K941">
        <v>2.7</v>
      </c>
      <c r="L941" s="3">
        <v>7</v>
      </c>
      <c r="M941" t="s">
        <v>1035</v>
      </c>
      <c r="N941">
        <v>68.430000000000007</v>
      </c>
    </row>
    <row r="942" spans="1:14" x14ac:dyDescent="0.3">
      <c r="A942" t="s">
        <v>954</v>
      </c>
      <c r="B942" t="s">
        <v>1018</v>
      </c>
      <c r="C942" t="s">
        <v>1028</v>
      </c>
      <c r="D942">
        <v>22</v>
      </c>
      <c r="E942">
        <v>0</v>
      </c>
      <c r="F942" s="3">
        <v>75526</v>
      </c>
      <c r="G942">
        <v>37</v>
      </c>
      <c r="H942">
        <v>11</v>
      </c>
      <c r="I942">
        <v>22</v>
      </c>
      <c r="J942">
        <v>24</v>
      </c>
      <c r="K942">
        <v>3.2</v>
      </c>
      <c r="L942" s="3">
        <v>7.1</v>
      </c>
      <c r="M942" t="s">
        <v>1035</v>
      </c>
      <c r="N942">
        <v>70.53</v>
      </c>
    </row>
    <row r="943" spans="1:14" x14ac:dyDescent="0.3">
      <c r="A943" t="s">
        <v>955</v>
      </c>
      <c r="B943" t="s">
        <v>1015</v>
      </c>
      <c r="C943" t="s">
        <v>1021</v>
      </c>
      <c r="D943">
        <v>34</v>
      </c>
      <c r="E943">
        <v>6</v>
      </c>
      <c r="F943" s="3">
        <v>35867</v>
      </c>
      <c r="G943">
        <v>48</v>
      </c>
      <c r="H943">
        <v>5</v>
      </c>
      <c r="I943">
        <v>22</v>
      </c>
      <c r="J943">
        <v>19</v>
      </c>
      <c r="K943">
        <v>3.5</v>
      </c>
      <c r="L943" s="3">
        <v>6.7</v>
      </c>
      <c r="M943" t="s">
        <v>1035</v>
      </c>
      <c r="N943">
        <v>59.03</v>
      </c>
    </row>
    <row r="944" spans="1:14" x14ac:dyDescent="0.3">
      <c r="A944" t="s">
        <v>956</v>
      </c>
      <c r="B944" t="s">
        <v>1015</v>
      </c>
      <c r="C944" t="s">
        <v>1029</v>
      </c>
      <c r="D944">
        <v>41</v>
      </c>
      <c r="E944">
        <v>13</v>
      </c>
      <c r="F944" s="3">
        <v>74313</v>
      </c>
      <c r="G944">
        <v>37</v>
      </c>
      <c r="H944">
        <v>2</v>
      </c>
      <c r="I944">
        <v>20</v>
      </c>
      <c r="J944">
        <v>36</v>
      </c>
      <c r="K944">
        <v>4.3</v>
      </c>
      <c r="L944" s="3">
        <v>5.4</v>
      </c>
      <c r="M944" t="s">
        <v>1036</v>
      </c>
      <c r="N944">
        <v>48.63</v>
      </c>
    </row>
    <row r="945" spans="1:14" x14ac:dyDescent="0.3">
      <c r="A945" t="s">
        <v>957</v>
      </c>
      <c r="B945" t="s">
        <v>1016</v>
      </c>
      <c r="C945" t="s">
        <v>1023</v>
      </c>
      <c r="D945">
        <v>35</v>
      </c>
      <c r="E945">
        <v>14</v>
      </c>
      <c r="F945" s="3">
        <v>74039</v>
      </c>
      <c r="G945">
        <v>47</v>
      </c>
      <c r="H945">
        <v>12</v>
      </c>
      <c r="I945">
        <v>9</v>
      </c>
      <c r="J945">
        <v>0</v>
      </c>
      <c r="K945">
        <v>5</v>
      </c>
      <c r="L945" s="3">
        <v>8.6999999999999993</v>
      </c>
      <c r="M945" t="s">
        <v>1034</v>
      </c>
      <c r="N945">
        <v>87.2</v>
      </c>
    </row>
    <row r="946" spans="1:14" x14ac:dyDescent="0.3">
      <c r="A946" t="s">
        <v>958</v>
      </c>
      <c r="B946" t="s">
        <v>1014</v>
      </c>
      <c r="C946" t="s">
        <v>1031</v>
      </c>
      <c r="D946">
        <v>26</v>
      </c>
      <c r="E946">
        <v>5</v>
      </c>
      <c r="F946" s="3">
        <v>52383</v>
      </c>
      <c r="G946">
        <v>51</v>
      </c>
      <c r="H946">
        <v>7</v>
      </c>
      <c r="I946">
        <v>20</v>
      </c>
      <c r="J946">
        <v>18</v>
      </c>
      <c r="K946">
        <v>4.2</v>
      </c>
      <c r="L946" s="3">
        <v>4.2</v>
      </c>
      <c r="M946" t="s">
        <v>1036</v>
      </c>
      <c r="N946">
        <v>49.47</v>
      </c>
    </row>
    <row r="947" spans="1:14" x14ac:dyDescent="0.3">
      <c r="A947" t="s">
        <v>959</v>
      </c>
      <c r="B947" t="s">
        <v>1018</v>
      </c>
      <c r="C947" t="s">
        <v>1028</v>
      </c>
      <c r="D947">
        <v>30</v>
      </c>
      <c r="E947">
        <v>3</v>
      </c>
      <c r="F947" s="3">
        <v>56881</v>
      </c>
      <c r="G947">
        <v>40</v>
      </c>
      <c r="H947">
        <v>9</v>
      </c>
      <c r="I947">
        <v>3</v>
      </c>
      <c r="J947">
        <v>28</v>
      </c>
      <c r="K947">
        <v>3.7</v>
      </c>
      <c r="L947" s="3">
        <v>4.5</v>
      </c>
      <c r="M947" t="s">
        <v>1036</v>
      </c>
      <c r="N947">
        <v>53.1</v>
      </c>
    </row>
    <row r="948" spans="1:14" x14ac:dyDescent="0.3">
      <c r="A948" t="s">
        <v>960</v>
      </c>
      <c r="B948" t="s">
        <v>1014</v>
      </c>
      <c r="C948" t="s">
        <v>1025</v>
      </c>
      <c r="D948">
        <v>33</v>
      </c>
      <c r="E948">
        <v>12</v>
      </c>
      <c r="F948" s="3">
        <v>74752</v>
      </c>
      <c r="G948">
        <v>41</v>
      </c>
      <c r="H948">
        <v>5</v>
      </c>
      <c r="I948">
        <v>13</v>
      </c>
      <c r="J948">
        <v>28</v>
      </c>
      <c r="K948">
        <v>3.9</v>
      </c>
      <c r="L948" s="3">
        <v>7.4</v>
      </c>
      <c r="M948" t="s">
        <v>1035</v>
      </c>
      <c r="N948">
        <v>64.430000000000007</v>
      </c>
    </row>
    <row r="949" spans="1:14" x14ac:dyDescent="0.3">
      <c r="A949" t="s">
        <v>961</v>
      </c>
      <c r="B949" t="s">
        <v>1018</v>
      </c>
      <c r="C949" t="s">
        <v>1032</v>
      </c>
      <c r="D949">
        <v>27</v>
      </c>
      <c r="E949">
        <v>2</v>
      </c>
      <c r="F949" s="3">
        <v>30616</v>
      </c>
      <c r="G949">
        <v>47</v>
      </c>
      <c r="H949">
        <v>2</v>
      </c>
      <c r="I949">
        <v>8</v>
      </c>
      <c r="J949">
        <v>4</v>
      </c>
      <c r="K949">
        <v>3</v>
      </c>
      <c r="L949" s="3">
        <v>7.1</v>
      </c>
      <c r="M949" t="s">
        <v>1035</v>
      </c>
      <c r="N949">
        <v>54.93</v>
      </c>
    </row>
    <row r="950" spans="1:14" x14ac:dyDescent="0.3">
      <c r="A950" t="s">
        <v>962</v>
      </c>
      <c r="B950" t="s">
        <v>1017</v>
      </c>
      <c r="C950" t="s">
        <v>1030</v>
      </c>
      <c r="D950">
        <v>28</v>
      </c>
      <c r="E950">
        <v>0</v>
      </c>
      <c r="F950" s="3">
        <v>29001</v>
      </c>
      <c r="G950">
        <v>43</v>
      </c>
      <c r="H950">
        <v>13</v>
      </c>
      <c r="I950">
        <v>0</v>
      </c>
      <c r="J950">
        <v>37</v>
      </c>
      <c r="K950">
        <v>4.4000000000000004</v>
      </c>
      <c r="L950" s="3">
        <v>3.3</v>
      </c>
      <c r="M950" t="s">
        <v>1036</v>
      </c>
      <c r="N950">
        <v>54.67</v>
      </c>
    </row>
    <row r="951" spans="1:14" x14ac:dyDescent="0.3">
      <c r="A951" t="s">
        <v>963</v>
      </c>
      <c r="B951" t="s">
        <v>1015</v>
      </c>
      <c r="C951" t="s">
        <v>1021</v>
      </c>
      <c r="D951">
        <v>22</v>
      </c>
      <c r="E951">
        <v>1</v>
      </c>
      <c r="F951" s="3">
        <v>64517</v>
      </c>
      <c r="G951">
        <v>51</v>
      </c>
      <c r="H951">
        <v>13</v>
      </c>
      <c r="I951">
        <v>8</v>
      </c>
      <c r="J951">
        <v>31</v>
      </c>
      <c r="K951">
        <v>3.4</v>
      </c>
      <c r="L951" s="3">
        <v>5.4</v>
      </c>
      <c r="M951" t="s">
        <v>1036</v>
      </c>
      <c r="N951">
        <v>64.27</v>
      </c>
    </row>
    <row r="952" spans="1:14" x14ac:dyDescent="0.3">
      <c r="A952" t="s">
        <v>964</v>
      </c>
      <c r="B952" t="s">
        <v>1016</v>
      </c>
      <c r="C952" t="s">
        <v>1033</v>
      </c>
      <c r="D952">
        <v>45</v>
      </c>
      <c r="E952">
        <v>10</v>
      </c>
      <c r="F952" s="3">
        <v>45658</v>
      </c>
      <c r="G952">
        <v>42</v>
      </c>
      <c r="H952">
        <v>6</v>
      </c>
      <c r="I952">
        <v>21</v>
      </c>
      <c r="J952">
        <v>25</v>
      </c>
      <c r="K952">
        <v>3.1</v>
      </c>
      <c r="L952" s="3">
        <v>3.4</v>
      </c>
      <c r="M952" t="s">
        <v>1036</v>
      </c>
      <c r="N952">
        <v>39.700000000000003</v>
      </c>
    </row>
    <row r="953" spans="1:14" x14ac:dyDescent="0.3">
      <c r="A953" t="s">
        <v>965</v>
      </c>
      <c r="B953" t="s">
        <v>1016</v>
      </c>
      <c r="C953" t="s">
        <v>1033</v>
      </c>
      <c r="D953">
        <v>28</v>
      </c>
      <c r="E953">
        <v>0</v>
      </c>
      <c r="F953" s="3">
        <v>54944</v>
      </c>
      <c r="G953">
        <v>47</v>
      </c>
      <c r="H953">
        <v>12</v>
      </c>
      <c r="I953">
        <v>4</v>
      </c>
      <c r="J953">
        <v>1</v>
      </c>
      <c r="K953">
        <v>3.8</v>
      </c>
      <c r="L953" s="3">
        <v>9.1</v>
      </c>
      <c r="M953" t="s">
        <v>1034</v>
      </c>
      <c r="N953">
        <v>86</v>
      </c>
    </row>
    <row r="954" spans="1:14" x14ac:dyDescent="0.3">
      <c r="A954" t="s">
        <v>966</v>
      </c>
      <c r="B954" t="s">
        <v>1018</v>
      </c>
      <c r="C954" t="s">
        <v>1032</v>
      </c>
      <c r="D954">
        <v>45</v>
      </c>
      <c r="E954">
        <v>14</v>
      </c>
      <c r="F954" s="3">
        <v>65524</v>
      </c>
      <c r="G954">
        <v>50</v>
      </c>
      <c r="H954">
        <v>9</v>
      </c>
      <c r="I954">
        <v>13</v>
      </c>
      <c r="J954">
        <v>12</v>
      </c>
      <c r="K954">
        <v>2</v>
      </c>
      <c r="L954" s="3">
        <v>7.5</v>
      </c>
      <c r="M954" t="s">
        <v>1035</v>
      </c>
      <c r="N954">
        <v>66</v>
      </c>
    </row>
    <row r="955" spans="1:14" x14ac:dyDescent="0.3">
      <c r="A955" t="s">
        <v>967</v>
      </c>
      <c r="B955" t="s">
        <v>1014</v>
      </c>
      <c r="C955" t="s">
        <v>1025</v>
      </c>
      <c r="D955">
        <v>45</v>
      </c>
      <c r="E955">
        <v>1</v>
      </c>
      <c r="F955" s="3">
        <v>88543</v>
      </c>
      <c r="G955">
        <v>45</v>
      </c>
      <c r="H955">
        <v>11</v>
      </c>
      <c r="I955">
        <v>14</v>
      </c>
      <c r="J955">
        <v>14</v>
      </c>
      <c r="K955">
        <v>3.8</v>
      </c>
      <c r="L955" s="3">
        <v>5.8</v>
      </c>
      <c r="M955" t="s">
        <v>1036</v>
      </c>
      <c r="N955">
        <v>64.53</v>
      </c>
    </row>
    <row r="956" spans="1:14" x14ac:dyDescent="0.3">
      <c r="A956" t="s">
        <v>968</v>
      </c>
      <c r="B956" t="s">
        <v>1014</v>
      </c>
      <c r="C956" t="s">
        <v>1019</v>
      </c>
      <c r="D956">
        <v>44</v>
      </c>
      <c r="E956">
        <v>13</v>
      </c>
      <c r="F956" s="3">
        <v>86543</v>
      </c>
      <c r="G956">
        <v>50</v>
      </c>
      <c r="H956">
        <v>11</v>
      </c>
      <c r="I956">
        <v>22</v>
      </c>
      <c r="J956">
        <v>6</v>
      </c>
      <c r="K956">
        <v>4.2</v>
      </c>
      <c r="L956" s="3">
        <v>5.0999999999999996</v>
      </c>
      <c r="M956" t="s">
        <v>1036</v>
      </c>
      <c r="N956">
        <v>61.53</v>
      </c>
    </row>
    <row r="957" spans="1:14" x14ac:dyDescent="0.3">
      <c r="A957" t="s">
        <v>969</v>
      </c>
      <c r="B957" t="s">
        <v>1018</v>
      </c>
      <c r="C957" t="s">
        <v>1032</v>
      </c>
      <c r="D957">
        <v>55</v>
      </c>
      <c r="E957">
        <v>1</v>
      </c>
      <c r="F957" s="3">
        <v>33379</v>
      </c>
      <c r="G957">
        <v>50</v>
      </c>
      <c r="H957">
        <v>13</v>
      </c>
      <c r="I957">
        <v>2</v>
      </c>
      <c r="J957">
        <v>19</v>
      </c>
      <c r="K957">
        <v>4.5</v>
      </c>
      <c r="L957" s="3">
        <v>10</v>
      </c>
      <c r="M957" t="s">
        <v>1034</v>
      </c>
      <c r="N957">
        <v>95.17</v>
      </c>
    </row>
    <row r="958" spans="1:14" x14ac:dyDescent="0.3">
      <c r="A958" t="s">
        <v>970</v>
      </c>
      <c r="B958" t="s">
        <v>1018</v>
      </c>
      <c r="C958" t="s">
        <v>1027</v>
      </c>
      <c r="D958">
        <v>50</v>
      </c>
      <c r="E958">
        <v>3</v>
      </c>
      <c r="F958" s="3">
        <v>56599</v>
      </c>
      <c r="G958">
        <v>52</v>
      </c>
      <c r="H958">
        <v>4</v>
      </c>
      <c r="I958">
        <v>7</v>
      </c>
      <c r="J958">
        <v>13</v>
      </c>
      <c r="K958">
        <v>2.5</v>
      </c>
      <c r="L958" s="3">
        <v>9.6</v>
      </c>
      <c r="M958" t="s">
        <v>1034</v>
      </c>
      <c r="N958">
        <v>71.77</v>
      </c>
    </row>
    <row r="959" spans="1:14" x14ac:dyDescent="0.3">
      <c r="A959" t="s">
        <v>971</v>
      </c>
      <c r="B959" t="s">
        <v>1014</v>
      </c>
      <c r="C959" t="s">
        <v>1031</v>
      </c>
      <c r="D959">
        <v>28</v>
      </c>
      <c r="E959">
        <v>6</v>
      </c>
      <c r="F959" s="3">
        <v>71908</v>
      </c>
      <c r="G959">
        <v>35</v>
      </c>
      <c r="H959">
        <v>3</v>
      </c>
      <c r="I959">
        <v>10</v>
      </c>
      <c r="J959">
        <v>24</v>
      </c>
      <c r="K959">
        <v>4.3</v>
      </c>
      <c r="L959" s="3">
        <v>4.5</v>
      </c>
      <c r="M959" t="s">
        <v>1036</v>
      </c>
      <c r="N959">
        <v>44.9</v>
      </c>
    </row>
    <row r="960" spans="1:14" x14ac:dyDescent="0.3">
      <c r="A960" t="s">
        <v>972</v>
      </c>
      <c r="B960" t="s">
        <v>1017</v>
      </c>
      <c r="C960" t="s">
        <v>1030</v>
      </c>
      <c r="D960">
        <v>29</v>
      </c>
      <c r="E960">
        <v>2</v>
      </c>
      <c r="F960" s="3">
        <v>85472</v>
      </c>
      <c r="G960">
        <v>52</v>
      </c>
      <c r="H960">
        <v>11</v>
      </c>
      <c r="I960">
        <v>23</v>
      </c>
      <c r="J960">
        <v>31</v>
      </c>
      <c r="K960">
        <v>2.2999999999999998</v>
      </c>
      <c r="L960" s="3">
        <v>7.8</v>
      </c>
      <c r="M960" t="s">
        <v>1035</v>
      </c>
      <c r="N960">
        <v>72.03</v>
      </c>
    </row>
    <row r="961" spans="1:14" x14ac:dyDescent="0.3">
      <c r="A961" t="s">
        <v>973</v>
      </c>
      <c r="B961" t="s">
        <v>1015</v>
      </c>
      <c r="C961" t="s">
        <v>1021</v>
      </c>
      <c r="D961">
        <v>26</v>
      </c>
      <c r="E961">
        <v>5</v>
      </c>
      <c r="F961" s="3">
        <v>47493</v>
      </c>
      <c r="G961">
        <v>47</v>
      </c>
      <c r="H961">
        <v>15</v>
      </c>
      <c r="I961">
        <v>22</v>
      </c>
      <c r="J961">
        <v>24</v>
      </c>
      <c r="K961">
        <v>4</v>
      </c>
      <c r="L961" s="3">
        <v>8.5</v>
      </c>
      <c r="M961" t="s">
        <v>1034</v>
      </c>
      <c r="N961">
        <v>88</v>
      </c>
    </row>
    <row r="962" spans="1:14" x14ac:dyDescent="0.3">
      <c r="A962" t="s">
        <v>974</v>
      </c>
      <c r="B962" t="s">
        <v>1018</v>
      </c>
      <c r="C962" t="s">
        <v>1028</v>
      </c>
      <c r="D962">
        <v>36</v>
      </c>
      <c r="E962">
        <v>8</v>
      </c>
      <c r="F962" s="3">
        <v>32581</v>
      </c>
      <c r="G962">
        <v>44</v>
      </c>
      <c r="H962">
        <v>2</v>
      </c>
      <c r="I962">
        <v>3</v>
      </c>
      <c r="J962">
        <v>5</v>
      </c>
      <c r="K962">
        <v>3</v>
      </c>
      <c r="L962" s="3">
        <v>7.1</v>
      </c>
      <c r="M962" t="s">
        <v>1035</v>
      </c>
      <c r="N962">
        <v>54.93</v>
      </c>
    </row>
    <row r="963" spans="1:14" x14ac:dyDescent="0.3">
      <c r="A963" t="s">
        <v>975</v>
      </c>
      <c r="B963" t="s">
        <v>1014</v>
      </c>
      <c r="C963" t="s">
        <v>1019</v>
      </c>
      <c r="D963">
        <v>45</v>
      </c>
      <c r="E963">
        <v>4</v>
      </c>
      <c r="F963" s="3">
        <v>80923</v>
      </c>
      <c r="G963">
        <v>45</v>
      </c>
      <c r="H963">
        <v>7</v>
      </c>
      <c r="I963">
        <v>18</v>
      </c>
      <c r="J963">
        <v>0</v>
      </c>
      <c r="K963">
        <v>2.9</v>
      </c>
      <c r="L963" s="3">
        <v>7.1</v>
      </c>
      <c r="M963" t="s">
        <v>1035</v>
      </c>
      <c r="N963">
        <v>62.97</v>
      </c>
    </row>
    <row r="964" spans="1:14" x14ac:dyDescent="0.3">
      <c r="A964" t="s">
        <v>976</v>
      </c>
      <c r="B964" t="s">
        <v>1017</v>
      </c>
      <c r="C964" t="s">
        <v>1030</v>
      </c>
      <c r="D964">
        <v>49</v>
      </c>
      <c r="E964">
        <v>10</v>
      </c>
      <c r="F964" s="3">
        <v>75546</v>
      </c>
      <c r="G964">
        <v>46</v>
      </c>
      <c r="H964">
        <v>13</v>
      </c>
      <c r="I964">
        <v>21</v>
      </c>
      <c r="J964">
        <v>8</v>
      </c>
      <c r="K964">
        <v>3.6</v>
      </c>
      <c r="L964" s="3">
        <v>7.2</v>
      </c>
      <c r="M964" t="s">
        <v>1035</v>
      </c>
      <c r="N964">
        <v>75.67</v>
      </c>
    </row>
    <row r="965" spans="1:14" x14ac:dyDescent="0.3">
      <c r="A965" t="s">
        <v>977</v>
      </c>
      <c r="B965" t="s">
        <v>1014</v>
      </c>
      <c r="C965" t="s">
        <v>1031</v>
      </c>
      <c r="D965">
        <v>47</v>
      </c>
      <c r="E965">
        <v>0</v>
      </c>
      <c r="F965" s="3">
        <v>60277</v>
      </c>
      <c r="G965">
        <v>49</v>
      </c>
      <c r="H965">
        <v>6</v>
      </c>
      <c r="I965">
        <v>4</v>
      </c>
      <c r="J965">
        <v>18</v>
      </c>
      <c r="K965">
        <v>4.5</v>
      </c>
      <c r="L965" s="3">
        <v>6.5</v>
      </c>
      <c r="M965" t="s">
        <v>1035</v>
      </c>
      <c r="N965">
        <v>62.5</v>
      </c>
    </row>
    <row r="966" spans="1:14" x14ac:dyDescent="0.3">
      <c r="A966" t="s">
        <v>978</v>
      </c>
      <c r="B966" t="s">
        <v>1018</v>
      </c>
      <c r="C966" t="s">
        <v>1032</v>
      </c>
      <c r="D966">
        <v>40</v>
      </c>
      <c r="E966">
        <v>4</v>
      </c>
      <c r="F966" s="3">
        <v>73959</v>
      </c>
      <c r="G966">
        <v>36</v>
      </c>
      <c r="H966">
        <v>10</v>
      </c>
      <c r="I966">
        <v>10</v>
      </c>
      <c r="J966">
        <v>19</v>
      </c>
      <c r="K966">
        <v>3.5</v>
      </c>
      <c r="L966" s="3">
        <v>7.8</v>
      </c>
      <c r="M966" t="s">
        <v>1035</v>
      </c>
      <c r="N966">
        <v>73.97</v>
      </c>
    </row>
    <row r="967" spans="1:14" x14ac:dyDescent="0.3">
      <c r="A967" t="s">
        <v>979</v>
      </c>
      <c r="B967" t="s">
        <v>1015</v>
      </c>
      <c r="C967" t="s">
        <v>1020</v>
      </c>
      <c r="D967">
        <v>52</v>
      </c>
      <c r="E967">
        <v>6</v>
      </c>
      <c r="F967" s="3">
        <v>57441</v>
      </c>
      <c r="G967">
        <v>44</v>
      </c>
      <c r="H967">
        <v>12</v>
      </c>
      <c r="I967">
        <v>12</v>
      </c>
      <c r="J967">
        <v>3</v>
      </c>
      <c r="K967">
        <v>4.9000000000000004</v>
      </c>
      <c r="L967" s="3">
        <v>5.3</v>
      </c>
      <c r="M967" t="s">
        <v>1036</v>
      </c>
      <c r="N967">
        <v>66.5</v>
      </c>
    </row>
    <row r="968" spans="1:14" x14ac:dyDescent="0.3">
      <c r="A968" t="s">
        <v>980</v>
      </c>
      <c r="B968" t="s">
        <v>1018</v>
      </c>
      <c r="C968" t="s">
        <v>1028</v>
      </c>
      <c r="D968">
        <v>36</v>
      </c>
      <c r="E968">
        <v>1</v>
      </c>
      <c r="F968" s="3">
        <v>85500</v>
      </c>
      <c r="G968">
        <v>40</v>
      </c>
      <c r="H968">
        <v>14</v>
      </c>
      <c r="I968">
        <v>15</v>
      </c>
      <c r="J968">
        <v>25</v>
      </c>
      <c r="K968">
        <v>2.9</v>
      </c>
      <c r="L968" s="3">
        <v>8.6999999999999993</v>
      </c>
      <c r="M968" t="s">
        <v>1034</v>
      </c>
      <c r="N968">
        <v>84.23</v>
      </c>
    </row>
    <row r="969" spans="1:14" x14ac:dyDescent="0.3">
      <c r="A969" t="s">
        <v>981</v>
      </c>
      <c r="B969" t="s">
        <v>1014</v>
      </c>
      <c r="C969" t="s">
        <v>1031</v>
      </c>
      <c r="D969">
        <v>47</v>
      </c>
      <c r="E969">
        <v>10</v>
      </c>
      <c r="F969" s="3">
        <v>52684</v>
      </c>
      <c r="G969">
        <v>50</v>
      </c>
      <c r="H969">
        <v>6</v>
      </c>
      <c r="I969">
        <v>24</v>
      </c>
      <c r="J969">
        <v>25</v>
      </c>
      <c r="K969">
        <v>3.2</v>
      </c>
      <c r="L969" s="3">
        <v>6.7</v>
      </c>
      <c r="M969" t="s">
        <v>1035</v>
      </c>
      <c r="N969">
        <v>59.8</v>
      </c>
    </row>
    <row r="970" spans="1:14" x14ac:dyDescent="0.3">
      <c r="A970" t="s">
        <v>982</v>
      </c>
      <c r="B970" t="s">
        <v>1016</v>
      </c>
      <c r="C970" t="s">
        <v>1023</v>
      </c>
      <c r="D970">
        <v>34</v>
      </c>
      <c r="E970">
        <v>11</v>
      </c>
      <c r="F970" s="3">
        <v>81115</v>
      </c>
      <c r="G970">
        <v>52</v>
      </c>
      <c r="H970">
        <v>7</v>
      </c>
      <c r="I970">
        <v>3</v>
      </c>
      <c r="J970">
        <v>8</v>
      </c>
      <c r="K970">
        <v>3</v>
      </c>
      <c r="L970" s="3">
        <v>8.5</v>
      </c>
      <c r="M970" t="s">
        <v>1034</v>
      </c>
      <c r="N970">
        <v>71.67</v>
      </c>
    </row>
    <row r="971" spans="1:14" x14ac:dyDescent="0.3">
      <c r="A971" t="s">
        <v>983</v>
      </c>
      <c r="B971" t="s">
        <v>1016</v>
      </c>
      <c r="C971" t="s">
        <v>1023</v>
      </c>
      <c r="D971">
        <v>51</v>
      </c>
      <c r="E971">
        <v>5</v>
      </c>
      <c r="F971" s="3">
        <v>62824</v>
      </c>
      <c r="G971">
        <v>39</v>
      </c>
      <c r="H971">
        <v>8</v>
      </c>
      <c r="I971">
        <v>22</v>
      </c>
      <c r="J971">
        <v>30</v>
      </c>
      <c r="K971">
        <v>2.9</v>
      </c>
      <c r="L971" s="3">
        <v>4</v>
      </c>
      <c r="M971" t="s">
        <v>1036</v>
      </c>
      <c r="N971">
        <v>46.03</v>
      </c>
    </row>
    <row r="972" spans="1:14" x14ac:dyDescent="0.3">
      <c r="A972" t="s">
        <v>984</v>
      </c>
      <c r="B972" t="s">
        <v>1018</v>
      </c>
      <c r="C972" t="s">
        <v>1027</v>
      </c>
      <c r="D972">
        <v>22</v>
      </c>
      <c r="E972">
        <v>1</v>
      </c>
      <c r="F972" s="3">
        <v>72576</v>
      </c>
      <c r="G972">
        <v>53</v>
      </c>
      <c r="H972">
        <v>2</v>
      </c>
      <c r="I972">
        <v>21</v>
      </c>
      <c r="J972">
        <v>9</v>
      </c>
      <c r="K972">
        <v>3.1</v>
      </c>
      <c r="L972" s="3">
        <v>9.9</v>
      </c>
      <c r="M972" t="s">
        <v>1034</v>
      </c>
      <c r="N972">
        <v>72.03</v>
      </c>
    </row>
    <row r="973" spans="1:14" x14ac:dyDescent="0.3">
      <c r="A973" t="s">
        <v>985</v>
      </c>
      <c r="B973" t="s">
        <v>1018</v>
      </c>
      <c r="C973" t="s">
        <v>1027</v>
      </c>
      <c r="D973">
        <v>25</v>
      </c>
      <c r="E973">
        <v>0</v>
      </c>
      <c r="F973" s="3">
        <v>48303</v>
      </c>
      <c r="G973">
        <v>50</v>
      </c>
      <c r="H973">
        <v>3</v>
      </c>
      <c r="I973">
        <v>1</v>
      </c>
      <c r="J973">
        <v>7</v>
      </c>
      <c r="K973">
        <v>4.9000000000000004</v>
      </c>
      <c r="L973" s="3">
        <v>7.6</v>
      </c>
      <c r="M973" t="s">
        <v>1035</v>
      </c>
      <c r="N973">
        <v>65.3</v>
      </c>
    </row>
    <row r="974" spans="1:14" x14ac:dyDescent="0.3">
      <c r="A974" t="s">
        <v>986</v>
      </c>
      <c r="B974" t="s">
        <v>1017</v>
      </c>
      <c r="C974" t="s">
        <v>1024</v>
      </c>
      <c r="D974">
        <v>31</v>
      </c>
      <c r="E974">
        <v>10</v>
      </c>
      <c r="F974" s="3">
        <v>72353</v>
      </c>
      <c r="G974">
        <v>47</v>
      </c>
      <c r="H974">
        <v>4</v>
      </c>
      <c r="I974">
        <v>1</v>
      </c>
      <c r="J974">
        <v>7</v>
      </c>
      <c r="K974">
        <v>2.7</v>
      </c>
      <c r="L974" s="3">
        <v>6.4</v>
      </c>
      <c r="M974" t="s">
        <v>1035</v>
      </c>
      <c r="N974">
        <v>53.17</v>
      </c>
    </row>
    <row r="975" spans="1:14" x14ac:dyDescent="0.3">
      <c r="A975" t="s">
        <v>987</v>
      </c>
      <c r="B975" t="s">
        <v>1015</v>
      </c>
      <c r="C975" t="s">
        <v>1020</v>
      </c>
      <c r="D975">
        <v>33</v>
      </c>
      <c r="E975">
        <v>10</v>
      </c>
      <c r="F975" s="3">
        <v>73837</v>
      </c>
      <c r="G975">
        <v>47</v>
      </c>
      <c r="H975">
        <v>13</v>
      </c>
      <c r="I975">
        <v>22</v>
      </c>
      <c r="J975">
        <v>5</v>
      </c>
      <c r="K975">
        <v>4.3</v>
      </c>
      <c r="L975" s="3">
        <v>9.1</v>
      </c>
      <c r="M975" t="s">
        <v>1034</v>
      </c>
      <c r="N975">
        <v>89.17</v>
      </c>
    </row>
    <row r="976" spans="1:14" x14ac:dyDescent="0.3">
      <c r="A976" t="s">
        <v>988</v>
      </c>
      <c r="B976" t="s">
        <v>1017</v>
      </c>
      <c r="C976" t="s">
        <v>1024</v>
      </c>
      <c r="D976">
        <v>39</v>
      </c>
      <c r="E976">
        <v>14</v>
      </c>
      <c r="F976" s="3">
        <v>49072</v>
      </c>
      <c r="G976">
        <v>35</v>
      </c>
      <c r="H976">
        <v>2</v>
      </c>
      <c r="I976">
        <v>3</v>
      </c>
      <c r="J976">
        <v>5</v>
      </c>
      <c r="K976">
        <v>2.4</v>
      </c>
      <c r="L976" s="3">
        <v>7.5</v>
      </c>
      <c r="M976" t="s">
        <v>1035</v>
      </c>
      <c r="N976">
        <v>55.53</v>
      </c>
    </row>
    <row r="977" spans="1:14" x14ac:dyDescent="0.3">
      <c r="A977" t="s">
        <v>989</v>
      </c>
      <c r="B977" t="s">
        <v>1018</v>
      </c>
      <c r="C977" t="s">
        <v>1032</v>
      </c>
      <c r="D977">
        <v>23</v>
      </c>
      <c r="E977">
        <v>2</v>
      </c>
      <c r="F977" s="3">
        <v>62550</v>
      </c>
      <c r="G977">
        <v>53</v>
      </c>
      <c r="H977">
        <v>8</v>
      </c>
      <c r="I977">
        <v>8</v>
      </c>
      <c r="J977">
        <v>6</v>
      </c>
      <c r="K977">
        <v>4.4000000000000004</v>
      </c>
      <c r="L977" s="3">
        <v>4.3</v>
      </c>
      <c r="M977" t="s">
        <v>1036</v>
      </c>
      <c r="N977">
        <v>52.33</v>
      </c>
    </row>
    <row r="978" spans="1:14" x14ac:dyDescent="0.3">
      <c r="A978" t="s">
        <v>990</v>
      </c>
      <c r="B978" t="s">
        <v>1017</v>
      </c>
      <c r="C978" t="s">
        <v>1030</v>
      </c>
      <c r="D978">
        <v>41</v>
      </c>
      <c r="E978">
        <v>4</v>
      </c>
      <c r="F978" s="3">
        <v>31516</v>
      </c>
      <c r="G978">
        <v>45</v>
      </c>
      <c r="H978">
        <v>2</v>
      </c>
      <c r="I978">
        <v>22</v>
      </c>
      <c r="J978">
        <v>34</v>
      </c>
      <c r="K978">
        <v>2.6</v>
      </c>
      <c r="L978" s="3">
        <v>8.6999999999999993</v>
      </c>
      <c r="M978" t="s">
        <v>1034</v>
      </c>
      <c r="N978">
        <v>63.33</v>
      </c>
    </row>
    <row r="979" spans="1:14" x14ac:dyDescent="0.3">
      <c r="A979" t="s">
        <v>991</v>
      </c>
      <c r="B979" t="s">
        <v>1017</v>
      </c>
      <c r="C979" t="s">
        <v>1030</v>
      </c>
      <c r="D979">
        <v>55</v>
      </c>
      <c r="E979">
        <v>15</v>
      </c>
      <c r="F979" s="3">
        <v>29189</v>
      </c>
      <c r="G979">
        <v>51</v>
      </c>
      <c r="H979">
        <v>14</v>
      </c>
      <c r="I979">
        <v>18</v>
      </c>
      <c r="J979">
        <v>34</v>
      </c>
      <c r="K979">
        <v>4.0999999999999996</v>
      </c>
      <c r="L979" s="3">
        <v>8.5</v>
      </c>
      <c r="M979" t="s">
        <v>1034</v>
      </c>
      <c r="N979">
        <v>86.63</v>
      </c>
    </row>
    <row r="980" spans="1:14" x14ac:dyDescent="0.3">
      <c r="A980" t="s">
        <v>992</v>
      </c>
      <c r="B980" t="s">
        <v>1018</v>
      </c>
      <c r="C980" t="s">
        <v>1028</v>
      </c>
      <c r="D980">
        <v>29</v>
      </c>
      <c r="E980">
        <v>2</v>
      </c>
      <c r="F980" s="3">
        <v>81492</v>
      </c>
      <c r="G980">
        <v>54</v>
      </c>
      <c r="H980">
        <v>12</v>
      </c>
      <c r="I980">
        <v>5</v>
      </c>
      <c r="J980">
        <v>0</v>
      </c>
      <c r="K980">
        <v>3.7</v>
      </c>
      <c r="L980" s="3">
        <v>8.6</v>
      </c>
      <c r="M980" t="s">
        <v>1034</v>
      </c>
      <c r="N980">
        <v>82.7</v>
      </c>
    </row>
    <row r="981" spans="1:14" x14ac:dyDescent="0.3">
      <c r="A981" t="s">
        <v>993</v>
      </c>
      <c r="B981" t="s">
        <v>1014</v>
      </c>
      <c r="C981" t="s">
        <v>1019</v>
      </c>
      <c r="D981">
        <v>30</v>
      </c>
      <c r="E981">
        <v>9</v>
      </c>
      <c r="F981" s="3">
        <v>38515</v>
      </c>
      <c r="G981">
        <v>55</v>
      </c>
      <c r="H981">
        <v>3</v>
      </c>
      <c r="I981">
        <v>2</v>
      </c>
      <c r="J981">
        <v>35</v>
      </c>
      <c r="K981">
        <v>2.8</v>
      </c>
      <c r="L981" s="3">
        <v>8.3000000000000007</v>
      </c>
      <c r="M981" t="s">
        <v>1034</v>
      </c>
      <c r="N981">
        <v>63.2</v>
      </c>
    </row>
    <row r="982" spans="1:14" x14ac:dyDescent="0.3">
      <c r="A982" t="s">
        <v>994</v>
      </c>
      <c r="B982" t="s">
        <v>1014</v>
      </c>
      <c r="C982" t="s">
        <v>1025</v>
      </c>
      <c r="D982">
        <v>54</v>
      </c>
      <c r="E982">
        <v>9</v>
      </c>
      <c r="F982" s="3">
        <v>48826</v>
      </c>
      <c r="G982">
        <v>52</v>
      </c>
      <c r="H982">
        <v>3</v>
      </c>
      <c r="I982">
        <v>13</v>
      </c>
      <c r="J982">
        <v>0</v>
      </c>
      <c r="K982">
        <v>2.7</v>
      </c>
      <c r="L982" s="3">
        <v>3.3</v>
      </c>
      <c r="M982" t="s">
        <v>1036</v>
      </c>
      <c r="N982">
        <v>32.9</v>
      </c>
    </row>
    <row r="983" spans="1:14" x14ac:dyDescent="0.3">
      <c r="A983" t="s">
        <v>995</v>
      </c>
      <c r="B983" t="s">
        <v>1016</v>
      </c>
      <c r="C983" t="s">
        <v>1022</v>
      </c>
      <c r="D983">
        <v>50</v>
      </c>
      <c r="E983">
        <v>4</v>
      </c>
      <c r="F983" s="3">
        <v>62818</v>
      </c>
      <c r="G983">
        <v>50</v>
      </c>
      <c r="H983">
        <v>12</v>
      </c>
      <c r="I983">
        <v>10</v>
      </c>
      <c r="J983">
        <v>33</v>
      </c>
      <c r="K983">
        <v>4.7</v>
      </c>
      <c r="L983" s="3">
        <v>10</v>
      </c>
      <c r="M983" t="s">
        <v>1034</v>
      </c>
      <c r="N983">
        <v>94.1</v>
      </c>
    </row>
    <row r="984" spans="1:14" x14ac:dyDescent="0.3">
      <c r="A984" t="s">
        <v>996</v>
      </c>
      <c r="B984" t="s">
        <v>1015</v>
      </c>
      <c r="C984" t="s">
        <v>1029</v>
      </c>
      <c r="D984">
        <v>54</v>
      </c>
      <c r="E984">
        <v>6</v>
      </c>
      <c r="F984" s="3">
        <v>70084</v>
      </c>
      <c r="G984">
        <v>38</v>
      </c>
      <c r="H984">
        <v>11</v>
      </c>
      <c r="I984">
        <v>1</v>
      </c>
      <c r="J984">
        <v>15</v>
      </c>
      <c r="K984">
        <v>2.1</v>
      </c>
      <c r="L984" s="3">
        <v>4</v>
      </c>
      <c r="M984" t="s">
        <v>1036</v>
      </c>
      <c r="N984">
        <v>48.63</v>
      </c>
    </row>
    <row r="985" spans="1:14" x14ac:dyDescent="0.3">
      <c r="A985" t="s">
        <v>997</v>
      </c>
      <c r="B985" t="s">
        <v>1018</v>
      </c>
      <c r="C985" t="s">
        <v>1032</v>
      </c>
      <c r="D985">
        <v>35</v>
      </c>
      <c r="E985">
        <v>9</v>
      </c>
      <c r="F985" s="3">
        <v>48531</v>
      </c>
      <c r="G985">
        <v>43</v>
      </c>
      <c r="H985">
        <v>3</v>
      </c>
      <c r="I985">
        <v>23</v>
      </c>
      <c r="J985">
        <v>39</v>
      </c>
      <c r="K985">
        <v>3.3</v>
      </c>
      <c r="L985" s="3">
        <v>6.8</v>
      </c>
      <c r="M985" t="s">
        <v>1035</v>
      </c>
      <c r="N985">
        <v>55.7</v>
      </c>
    </row>
    <row r="986" spans="1:14" x14ac:dyDescent="0.3">
      <c r="A986" t="s">
        <v>998</v>
      </c>
      <c r="B986" t="s">
        <v>1017</v>
      </c>
      <c r="C986" t="s">
        <v>1030</v>
      </c>
      <c r="D986">
        <v>32</v>
      </c>
      <c r="E986">
        <v>6</v>
      </c>
      <c r="F986" s="3">
        <v>54888</v>
      </c>
      <c r="G986">
        <v>37</v>
      </c>
      <c r="H986">
        <v>5</v>
      </c>
      <c r="I986">
        <v>21</v>
      </c>
      <c r="J986">
        <v>27</v>
      </c>
      <c r="K986">
        <v>4.8</v>
      </c>
      <c r="L986" s="3">
        <v>4</v>
      </c>
      <c r="M986" t="s">
        <v>1036</v>
      </c>
      <c r="N986">
        <v>46.73</v>
      </c>
    </row>
    <row r="987" spans="1:14" x14ac:dyDescent="0.3">
      <c r="A987" t="s">
        <v>999</v>
      </c>
      <c r="B987" t="s">
        <v>1014</v>
      </c>
      <c r="C987" t="s">
        <v>1019</v>
      </c>
      <c r="D987">
        <v>39</v>
      </c>
      <c r="E987">
        <v>6</v>
      </c>
      <c r="F987" s="3">
        <v>71821</v>
      </c>
      <c r="G987">
        <v>46</v>
      </c>
      <c r="H987">
        <v>10</v>
      </c>
      <c r="I987">
        <v>21</v>
      </c>
      <c r="J987">
        <v>32</v>
      </c>
      <c r="K987">
        <v>3.8</v>
      </c>
      <c r="L987" s="3">
        <v>5.9</v>
      </c>
      <c r="M987" t="s">
        <v>1036</v>
      </c>
      <c r="N987">
        <v>63.47</v>
      </c>
    </row>
    <row r="988" spans="1:14" x14ac:dyDescent="0.3">
      <c r="A988" t="s">
        <v>1000</v>
      </c>
      <c r="B988" t="s">
        <v>1016</v>
      </c>
      <c r="C988" t="s">
        <v>1022</v>
      </c>
      <c r="D988">
        <v>49</v>
      </c>
      <c r="E988">
        <v>12</v>
      </c>
      <c r="F988" s="3">
        <v>26698</v>
      </c>
      <c r="G988">
        <v>54</v>
      </c>
      <c r="H988">
        <v>4</v>
      </c>
      <c r="I988">
        <v>2</v>
      </c>
      <c r="J988">
        <v>17</v>
      </c>
      <c r="K988">
        <v>2.4</v>
      </c>
      <c r="L988" s="3">
        <v>3.8</v>
      </c>
      <c r="M988" t="s">
        <v>1036</v>
      </c>
      <c r="N988">
        <v>36.67</v>
      </c>
    </row>
    <row r="989" spans="1:14" x14ac:dyDescent="0.3">
      <c r="A989" t="s">
        <v>1001</v>
      </c>
      <c r="B989" t="s">
        <v>1017</v>
      </c>
      <c r="C989" t="s">
        <v>1026</v>
      </c>
      <c r="D989">
        <v>26</v>
      </c>
      <c r="E989">
        <v>2</v>
      </c>
      <c r="F989" s="3">
        <v>66954</v>
      </c>
      <c r="G989">
        <v>37</v>
      </c>
      <c r="H989">
        <v>6</v>
      </c>
      <c r="I989">
        <v>10</v>
      </c>
      <c r="J989">
        <v>17</v>
      </c>
      <c r="K989">
        <v>2.4</v>
      </c>
      <c r="L989" s="3">
        <v>8.6</v>
      </c>
      <c r="M989" t="s">
        <v>1034</v>
      </c>
      <c r="N989">
        <v>68.8</v>
      </c>
    </row>
    <row r="990" spans="1:14" x14ac:dyDescent="0.3">
      <c r="A990" t="s">
        <v>1002</v>
      </c>
      <c r="B990" t="s">
        <v>1014</v>
      </c>
      <c r="C990" t="s">
        <v>1031</v>
      </c>
      <c r="D990">
        <v>28</v>
      </c>
      <c r="E990">
        <v>6</v>
      </c>
      <c r="F990" s="3">
        <v>89191</v>
      </c>
      <c r="G990">
        <v>42</v>
      </c>
      <c r="H990">
        <v>7</v>
      </c>
      <c r="I990">
        <v>3</v>
      </c>
      <c r="J990">
        <v>7</v>
      </c>
      <c r="K990">
        <v>2.5</v>
      </c>
      <c r="L990" s="3">
        <v>8.1</v>
      </c>
      <c r="M990" t="s">
        <v>1034</v>
      </c>
      <c r="N990">
        <v>67.77</v>
      </c>
    </row>
    <row r="991" spans="1:14" x14ac:dyDescent="0.3">
      <c r="A991" t="s">
        <v>1003</v>
      </c>
      <c r="B991" t="s">
        <v>1015</v>
      </c>
      <c r="C991" t="s">
        <v>1029</v>
      </c>
      <c r="D991">
        <v>53</v>
      </c>
      <c r="E991">
        <v>3</v>
      </c>
      <c r="F991" s="3">
        <v>59665</v>
      </c>
      <c r="G991">
        <v>46</v>
      </c>
      <c r="H991">
        <v>12</v>
      </c>
      <c r="I991">
        <v>18</v>
      </c>
      <c r="J991">
        <v>18</v>
      </c>
      <c r="K991">
        <v>3.7</v>
      </c>
      <c r="L991" s="3">
        <v>7.3</v>
      </c>
      <c r="M991" t="s">
        <v>1035</v>
      </c>
      <c r="N991">
        <v>74.900000000000006</v>
      </c>
    </row>
    <row r="992" spans="1:14" x14ac:dyDescent="0.3">
      <c r="A992" t="s">
        <v>1004</v>
      </c>
      <c r="B992" t="s">
        <v>1018</v>
      </c>
      <c r="C992" t="s">
        <v>1032</v>
      </c>
      <c r="D992">
        <v>42</v>
      </c>
      <c r="E992">
        <v>12</v>
      </c>
      <c r="F992" s="3">
        <v>36840</v>
      </c>
      <c r="G992">
        <v>46</v>
      </c>
      <c r="H992">
        <v>13</v>
      </c>
      <c r="I992">
        <v>23</v>
      </c>
      <c r="J992">
        <v>34</v>
      </c>
      <c r="K992">
        <v>3.7</v>
      </c>
      <c r="L992" s="3">
        <v>9.1999999999999993</v>
      </c>
      <c r="M992" t="s">
        <v>1034</v>
      </c>
      <c r="N992">
        <v>87.97</v>
      </c>
    </row>
    <row r="993" spans="1:14" x14ac:dyDescent="0.3">
      <c r="A993" t="s">
        <v>1005</v>
      </c>
      <c r="B993" t="s">
        <v>1017</v>
      </c>
      <c r="C993" t="s">
        <v>1026</v>
      </c>
      <c r="D993">
        <v>30</v>
      </c>
      <c r="E993">
        <v>4</v>
      </c>
      <c r="F993" s="3">
        <v>25622</v>
      </c>
      <c r="G993">
        <v>51</v>
      </c>
      <c r="H993">
        <v>12</v>
      </c>
      <c r="I993">
        <v>4</v>
      </c>
      <c r="J993">
        <v>8</v>
      </c>
      <c r="K993">
        <v>2.4</v>
      </c>
      <c r="L993" s="3">
        <v>7</v>
      </c>
      <c r="M993" t="s">
        <v>1035</v>
      </c>
      <c r="N993">
        <v>69.2</v>
      </c>
    </row>
    <row r="994" spans="1:14" x14ac:dyDescent="0.3">
      <c r="A994" t="s">
        <v>1006</v>
      </c>
      <c r="B994" t="s">
        <v>1014</v>
      </c>
      <c r="C994" t="s">
        <v>1031</v>
      </c>
      <c r="D994">
        <v>45</v>
      </c>
      <c r="E994">
        <v>7</v>
      </c>
      <c r="F994" s="3">
        <v>69447</v>
      </c>
      <c r="G994">
        <v>54</v>
      </c>
      <c r="H994">
        <v>7</v>
      </c>
      <c r="I994">
        <v>22</v>
      </c>
      <c r="J994">
        <v>29</v>
      </c>
      <c r="K994">
        <v>2.5</v>
      </c>
      <c r="L994" s="3">
        <v>9.9</v>
      </c>
      <c r="M994" t="s">
        <v>1034</v>
      </c>
      <c r="N994">
        <v>78.569999999999993</v>
      </c>
    </row>
    <row r="995" spans="1:14" x14ac:dyDescent="0.3">
      <c r="A995" t="s">
        <v>1007</v>
      </c>
      <c r="B995" t="s">
        <v>1015</v>
      </c>
      <c r="C995" t="s">
        <v>1021</v>
      </c>
      <c r="D995">
        <v>40</v>
      </c>
      <c r="E995">
        <v>8</v>
      </c>
      <c r="F995" s="3">
        <v>87430</v>
      </c>
      <c r="G995">
        <v>48</v>
      </c>
      <c r="H995">
        <v>9</v>
      </c>
      <c r="I995">
        <v>22</v>
      </c>
      <c r="J995">
        <v>14</v>
      </c>
      <c r="K995">
        <v>2.9</v>
      </c>
      <c r="L995" s="3">
        <v>9</v>
      </c>
      <c r="M995" t="s">
        <v>1034</v>
      </c>
      <c r="N995">
        <v>77.7</v>
      </c>
    </row>
    <row r="996" spans="1:14" x14ac:dyDescent="0.3">
      <c r="A996" t="s">
        <v>1008</v>
      </c>
      <c r="B996" t="s">
        <v>1017</v>
      </c>
      <c r="C996" t="s">
        <v>1030</v>
      </c>
      <c r="D996">
        <v>42</v>
      </c>
      <c r="E996">
        <v>2</v>
      </c>
      <c r="F996" s="3">
        <v>66594</v>
      </c>
      <c r="G996">
        <v>37</v>
      </c>
      <c r="H996">
        <v>2</v>
      </c>
      <c r="I996">
        <v>23</v>
      </c>
      <c r="J996">
        <v>15</v>
      </c>
      <c r="K996">
        <v>4.8</v>
      </c>
      <c r="L996" s="3">
        <v>4.2</v>
      </c>
      <c r="M996" t="s">
        <v>1036</v>
      </c>
      <c r="N996">
        <v>42.93</v>
      </c>
    </row>
    <row r="997" spans="1:14" x14ac:dyDescent="0.3">
      <c r="A997" t="s">
        <v>1009</v>
      </c>
      <c r="B997" t="s">
        <v>1014</v>
      </c>
      <c r="C997" t="s">
        <v>1031</v>
      </c>
      <c r="D997">
        <v>40</v>
      </c>
      <c r="E997">
        <v>15</v>
      </c>
      <c r="F997" s="3">
        <v>77975</v>
      </c>
      <c r="G997">
        <v>35</v>
      </c>
      <c r="H997">
        <v>7</v>
      </c>
      <c r="I997">
        <v>21</v>
      </c>
      <c r="J997">
        <v>32</v>
      </c>
      <c r="K997">
        <v>4.8</v>
      </c>
      <c r="L997" s="3">
        <v>4</v>
      </c>
      <c r="M997" t="s">
        <v>1036</v>
      </c>
      <c r="N997">
        <v>50.07</v>
      </c>
    </row>
    <row r="998" spans="1:14" x14ac:dyDescent="0.3">
      <c r="A998" t="s">
        <v>1010</v>
      </c>
      <c r="B998" t="s">
        <v>1015</v>
      </c>
      <c r="C998" t="s">
        <v>1020</v>
      </c>
      <c r="D998">
        <v>29</v>
      </c>
      <c r="E998">
        <v>6</v>
      </c>
      <c r="F998" s="3">
        <v>25910</v>
      </c>
      <c r="G998">
        <v>54</v>
      </c>
      <c r="H998">
        <v>4</v>
      </c>
      <c r="I998">
        <v>23</v>
      </c>
      <c r="J998">
        <v>0</v>
      </c>
      <c r="K998">
        <v>4.0999999999999996</v>
      </c>
      <c r="L998" s="3">
        <v>7.9</v>
      </c>
      <c r="M998" t="s">
        <v>1035</v>
      </c>
      <c r="N998">
        <v>66.37</v>
      </c>
    </row>
    <row r="999" spans="1:14" x14ac:dyDescent="0.3">
      <c r="A999" t="s">
        <v>1011</v>
      </c>
      <c r="B999" t="s">
        <v>1016</v>
      </c>
      <c r="C999" t="s">
        <v>1033</v>
      </c>
      <c r="D999">
        <v>37</v>
      </c>
      <c r="E999">
        <v>1</v>
      </c>
      <c r="F999" s="3">
        <v>64804</v>
      </c>
      <c r="G999">
        <v>49</v>
      </c>
      <c r="H999">
        <v>3</v>
      </c>
      <c r="I999">
        <v>21</v>
      </c>
      <c r="J999">
        <v>33</v>
      </c>
      <c r="K999">
        <v>4.7</v>
      </c>
      <c r="L999" s="3">
        <v>4.2</v>
      </c>
      <c r="M999" t="s">
        <v>1036</v>
      </c>
      <c r="N999">
        <v>44.3</v>
      </c>
    </row>
    <row r="1000" spans="1:14" x14ac:dyDescent="0.3">
      <c r="A1000" t="s">
        <v>1012</v>
      </c>
      <c r="B1000" t="s">
        <v>1018</v>
      </c>
      <c r="C1000" t="s">
        <v>1032</v>
      </c>
      <c r="D1000">
        <v>54</v>
      </c>
      <c r="E1000">
        <v>11</v>
      </c>
      <c r="F1000" s="3">
        <v>87421</v>
      </c>
      <c r="G1000">
        <v>36</v>
      </c>
      <c r="H1000">
        <v>7</v>
      </c>
      <c r="I1000">
        <v>15</v>
      </c>
      <c r="J1000">
        <v>24</v>
      </c>
      <c r="K1000">
        <v>2.5</v>
      </c>
      <c r="L1000" s="3">
        <v>9.8000000000000007</v>
      </c>
      <c r="M1000" t="s">
        <v>1034</v>
      </c>
      <c r="N1000">
        <v>77.97</v>
      </c>
    </row>
    <row r="1001" spans="1:14" x14ac:dyDescent="0.3">
      <c r="A1001" t="s">
        <v>1013</v>
      </c>
      <c r="B1001" t="s">
        <v>1018</v>
      </c>
      <c r="C1001" t="s">
        <v>1032</v>
      </c>
      <c r="D1001">
        <v>29</v>
      </c>
      <c r="E1001">
        <v>4</v>
      </c>
      <c r="F1001" s="3">
        <v>44606</v>
      </c>
      <c r="G1001">
        <v>50</v>
      </c>
      <c r="H1001">
        <v>5</v>
      </c>
      <c r="I1001">
        <v>8</v>
      </c>
      <c r="J1001">
        <v>13</v>
      </c>
      <c r="K1001">
        <v>2</v>
      </c>
      <c r="L1001" s="3">
        <v>7.4</v>
      </c>
      <c r="M1001" t="s">
        <v>1035</v>
      </c>
      <c r="N1001">
        <v>58.73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DFD9-424A-4D5E-980C-FE757DC846A7}">
  <dimension ref="A1:A26"/>
  <sheetViews>
    <sheetView topLeftCell="A5" workbookViewId="0">
      <selection activeCell="A24" sqref="A24"/>
    </sheetView>
  </sheetViews>
  <sheetFormatPr defaultRowHeight="14.4" x14ac:dyDescent="0.3"/>
  <cols>
    <col min="1" max="1" width="206.33203125" customWidth="1"/>
  </cols>
  <sheetData>
    <row r="1" spans="1:1" ht="33.6" x14ac:dyDescent="0.65">
      <c r="A1" s="2" t="s">
        <v>1049</v>
      </c>
    </row>
    <row r="2" spans="1:1" x14ac:dyDescent="0.3">
      <c r="A2" s="3"/>
    </row>
    <row r="3" spans="1:1" x14ac:dyDescent="0.3">
      <c r="A3" s="3"/>
    </row>
    <row r="4" spans="1:1" ht="21" x14ac:dyDescent="0.4">
      <c r="A4" s="4" t="s">
        <v>1037</v>
      </c>
    </row>
    <row r="5" spans="1:1" ht="15.6" x14ac:dyDescent="0.3">
      <c r="A5" s="8" t="s">
        <v>1047</v>
      </c>
    </row>
    <row r="6" spans="1:1" ht="15.6" x14ac:dyDescent="0.3">
      <c r="A6" s="8" t="s">
        <v>1048</v>
      </c>
    </row>
    <row r="7" spans="1:1" x14ac:dyDescent="0.3">
      <c r="A7" s="3"/>
    </row>
    <row r="8" spans="1:1" ht="23.4" x14ac:dyDescent="0.45">
      <c r="A8" s="5" t="s">
        <v>1038</v>
      </c>
    </row>
    <row r="9" spans="1:1" ht="15.6" x14ac:dyDescent="0.3">
      <c r="A9" s="6" t="s">
        <v>1042</v>
      </c>
    </row>
    <row r="10" spans="1:1" ht="15.6" x14ac:dyDescent="0.3">
      <c r="A10" s="6" t="s">
        <v>1043</v>
      </c>
    </row>
    <row r="11" spans="1:1" ht="15.6" x14ac:dyDescent="0.3">
      <c r="A11" s="6" t="s">
        <v>1044</v>
      </c>
    </row>
    <row r="12" spans="1:1" ht="15.6" x14ac:dyDescent="0.3">
      <c r="A12" s="6" t="s">
        <v>1045</v>
      </c>
    </row>
    <row r="13" spans="1:1" ht="15.6" x14ac:dyDescent="0.3">
      <c r="A13" s="7" t="s">
        <v>1046</v>
      </c>
    </row>
    <row r="14" spans="1:1" ht="15.6" x14ac:dyDescent="0.3">
      <c r="A14" s="6" t="s">
        <v>1041</v>
      </c>
    </row>
    <row r="15" spans="1:1" ht="15.6" x14ac:dyDescent="0.3">
      <c r="A15" s="6" t="s">
        <v>1039</v>
      </c>
    </row>
    <row r="16" spans="1:1" ht="15.6" x14ac:dyDescent="0.3">
      <c r="A16" s="6" t="s">
        <v>1040</v>
      </c>
    </row>
    <row r="17" spans="1:1" ht="15.6" x14ac:dyDescent="0.3">
      <c r="A17" s="6" t="s">
        <v>1069</v>
      </c>
    </row>
    <row r="18" spans="1:1" ht="15.6" x14ac:dyDescent="0.3">
      <c r="A18" s="6" t="s">
        <v>1063</v>
      </c>
    </row>
    <row r="19" spans="1:1" ht="15.6" x14ac:dyDescent="0.3">
      <c r="A19" s="6" t="s">
        <v>1064</v>
      </c>
    </row>
    <row r="20" spans="1:1" ht="15.6" x14ac:dyDescent="0.3">
      <c r="A20" s="6" t="s">
        <v>1065</v>
      </c>
    </row>
    <row r="21" spans="1:1" ht="15.6" x14ac:dyDescent="0.3">
      <c r="A21" s="6" t="s">
        <v>1066</v>
      </c>
    </row>
    <row r="22" spans="1:1" ht="15.6" x14ac:dyDescent="0.3">
      <c r="A22" s="6" t="s">
        <v>1067</v>
      </c>
    </row>
    <row r="23" spans="1:1" ht="15.6" x14ac:dyDescent="0.3">
      <c r="A23" s="6" t="s">
        <v>1068</v>
      </c>
    </row>
    <row r="24" spans="1:1" ht="15.6" x14ac:dyDescent="0.3">
      <c r="A24" s="6" t="s">
        <v>1077</v>
      </c>
    </row>
    <row r="25" spans="1:1" ht="15.6" x14ac:dyDescent="0.3">
      <c r="A25" s="7"/>
    </row>
    <row r="26" spans="1:1" ht="15.6" x14ac:dyDescent="0.3">
      <c r="A2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0B92-2188-4D3C-B3B4-452AF631F59E}">
  <dimension ref="A2:G52"/>
  <sheetViews>
    <sheetView topLeftCell="B24" workbookViewId="0">
      <selection activeCell="B44" sqref="B44"/>
    </sheetView>
  </sheetViews>
  <sheetFormatPr defaultRowHeight="14.4" x14ac:dyDescent="0.3"/>
  <cols>
    <col min="1" max="1" width="53" customWidth="1"/>
    <col min="2" max="2" width="37.6640625" customWidth="1"/>
    <col min="3" max="3" width="70.33203125" customWidth="1"/>
    <col min="4" max="4" width="50.5546875" customWidth="1"/>
    <col min="5" max="5" width="16.5546875" customWidth="1"/>
    <col min="6" max="6" width="16.21875" customWidth="1"/>
    <col min="7" max="7" width="19.33203125" customWidth="1"/>
  </cols>
  <sheetData>
    <row r="2" spans="1:5" ht="17.399999999999999" x14ac:dyDescent="0.45">
      <c r="A2" s="17" t="s">
        <v>1050</v>
      </c>
      <c r="B2" s="16" t="s">
        <v>1051</v>
      </c>
      <c r="C2" s="17" t="s">
        <v>1052</v>
      </c>
      <c r="D2" s="17" t="s">
        <v>1086</v>
      </c>
    </row>
    <row r="3" spans="1:5" x14ac:dyDescent="0.3">
      <c r="A3" s="15">
        <f>COUNTA(Raw_Data!A2:A1001)</f>
        <v>1000</v>
      </c>
      <c r="B3" s="15">
        <f>AVERAGE(Raw_Data!L2:L1001)</f>
        <v>6.5121000000000029</v>
      </c>
      <c r="C3" s="15">
        <f>MAX(Raw_Data!L2:L1001)</f>
        <v>10</v>
      </c>
      <c r="D3" t="s">
        <v>1</v>
      </c>
      <c r="E3" t="s">
        <v>1053</v>
      </c>
    </row>
    <row r="4" spans="1:5" x14ac:dyDescent="0.3">
      <c r="C4" s="15">
        <f>MIN(Raw_Data!L2:L1001)</f>
        <v>3</v>
      </c>
      <c r="D4" t="s">
        <v>1054</v>
      </c>
      <c r="E4">
        <f>COUNTIF(Raw_Data!B2:B1001,"Finance")</f>
        <v>210</v>
      </c>
    </row>
    <row r="5" spans="1:5" x14ac:dyDescent="0.3">
      <c r="D5" t="s">
        <v>1018</v>
      </c>
      <c r="E5">
        <f>COUNTIF(Raw_Data!B2:B1001,"HR")</f>
        <v>186</v>
      </c>
    </row>
    <row r="6" spans="1:5" x14ac:dyDescent="0.3">
      <c r="D6" t="s">
        <v>1016</v>
      </c>
      <c r="E6">
        <f>COUNTIF(Raw_Data!B2:B1001,"IT")</f>
        <v>195</v>
      </c>
    </row>
    <row r="7" spans="1:5" x14ac:dyDescent="0.3">
      <c r="D7" t="s">
        <v>1017</v>
      </c>
      <c r="E7">
        <f>COUNTIF(Raw_Data!B2:B1001,"Marketing")</f>
        <v>204</v>
      </c>
    </row>
    <row r="8" spans="1:5" x14ac:dyDescent="0.3">
      <c r="D8" t="s">
        <v>1015</v>
      </c>
      <c r="E8">
        <f>COUNTIF(Raw_Data!B2:B1001,"Sales")</f>
        <v>205</v>
      </c>
    </row>
    <row r="10" spans="1:5" ht="16.2" x14ac:dyDescent="0.4">
      <c r="A10" s="17" t="s">
        <v>1055</v>
      </c>
      <c r="C10" s="17" t="s">
        <v>1057</v>
      </c>
    </row>
    <row r="11" spans="1:5" x14ac:dyDescent="0.3">
      <c r="A11" t="s">
        <v>1</v>
      </c>
      <c r="B11" t="s">
        <v>1056</v>
      </c>
      <c r="C11" t="s">
        <v>1080</v>
      </c>
      <c r="D11" t="s">
        <v>1081</v>
      </c>
    </row>
    <row r="12" spans="1:5" x14ac:dyDescent="0.3">
      <c r="A12" t="s">
        <v>1054</v>
      </c>
      <c r="B12">
        <f>AVERAGEIF(Raw_Data!B2:B1001,"Finance",Raw_Data!L2:L1001)</f>
        <v>6.6366666666666649</v>
      </c>
      <c r="C12" t="s">
        <v>1</v>
      </c>
      <c r="D12" t="s">
        <v>1058</v>
      </c>
    </row>
    <row r="13" spans="1:5" x14ac:dyDescent="0.3">
      <c r="A13" t="s">
        <v>1018</v>
      </c>
      <c r="B13">
        <f>AVERAGEIF(Raw_Data!B2:B1001,"HR",Raw_Data!L2:L1001)</f>
        <v>6.4327956989247275</v>
      </c>
      <c r="C13" t="s">
        <v>1054</v>
      </c>
      <c r="D13" s="9">
        <f>SUMIF(Raw_Data!B2:B1001,"Finance",Raw_Data!F2:F1001)</f>
        <v>11968625</v>
      </c>
    </row>
    <row r="14" spans="1:5" x14ac:dyDescent="0.3">
      <c r="A14" t="s">
        <v>1016</v>
      </c>
      <c r="B14">
        <f>AVERAGEIF(Raw_Data!B2:B1001,"IT",Raw_Data!L2:L1001)</f>
        <v>6.5323076923076959</v>
      </c>
      <c r="C14" t="s">
        <v>1018</v>
      </c>
      <c r="D14" s="9">
        <f>SUMIF(Raw_Data!B2:B1001,"HR",Raw_Data!F2:F1001)</f>
        <v>11000409</v>
      </c>
    </row>
    <row r="15" spans="1:5" x14ac:dyDescent="0.3">
      <c r="A15" t="s">
        <v>1017</v>
      </c>
      <c r="B15">
        <f>AVERAGEIF(Raw_Data!B2:B1001,"Marketing",Raw_Data!L2:L1001)</f>
        <v>6.5431372549019562</v>
      </c>
      <c r="C15" t="s">
        <v>1016</v>
      </c>
      <c r="D15" s="9">
        <f>SUMIF(Raw_Data!B2:B1001,"IT",Raw_Data!F2:F1001)</f>
        <v>11797449</v>
      </c>
    </row>
    <row r="16" spans="1:5" x14ac:dyDescent="0.3">
      <c r="A16" t="s">
        <v>1015</v>
      </c>
      <c r="B16">
        <f>AVERAGEIF(Raw_Data!B2:B1001,"Sales",Raw_Data!L2:L1001)</f>
        <v>6.4063414634146358</v>
      </c>
      <c r="C16" t="s">
        <v>1017</v>
      </c>
      <c r="D16" s="9">
        <f>SUMIF(Raw_Data!B2:B1001,"Marketing",Raw_Data!F2:F1001)</f>
        <v>11392432</v>
      </c>
    </row>
    <row r="18" spans="1:7" ht="16.2" x14ac:dyDescent="0.4">
      <c r="A18" s="17" t="s">
        <v>1059</v>
      </c>
      <c r="C18" s="17" t="s">
        <v>1060</v>
      </c>
      <c r="D18" s="17" t="s">
        <v>1061</v>
      </c>
    </row>
    <row r="19" spans="1:7" x14ac:dyDescent="0.3">
      <c r="A19" s="15">
        <f>COUNTIFS(Raw_Data!L2:L1001,"&gt;=8",Raw_Data!K2:K1001,"&gt;=4")</f>
        <v>95</v>
      </c>
      <c r="C19" s="15">
        <f>AVERAGEIFS(Raw_Data!L1:L1001,Raw_Data!L1:L1001,"&gt;=8",Raw_Data!K1:K1001,"&gt;=4")</f>
        <v>9.0052631578947384</v>
      </c>
      <c r="D19" t="s">
        <v>0</v>
      </c>
      <c r="E19" t="s">
        <v>1</v>
      </c>
      <c r="F19" t="s">
        <v>5</v>
      </c>
      <c r="G19" t="s">
        <v>1062</v>
      </c>
    </row>
    <row r="20" spans="1:7" x14ac:dyDescent="0.3">
      <c r="D20" t="s">
        <v>14</v>
      </c>
      <c r="E20" t="str">
        <f>VLOOKUP(D20,Raw_Data!A:N,2,FALSE)</f>
        <v>Finance</v>
      </c>
      <c r="F20">
        <f>VLOOKUP(D20,Raw_Data!A:N,6,FALSE)</f>
        <v>43024</v>
      </c>
      <c r="G20">
        <f>VLOOKUP(D20,Raw_Data!A:N,12,FALSE)</f>
        <v>9.1999999999999993</v>
      </c>
    </row>
    <row r="21" spans="1:7" x14ac:dyDescent="0.3">
      <c r="D21" t="s">
        <v>114</v>
      </c>
      <c r="E21" t="str">
        <f>VLOOKUP(D21,Raw_Data!A:N,2,FALSE)</f>
        <v>Finance</v>
      </c>
      <c r="F21">
        <f>VLOOKUP(D21,Raw_Data!A:N,6,FALSE)</f>
        <v>70482</v>
      </c>
      <c r="G21">
        <f>VLOOKUP(D21,Raw_Data!A:N,12,FALSE)</f>
        <v>3.4</v>
      </c>
    </row>
    <row r="22" spans="1:7" x14ac:dyDescent="0.3">
      <c r="D22" t="s">
        <v>163</v>
      </c>
      <c r="E22" t="str">
        <f>VLOOKUP(D22,Raw_Data!A:N,2,FALSE)</f>
        <v>IT</v>
      </c>
      <c r="F22">
        <f>VLOOKUP(D22,Raw_Data!A:N,6,FALSE)</f>
        <v>43621</v>
      </c>
      <c r="G22">
        <f>VLOOKUP(D22,Raw_Data!A:N,12,FALSE)</f>
        <v>5.3</v>
      </c>
    </row>
    <row r="25" spans="1:7" ht="16.2" x14ac:dyDescent="0.4">
      <c r="A25" s="17" t="s">
        <v>1070</v>
      </c>
    </row>
    <row r="26" spans="1:7" x14ac:dyDescent="0.3">
      <c r="A26" t="s">
        <v>1014</v>
      </c>
      <c r="B26" t="s">
        <v>1018</v>
      </c>
      <c r="C26" t="s">
        <v>1016</v>
      </c>
      <c r="D26" t="s">
        <v>1017</v>
      </c>
      <c r="E26" t="s">
        <v>1015</v>
      </c>
    </row>
    <row r="27" spans="1:7" x14ac:dyDescent="0.3">
      <c r="A27">
        <v>6.63</v>
      </c>
      <c r="B27">
        <v>6.43</v>
      </c>
      <c r="C27">
        <v>6.53</v>
      </c>
      <c r="D27">
        <v>6.54</v>
      </c>
      <c r="E27">
        <v>6.4</v>
      </c>
    </row>
    <row r="28" spans="1:7" x14ac:dyDescent="0.3">
      <c r="A28">
        <f ca="1">HLOOKUP(A28,A26:E27,2,FALSE)</f>
        <v>0</v>
      </c>
    </row>
    <row r="29" spans="1:7" x14ac:dyDescent="0.3">
      <c r="A29" s="15" t="s">
        <v>1016</v>
      </c>
      <c r="B29" s="15">
        <f>HLOOKUP(A29,A26:E27,2,FALSE)</f>
        <v>6.53</v>
      </c>
    </row>
    <row r="30" spans="1:7" x14ac:dyDescent="0.3">
      <c r="A30" s="15" t="s">
        <v>1015</v>
      </c>
      <c r="B30" s="15">
        <f>HLOOKUP(A30,A26:E27,2,FALSE)</f>
        <v>6.4</v>
      </c>
    </row>
    <row r="32" spans="1:7" ht="16.2" x14ac:dyDescent="0.4">
      <c r="A32" s="17" t="s">
        <v>1082</v>
      </c>
      <c r="C32" s="17" t="s">
        <v>1074</v>
      </c>
    </row>
    <row r="33" spans="1:2" x14ac:dyDescent="0.3">
      <c r="A33" s="10" t="s">
        <v>1071</v>
      </c>
      <c r="B33" t="s">
        <v>1073</v>
      </c>
    </row>
    <row r="34" spans="1:2" x14ac:dyDescent="0.3">
      <c r="A34" s="11" t="s">
        <v>1014</v>
      </c>
      <c r="B34">
        <v>6.6366666666666649</v>
      </c>
    </row>
    <row r="35" spans="1:2" x14ac:dyDescent="0.3">
      <c r="A35" s="11" t="s">
        <v>1018</v>
      </c>
      <c r="B35">
        <v>6.4327956989247275</v>
      </c>
    </row>
    <row r="36" spans="1:2" x14ac:dyDescent="0.3">
      <c r="A36" s="11" t="s">
        <v>1016</v>
      </c>
      <c r="B36">
        <v>6.5323076923076959</v>
      </c>
    </row>
    <row r="37" spans="1:2" x14ac:dyDescent="0.3">
      <c r="A37" s="11" t="s">
        <v>1017</v>
      </c>
      <c r="B37">
        <v>6.5431372549019562</v>
      </c>
    </row>
    <row r="38" spans="1:2" x14ac:dyDescent="0.3">
      <c r="A38" s="11" t="s">
        <v>1015</v>
      </c>
      <c r="B38">
        <v>6.4063414634146358</v>
      </c>
    </row>
    <row r="39" spans="1:2" x14ac:dyDescent="0.3">
      <c r="A39" s="11" t="s">
        <v>1072</v>
      </c>
      <c r="B39">
        <v>6.5120999999999931</v>
      </c>
    </row>
    <row r="48" spans="1:2" ht="16.2" x14ac:dyDescent="0.4">
      <c r="A48" s="17" t="s">
        <v>1075</v>
      </c>
    </row>
    <row r="49" spans="1:1" x14ac:dyDescent="0.3">
      <c r="A49" s="15" t="s">
        <v>1076</v>
      </c>
    </row>
    <row r="50" spans="1:1" x14ac:dyDescent="0.3">
      <c r="A50" s="15" t="s">
        <v>1018</v>
      </c>
    </row>
    <row r="51" spans="1:1" x14ac:dyDescent="0.3">
      <c r="A51" s="15"/>
    </row>
    <row r="52" spans="1:1" x14ac:dyDescent="0.3">
      <c r="A52" s="15"/>
    </row>
  </sheetData>
  <phoneticPr fontId="10" type="noConversion"/>
  <conditionalFormatting sqref="B49:C62">
    <cfRule type="cellIs" dxfId="2" priority="1" operator="greaterThan">
      <formula>8</formula>
    </cfRule>
  </conditionalFormatting>
  <dataValidations count="1">
    <dataValidation type="list" allowBlank="1" showInputMessage="1" showErrorMessage="1" sqref="A49:A54" xr:uid="{31427584-FBB9-48BA-BD9B-29BEB36A3F79}">
      <formula1>"Fianance,HR,IT,Marketing,Sales"</formula1>
    </dataValidation>
  </dataValidations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A85B-637B-4312-B0E1-5D4844381876}">
  <dimension ref="A1:N1003"/>
  <sheetViews>
    <sheetView topLeftCell="C1" workbookViewId="0">
      <selection activeCell="C1" sqref="C1"/>
    </sheetView>
  </sheetViews>
  <sheetFormatPr defaultRowHeight="14.4" x14ac:dyDescent="0.3"/>
  <cols>
    <col min="2" max="2" width="18" customWidth="1"/>
    <col min="3" max="3" width="15.44140625" customWidth="1"/>
    <col min="4" max="4" width="17.88671875" customWidth="1"/>
    <col min="5" max="5" width="16.21875" customWidth="1"/>
    <col min="6" max="6" width="17.88671875" customWidth="1"/>
    <col min="7" max="7" width="15.88671875" customWidth="1"/>
    <col min="8" max="8" width="20.5546875" customWidth="1"/>
    <col min="9" max="9" width="17.109375" customWidth="1"/>
    <col min="10" max="10" width="23" customWidth="1"/>
    <col min="11" max="11" width="21.5546875" customWidth="1"/>
    <col min="12" max="12" width="20.44140625" customWidth="1"/>
    <col min="13" max="13" width="18.33203125" customWidth="1"/>
    <col min="14" max="14" width="13.5546875" customWidth="1"/>
  </cols>
  <sheetData>
    <row r="1" spans="1:14" ht="16.2" x14ac:dyDescent="0.4">
      <c r="C1" s="17" t="s">
        <v>1083</v>
      </c>
    </row>
    <row r="3" spans="1:14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2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2" t="s">
        <v>11</v>
      </c>
      <c r="M3" s="1" t="s">
        <v>12</v>
      </c>
      <c r="N3" s="1" t="s">
        <v>13</v>
      </c>
    </row>
    <row r="4" spans="1:14" x14ac:dyDescent="0.3">
      <c r="A4" t="s">
        <v>14</v>
      </c>
      <c r="B4" t="s">
        <v>1014</v>
      </c>
      <c r="C4" t="s">
        <v>1019</v>
      </c>
      <c r="D4">
        <v>23</v>
      </c>
      <c r="E4">
        <v>2</v>
      </c>
      <c r="F4" s="3">
        <v>43024</v>
      </c>
      <c r="G4">
        <v>42</v>
      </c>
      <c r="H4">
        <v>4</v>
      </c>
      <c r="I4">
        <v>4</v>
      </c>
      <c r="J4">
        <v>6</v>
      </c>
      <c r="K4">
        <v>4</v>
      </c>
      <c r="L4" s="3">
        <v>9.1999999999999993</v>
      </c>
      <c r="M4" t="s">
        <v>1034</v>
      </c>
      <c r="N4">
        <v>73.87</v>
      </c>
    </row>
    <row r="5" spans="1:14" x14ac:dyDescent="0.3">
      <c r="A5" t="s">
        <v>15</v>
      </c>
      <c r="B5" t="s">
        <v>1015</v>
      </c>
      <c r="C5" t="s">
        <v>1020</v>
      </c>
      <c r="D5">
        <v>49</v>
      </c>
      <c r="E5">
        <v>1</v>
      </c>
      <c r="F5" s="3">
        <v>26952</v>
      </c>
      <c r="G5">
        <v>37</v>
      </c>
      <c r="H5">
        <v>4</v>
      </c>
      <c r="I5">
        <v>7</v>
      </c>
      <c r="J5">
        <v>32</v>
      </c>
      <c r="K5">
        <v>3.8</v>
      </c>
      <c r="L5" s="3">
        <v>6.9</v>
      </c>
      <c r="M5" t="s">
        <v>1035</v>
      </c>
      <c r="N5">
        <v>59.47</v>
      </c>
    </row>
    <row r="6" spans="1:14" x14ac:dyDescent="0.3">
      <c r="A6" t="s">
        <v>16</v>
      </c>
      <c r="B6" t="s">
        <v>1015</v>
      </c>
      <c r="C6" t="s">
        <v>1021</v>
      </c>
      <c r="D6">
        <v>48</v>
      </c>
      <c r="E6">
        <v>7</v>
      </c>
      <c r="F6" s="3">
        <v>54439</v>
      </c>
      <c r="G6">
        <v>53</v>
      </c>
      <c r="H6">
        <v>5</v>
      </c>
      <c r="I6">
        <v>25</v>
      </c>
      <c r="J6">
        <v>0</v>
      </c>
      <c r="K6">
        <v>4.3</v>
      </c>
      <c r="L6" s="3">
        <v>4.0999999999999996</v>
      </c>
      <c r="M6" t="s">
        <v>1036</v>
      </c>
      <c r="N6">
        <v>45.83</v>
      </c>
    </row>
    <row r="7" spans="1:14" x14ac:dyDescent="0.3">
      <c r="A7" t="s">
        <v>17</v>
      </c>
      <c r="B7" t="s">
        <v>1016</v>
      </c>
      <c r="C7" t="s">
        <v>1022</v>
      </c>
      <c r="D7">
        <v>39</v>
      </c>
      <c r="E7">
        <v>4</v>
      </c>
      <c r="F7" s="3">
        <v>39110</v>
      </c>
      <c r="G7">
        <v>45</v>
      </c>
      <c r="H7">
        <v>2</v>
      </c>
      <c r="I7">
        <v>2</v>
      </c>
      <c r="J7">
        <v>24</v>
      </c>
      <c r="K7">
        <v>2.2999999999999998</v>
      </c>
      <c r="L7" s="3">
        <v>8.9</v>
      </c>
      <c r="M7" t="s">
        <v>1034</v>
      </c>
      <c r="N7">
        <v>63.63</v>
      </c>
    </row>
    <row r="8" spans="1:14" x14ac:dyDescent="0.3">
      <c r="A8" t="s">
        <v>18</v>
      </c>
      <c r="B8" t="s">
        <v>1016</v>
      </c>
      <c r="C8" t="s">
        <v>1022</v>
      </c>
      <c r="D8">
        <v>24</v>
      </c>
      <c r="E8">
        <v>3</v>
      </c>
      <c r="F8" s="3">
        <v>60142</v>
      </c>
      <c r="G8">
        <v>38</v>
      </c>
      <c r="H8">
        <v>15</v>
      </c>
      <c r="I8">
        <v>12</v>
      </c>
      <c r="J8">
        <v>5</v>
      </c>
      <c r="K8">
        <v>3.7</v>
      </c>
      <c r="L8" s="3">
        <v>8.8000000000000007</v>
      </c>
      <c r="M8" t="s">
        <v>1034</v>
      </c>
      <c r="N8">
        <v>88.9</v>
      </c>
    </row>
    <row r="9" spans="1:14" x14ac:dyDescent="0.3">
      <c r="A9" t="s">
        <v>19</v>
      </c>
      <c r="B9" t="s">
        <v>1016</v>
      </c>
      <c r="C9" t="s">
        <v>1023</v>
      </c>
      <c r="D9">
        <v>34</v>
      </c>
      <c r="E9">
        <v>11</v>
      </c>
      <c r="F9" s="3">
        <v>29558</v>
      </c>
      <c r="G9">
        <v>36</v>
      </c>
      <c r="H9">
        <v>11</v>
      </c>
      <c r="I9">
        <v>7</v>
      </c>
      <c r="J9">
        <v>18</v>
      </c>
      <c r="K9">
        <v>5</v>
      </c>
      <c r="L9" s="3">
        <v>9</v>
      </c>
      <c r="M9" t="s">
        <v>1034</v>
      </c>
      <c r="N9">
        <v>87.33</v>
      </c>
    </row>
    <row r="10" spans="1:14" x14ac:dyDescent="0.3">
      <c r="A10" t="s">
        <v>20</v>
      </c>
      <c r="B10" t="s">
        <v>1017</v>
      </c>
      <c r="C10" t="s">
        <v>1024</v>
      </c>
      <c r="D10">
        <v>39</v>
      </c>
      <c r="E10">
        <v>14</v>
      </c>
      <c r="F10" s="3">
        <v>66660</v>
      </c>
      <c r="G10">
        <v>46</v>
      </c>
      <c r="H10">
        <v>3</v>
      </c>
      <c r="I10">
        <v>11</v>
      </c>
      <c r="J10">
        <v>22</v>
      </c>
      <c r="K10">
        <v>2.6</v>
      </c>
      <c r="L10" s="3">
        <v>4.9000000000000004</v>
      </c>
      <c r="M10" t="s">
        <v>1036</v>
      </c>
      <c r="N10">
        <v>42.2</v>
      </c>
    </row>
    <row r="11" spans="1:14" x14ac:dyDescent="0.3">
      <c r="A11" t="s">
        <v>21</v>
      </c>
      <c r="B11" t="s">
        <v>1014</v>
      </c>
      <c r="C11" t="s">
        <v>1025</v>
      </c>
      <c r="D11">
        <v>32</v>
      </c>
      <c r="E11">
        <v>8</v>
      </c>
      <c r="F11" s="3">
        <v>72784</v>
      </c>
      <c r="G11">
        <v>42</v>
      </c>
      <c r="H11">
        <v>3</v>
      </c>
      <c r="I11">
        <v>14</v>
      </c>
      <c r="J11">
        <v>24</v>
      </c>
      <c r="K11">
        <v>2.8</v>
      </c>
      <c r="L11" s="3">
        <v>9.5</v>
      </c>
      <c r="M11" t="s">
        <v>1034</v>
      </c>
      <c r="N11">
        <v>70.400000000000006</v>
      </c>
    </row>
    <row r="12" spans="1:14" x14ac:dyDescent="0.3">
      <c r="A12" t="s">
        <v>22</v>
      </c>
      <c r="B12" t="s">
        <v>1015</v>
      </c>
      <c r="C12" t="s">
        <v>1020</v>
      </c>
      <c r="D12">
        <v>36</v>
      </c>
      <c r="E12">
        <v>10</v>
      </c>
      <c r="F12" s="3">
        <v>80237</v>
      </c>
      <c r="G12">
        <v>36</v>
      </c>
      <c r="H12">
        <v>4</v>
      </c>
      <c r="I12">
        <v>1</v>
      </c>
      <c r="J12">
        <v>20</v>
      </c>
      <c r="K12">
        <v>3.2</v>
      </c>
      <c r="L12" s="3">
        <v>3.5</v>
      </c>
      <c r="M12" t="s">
        <v>1036</v>
      </c>
      <c r="N12">
        <v>37.270000000000003</v>
      </c>
    </row>
    <row r="13" spans="1:14" x14ac:dyDescent="0.3">
      <c r="A13" t="s">
        <v>23</v>
      </c>
      <c r="B13" t="s">
        <v>1016</v>
      </c>
      <c r="C13" t="s">
        <v>1022</v>
      </c>
      <c r="D13">
        <v>35</v>
      </c>
      <c r="E13">
        <v>10</v>
      </c>
      <c r="F13" s="3">
        <v>57717</v>
      </c>
      <c r="G13">
        <v>47</v>
      </c>
      <c r="H13">
        <v>15</v>
      </c>
      <c r="I13">
        <v>20</v>
      </c>
      <c r="J13">
        <v>29</v>
      </c>
      <c r="K13">
        <v>2.4</v>
      </c>
      <c r="L13" s="3">
        <v>4</v>
      </c>
      <c r="M13" t="s">
        <v>1036</v>
      </c>
      <c r="N13">
        <v>56.2</v>
      </c>
    </row>
    <row r="14" spans="1:14" x14ac:dyDescent="0.3">
      <c r="A14" t="s">
        <v>24</v>
      </c>
      <c r="B14" t="s">
        <v>1015</v>
      </c>
      <c r="C14" t="s">
        <v>1021</v>
      </c>
      <c r="D14">
        <v>38</v>
      </c>
      <c r="E14">
        <v>13</v>
      </c>
      <c r="F14" s="3">
        <v>83839</v>
      </c>
      <c r="G14">
        <v>53</v>
      </c>
      <c r="H14">
        <v>7</v>
      </c>
      <c r="I14">
        <v>11</v>
      </c>
      <c r="J14">
        <v>14</v>
      </c>
      <c r="K14">
        <v>5</v>
      </c>
      <c r="L14" s="3">
        <v>4</v>
      </c>
      <c r="M14" t="s">
        <v>1036</v>
      </c>
      <c r="N14">
        <v>50.67</v>
      </c>
    </row>
    <row r="15" spans="1:14" x14ac:dyDescent="0.3">
      <c r="A15" t="s">
        <v>25</v>
      </c>
      <c r="B15" t="s">
        <v>1014</v>
      </c>
      <c r="C15" t="s">
        <v>1025</v>
      </c>
      <c r="D15">
        <v>25</v>
      </c>
      <c r="E15">
        <v>0</v>
      </c>
      <c r="F15" s="3">
        <v>35016</v>
      </c>
      <c r="G15">
        <v>55</v>
      </c>
      <c r="H15">
        <v>3</v>
      </c>
      <c r="I15">
        <v>25</v>
      </c>
      <c r="J15">
        <v>27</v>
      </c>
      <c r="K15">
        <v>3.8</v>
      </c>
      <c r="L15" s="3">
        <v>5.7</v>
      </c>
      <c r="M15" t="s">
        <v>1036</v>
      </c>
      <c r="N15">
        <v>50.6</v>
      </c>
    </row>
    <row r="16" spans="1:14" x14ac:dyDescent="0.3">
      <c r="A16" t="s">
        <v>26</v>
      </c>
      <c r="B16" t="s">
        <v>1017</v>
      </c>
      <c r="C16" t="s">
        <v>1026</v>
      </c>
      <c r="D16">
        <v>55</v>
      </c>
      <c r="E16">
        <v>8</v>
      </c>
      <c r="F16" s="3">
        <v>88640</v>
      </c>
      <c r="G16">
        <v>52</v>
      </c>
      <c r="H16">
        <v>14</v>
      </c>
      <c r="I16">
        <v>0</v>
      </c>
      <c r="J16">
        <v>7</v>
      </c>
      <c r="K16">
        <v>4</v>
      </c>
      <c r="L16" s="3">
        <v>6.8</v>
      </c>
      <c r="M16" t="s">
        <v>1035</v>
      </c>
      <c r="N16">
        <v>76.13</v>
      </c>
    </row>
    <row r="17" spans="1:14" x14ac:dyDescent="0.3">
      <c r="A17" t="s">
        <v>27</v>
      </c>
      <c r="B17" t="s">
        <v>1016</v>
      </c>
      <c r="C17" t="s">
        <v>1022</v>
      </c>
      <c r="D17">
        <v>29</v>
      </c>
      <c r="E17">
        <v>4</v>
      </c>
      <c r="F17" s="3">
        <v>53492</v>
      </c>
      <c r="G17">
        <v>40</v>
      </c>
      <c r="H17">
        <v>8</v>
      </c>
      <c r="I17">
        <v>0</v>
      </c>
      <c r="J17">
        <v>16</v>
      </c>
      <c r="K17">
        <v>4.9000000000000004</v>
      </c>
      <c r="L17" s="3">
        <v>8.3000000000000007</v>
      </c>
      <c r="M17" t="s">
        <v>1034</v>
      </c>
      <c r="N17">
        <v>77.83</v>
      </c>
    </row>
    <row r="18" spans="1:14" x14ac:dyDescent="0.3">
      <c r="A18" t="s">
        <v>28</v>
      </c>
      <c r="B18" t="s">
        <v>1014</v>
      </c>
      <c r="C18" t="s">
        <v>1019</v>
      </c>
      <c r="D18">
        <v>41</v>
      </c>
      <c r="E18">
        <v>6</v>
      </c>
      <c r="F18" s="3">
        <v>35016</v>
      </c>
      <c r="G18">
        <v>46</v>
      </c>
      <c r="H18">
        <v>13</v>
      </c>
      <c r="I18">
        <v>5</v>
      </c>
      <c r="J18">
        <v>34</v>
      </c>
      <c r="K18">
        <v>4.9000000000000004</v>
      </c>
      <c r="L18" s="3">
        <v>9.5</v>
      </c>
      <c r="M18" t="s">
        <v>1034</v>
      </c>
      <c r="N18">
        <v>93.37</v>
      </c>
    </row>
    <row r="19" spans="1:14" x14ac:dyDescent="0.3">
      <c r="A19" t="s">
        <v>29</v>
      </c>
      <c r="B19" t="s">
        <v>1015</v>
      </c>
      <c r="C19" t="s">
        <v>1020</v>
      </c>
      <c r="D19">
        <v>42</v>
      </c>
      <c r="E19">
        <v>15</v>
      </c>
      <c r="F19" s="3">
        <v>26276</v>
      </c>
      <c r="G19">
        <v>38</v>
      </c>
      <c r="H19">
        <v>15</v>
      </c>
      <c r="I19">
        <v>11</v>
      </c>
      <c r="J19">
        <v>19</v>
      </c>
      <c r="K19">
        <v>2.7</v>
      </c>
      <c r="L19" s="3">
        <v>4.7</v>
      </c>
      <c r="M19" t="s">
        <v>1036</v>
      </c>
      <c r="N19">
        <v>61.3</v>
      </c>
    </row>
    <row r="20" spans="1:14" x14ac:dyDescent="0.3">
      <c r="A20" t="s">
        <v>30</v>
      </c>
      <c r="B20" t="s">
        <v>1014</v>
      </c>
      <c r="C20" t="s">
        <v>1025</v>
      </c>
      <c r="D20">
        <v>27</v>
      </c>
      <c r="E20">
        <v>5</v>
      </c>
      <c r="F20" s="3">
        <v>56849</v>
      </c>
      <c r="G20">
        <v>37</v>
      </c>
      <c r="H20">
        <v>13</v>
      </c>
      <c r="I20">
        <v>17</v>
      </c>
      <c r="J20">
        <v>8</v>
      </c>
      <c r="K20">
        <v>2.4</v>
      </c>
      <c r="L20" s="3">
        <v>6.3</v>
      </c>
      <c r="M20" t="s">
        <v>1035</v>
      </c>
      <c r="N20">
        <v>66.67</v>
      </c>
    </row>
    <row r="21" spans="1:14" x14ac:dyDescent="0.3">
      <c r="A21" t="s">
        <v>31</v>
      </c>
      <c r="B21" t="s">
        <v>1018</v>
      </c>
      <c r="C21" t="s">
        <v>1027</v>
      </c>
      <c r="D21">
        <v>38</v>
      </c>
      <c r="E21">
        <v>13</v>
      </c>
      <c r="F21" s="3">
        <v>88200</v>
      </c>
      <c r="G21">
        <v>41</v>
      </c>
      <c r="H21">
        <v>15</v>
      </c>
      <c r="I21">
        <v>17</v>
      </c>
      <c r="J21">
        <v>12</v>
      </c>
      <c r="K21">
        <v>4.0999999999999996</v>
      </c>
      <c r="L21" s="3">
        <v>5.8</v>
      </c>
      <c r="M21" t="s">
        <v>1036</v>
      </c>
      <c r="N21">
        <v>72.099999999999994</v>
      </c>
    </row>
    <row r="22" spans="1:14" x14ac:dyDescent="0.3">
      <c r="A22" t="s">
        <v>32</v>
      </c>
      <c r="B22" t="s">
        <v>1016</v>
      </c>
      <c r="C22" t="s">
        <v>1022</v>
      </c>
      <c r="D22">
        <v>50</v>
      </c>
      <c r="E22">
        <v>14</v>
      </c>
      <c r="F22" s="3">
        <v>32930</v>
      </c>
      <c r="G22">
        <v>42</v>
      </c>
      <c r="H22">
        <v>4</v>
      </c>
      <c r="I22">
        <v>2</v>
      </c>
      <c r="J22">
        <v>21</v>
      </c>
      <c r="K22">
        <v>2.1</v>
      </c>
      <c r="L22" s="3">
        <v>6.9</v>
      </c>
      <c r="M22" t="s">
        <v>1035</v>
      </c>
      <c r="N22">
        <v>54.37</v>
      </c>
    </row>
    <row r="23" spans="1:14" x14ac:dyDescent="0.3">
      <c r="A23" t="s">
        <v>33</v>
      </c>
      <c r="B23" t="s">
        <v>1018</v>
      </c>
      <c r="C23" t="s">
        <v>1028</v>
      </c>
      <c r="D23">
        <v>22</v>
      </c>
      <c r="E23">
        <v>0</v>
      </c>
      <c r="F23" s="3">
        <v>71389</v>
      </c>
      <c r="G23">
        <v>55</v>
      </c>
      <c r="H23">
        <v>1</v>
      </c>
      <c r="I23">
        <v>7</v>
      </c>
      <c r="J23">
        <v>4</v>
      </c>
      <c r="K23">
        <v>4.7</v>
      </c>
      <c r="L23" s="3">
        <v>9</v>
      </c>
      <c r="M23" t="s">
        <v>1034</v>
      </c>
      <c r="N23">
        <v>69.77</v>
      </c>
    </row>
    <row r="24" spans="1:14" x14ac:dyDescent="0.3">
      <c r="A24" t="s">
        <v>34</v>
      </c>
      <c r="B24" t="s">
        <v>1015</v>
      </c>
      <c r="C24" t="s">
        <v>1020</v>
      </c>
      <c r="D24">
        <v>37</v>
      </c>
      <c r="E24">
        <v>8</v>
      </c>
      <c r="F24" s="3">
        <v>68842</v>
      </c>
      <c r="G24">
        <v>50</v>
      </c>
      <c r="H24">
        <v>4</v>
      </c>
      <c r="I24">
        <v>17</v>
      </c>
      <c r="J24">
        <v>8</v>
      </c>
      <c r="K24">
        <v>4.2</v>
      </c>
      <c r="L24" s="3">
        <v>9.1999999999999993</v>
      </c>
      <c r="M24" t="s">
        <v>1034</v>
      </c>
      <c r="N24">
        <v>74.47</v>
      </c>
    </row>
    <row r="25" spans="1:14" x14ac:dyDescent="0.3">
      <c r="A25" t="s">
        <v>35</v>
      </c>
      <c r="B25" t="s">
        <v>1017</v>
      </c>
      <c r="C25" t="s">
        <v>1026</v>
      </c>
      <c r="D25">
        <v>37</v>
      </c>
      <c r="E25">
        <v>15</v>
      </c>
      <c r="F25" s="3">
        <v>77920</v>
      </c>
      <c r="G25">
        <v>48</v>
      </c>
      <c r="H25">
        <v>4</v>
      </c>
      <c r="I25">
        <v>3</v>
      </c>
      <c r="J25">
        <v>6</v>
      </c>
      <c r="K25">
        <v>4</v>
      </c>
      <c r="L25" s="3">
        <v>5.5</v>
      </c>
      <c r="M25" t="s">
        <v>1036</v>
      </c>
      <c r="N25">
        <v>51.67</v>
      </c>
    </row>
    <row r="26" spans="1:14" x14ac:dyDescent="0.3">
      <c r="A26" t="s">
        <v>36</v>
      </c>
      <c r="B26" t="s">
        <v>1017</v>
      </c>
      <c r="C26" t="s">
        <v>1026</v>
      </c>
      <c r="D26">
        <v>25</v>
      </c>
      <c r="E26">
        <v>0</v>
      </c>
      <c r="F26" s="3">
        <v>28972</v>
      </c>
      <c r="G26">
        <v>47</v>
      </c>
      <c r="H26">
        <v>12</v>
      </c>
      <c r="I26">
        <v>10</v>
      </c>
      <c r="J26">
        <v>6</v>
      </c>
      <c r="K26">
        <v>2.7</v>
      </c>
      <c r="L26" s="3">
        <v>4.3</v>
      </c>
      <c r="M26" t="s">
        <v>1036</v>
      </c>
      <c r="N26">
        <v>53.9</v>
      </c>
    </row>
    <row r="27" spans="1:14" x14ac:dyDescent="0.3">
      <c r="A27" t="s">
        <v>37</v>
      </c>
      <c r="B27" t="s">
        <v>1018</v>
      </c>
      <c r="C27" t="s">
        <v>1028</v>
      </c>
      <c r="D27">
        <v>49</v>
      </c>
      <c r="E27">
        <v>5</v>
      </c>
      <c r="F27" s="3">
        <v>43254</v>
      </c>
      <c r="G27">
        <v>49</v>
      </c>
      <c r="H27">
        <v>4</v>
      </c>
      <c r="I27">
        <v>2</v>
      </c>
      <c r="J27">
        <v>28</v>
      </c>
      <c r="K27">
        <v>4.4000000000000004</v>
      </c>
      <c r="L27" s="3">
        <v>9</v>
      </c>
      <c r="M27" t="s">
        <v>1034</v>
      </c>
      <c r="N27">
        <v>73.87</v>
      </c>
    </row>
    <row r="28" spans="1:14" x14ac:dyDescent="0.3">
      <c r="A28" t="s">
        <v>38</v>
      </c>
      <c r="B28" t="s">
        <v>1014</v>
      </c>
      <c r="C28" t="s">
        <v>1019</v>
      </c>
      <c r="D28">
        <v>22</v>
      </c>
      <c r="E28">
        <v>0</v>
      </c>
      <c r="F28" s="3">
        <v>85710</v>
      </c>
      <c r="G28">
        <v>42</v>
      </c>
      <c r="H28">
        <v>3</v>
      </c>
      <c r="I28">
        <v>13</v>
      </c>
      <c r="J28">
        <v>31</v>
      </c>
      <c r="K28">
        <v>3.4</v>
      </c>
      <c r="L28" s="3">
        <v>9.1</v>
      </c>
      <c r="M28" t="s">
        <v>1034</v>
      </c>
      <c r="N28">
        <v>69.8</v>
      </c>
    </row>
    <row r="29" spans="1:14" x14ac:dyDescent="0.3">
      <c r="A29" t="s">
        <v>39</v>
      </c>
      <c r="B29" t="s">
        <v>1018</v>
      </c>
      <c r="C29" t="s">
        <v>1027</v>
      </c>
      <c r="D29">
        <v>46</v>
      </c>
      <c r="E29">
        <v>0</v>
      </c>
      <c r="F29" s="3">
        <v>89573</v>
      </c>
      <c r="G29">
        <v>47</v>
      </c>
      <c r="H29">
        <v>5</v>
      </c>
      <c r="I29">
        <v>25</v>
      </c>
      <c r="J29">
        <v>29</v>
      </c>
      <c r="K29">
        <v>2.9</v>
      </c>
      <c r="L29" s="3">
        <v>7.9</v>
      </c>
      <c r="M29" t="s">
        <v>1035</v>
      </c>
      <c r="N29">
        <v>64.430000000000007</v>
      </c>
    </row>
    <row r="30" spans="1:14" x14ac:dyDescent="0.3">
      <c r="A30" t="s">
        <v>40</v>
      </c>
      <c r="B30" t="s">
        <v>1015</v>
      </c>
      <c r="C30" t="s">
        <v>1021</v>
      </c>
      <c r="D30">
        <v>53</v>
      </c>
      <c r="E30">
        <v>4</v>
      </c>
      <c r="F30" s="3">
        <v>37445</v>
      </c>
      <c r="G30">
        <v>44</v>
      </c>
      <c r="H30">
        <v>4</v>
      </c>
      <c r="I30">
        <v>1</v>
      </c>
      <c r="J30">
        <v>37</v>
      </c>
      <c r="K30">
        <v>4.2</v>
      </c>
      <c r="L30" s="3">
        <v>3.4</v>
      </c>
      <c r="M30" t="s">
        <v>1036</v>
      </c>
      <c r="N30">
        <v>39.67</v>
      </c>
    </row>
    <row r="31" spans="1:14" x14ac:dyDescent="0.3">
      <c r="A31" t="s">
        <v>41</v>
      </c>
      <c r="B31" t="s">
        <v>1014</v>
      </c>
      <c r="C31" t="s">
        <v>1019</v>
      </c>
      <c r="D31">
        <v>25</v>
      </c>
      <c r="E31">
        <v>4</v>
      </c>
      <c r="F31" s="3">
        <v>56246</v>
      </c>
      <c r="G31">
        <v>51</v>
      </c>
      <c r="H31">
        <v>15</v>
      </c>
      <c r="I31">
        <v>16</v>
      </c>
      <c r="J31">
        <v>10</v>
      </c>
      <c r="K31">
        <v>2.2000000000000002</v>
      </c>
      <c r="L31" s="3">
        <v>6.6</v>
      </c>
      <c r="M31" t="s">
        <v>1035</v>
      </c>
      <c r="N31">
        <v>71.2</v>
      </c>
    </row>
    <row r="32" spans="1:14" x14ac:dyDescent="0.3">
      <c r="A32" t="s">
        <v>42</v>
      </c>
      <c r="B32" t="s">
        <v>1014</v>
      </c>
      <c r="C32" t="s">
        <v>1025</v>
      </c>
      <c r="D32">
        <v>26</v>
      </c>
      <c r="E32">
        <v>5</v>
      </c>
      <c r="F32" s="3">
        <v>81480</v>
      </c>
      <c r="G32">
        <v>42</v>
      </c>
      <c r="H32">
        <v>7</v>
      </c>
      <c r="I32">
        <v>3</v>
      </c>
      <c r="J32">
        <v>36</v>
      </c>
      <c r="K32">
        <v>2.7</v>
      </c>
      <c r="L32" s="3">
        <v>7.2</v>
      </c>
      <c r="M32" t="s">
        <v>1035</v>
      </c>
      <c r="N32">
        <v>62.97</v>
      </c>
    </row>
    <row r="33" spans="1:14" x14ac:dyDescent="0.3">
      <c r="A33" t="s">
        <v>43</v>
      </c>
      <c r="B33" t="s">
        <v>1014</v>
      </c>
      <c r="C33" t="s">
        <v>1025</v>
      </c>
      <c r="D33">
        <v>48</v>
      </c>
      <c r="E33">
        <v>10</v>
      </c>
      <c r="F33" s="3">
        <v>86256</v>
      </c>
      <c r="G33">
        <v>43</v>
      </c>
      <c r="H33">
        <v>4</v>
      </c>
      <c r="I33">
        <v>21</v>
      </c>
      <c r="J33">
        <v>20</v>
      </c>
      <c r="K33">
        <v>2.7</v>
      </c>
      <c r="L33" s="3">
        <v>5.8</v>
      </c>
      <c r="M33" t="s">
        <v>1036</v>
      </c>
      <c r="N33">
        <v>49.57</v>
      </c>
    </row>
    <row r="34" spans="1:14" x14ac:dyDescent="0.3">
      <c r="A34" t="s">
        <v>44</v>
      </c>
      <c r="B34" t="s">
        <v>1016</v>
      </c>
      <c r="C34" t="s">
        <v>1023</v>
      </c>
      <c r="D34">
        <v>51</v>
      </c>
      <c r="E34">
        <v>10</v>
      </c>
      <c r="F34" s="3">
        <v>85884</v>
      </c>
      <c r="G34">
        <v>37</v>
      </c>
      <c r="H34">
        <v>1</v>
      </c>
      <c r="I34">
        <v>14</v>
      </c>
      <c r="J34">
        <v>39</v>
      </c>
      <c r="K34">
        <v>5</v>
      </c>
      <c r="L34" s="3">
        <v>10</v>
      </c>
      <c r="M34" t="s">
        <v>1034</v>
      </c>
      <c r="N34">
        <v>76.67</v>
      </c>
    </row>
    <row r="35" spans="1:14" x14ac:dyDescent="0.3">
      <c r="A35" t="s">
        <v>45</v>
      </c>
      <c r="B35" t="s">
        <v>1015</v>
      </c>
      <c r="C35" t="s">
        <v>1029</v>
      </c>
      <c r="D35">
        <v>35</v>
      </c>
      <c r="E35">
        <v>8</v>
      </c>
      <c r="F35" s="3">
        <v>42380</v>
      </c>
      <c r="G35">
        <v>39</v>
      </c>
      <c r="H35">
        <v>15</v>
      </c>
      <c r="I35">
        <v>11</v>
      </c>
      <c r="J35">
        <v>4</v>
      </c>
      <c r="K35">
        <v>4.5999999999999996</v>
      </c>
      <c r="L35" s="3">
        <v>5.6</v>
      </c>
      <c r="M35" t="s">
        <v>1036</v>
      </c>
      <c r="N35">
        <v>72.400000000000006</v>
      </c>
    </row>
    <row r="36" spans="1:14" x14ac:dyDescent="0.3">
      <c r="A36" t="s">
        <v>46</v>
      </c>
      <c r="B36" t="s">
        <v>1017</v>
      </c>
      <c r="C36" t="s">
        <v>1030</v>
      </c>
      <c r="D36">
        <v>41</v>
      </c>
      <c r="E36">
        <v>0</v>
      </c>
      <c r="F36" s="3">
        <v>68769</v>
      </c>
      <c r="G36">
        <v>52</v>
      </c>
      <c r="H36">
        <v>5</v>
      </c>
      <c r="I36">
        <v>21</v>
      </c>
      <c r="J36">
        <v>6</v>
      </c>
      <c r="K36">
        <v>4.8</v>
      </c>
      <c r="L36" s="3">
        <v>3.9</v>
      </c>
      <c r="M36" t="s">
        <v>1036</v>
      </c>
      <c r="N36">
        <v>46.13</v>
      </c>
    </row>
    <row r="37" spans="1:14" x14ac:dyDescent="0.3">
      <c r="A37" t="s">
        <v>47</v>
      </c>
      <c r="B37" t="s">
        <v>1014</v>
      </c>
      <c r="C37" t="s">
        <v>1031</v>
      </c>
      <c r="D37">
        <v>31</v>
      </c>
      <c r="E37">
        <v>4</v>
      </c>
      <c r="F37" s="3">
        <v>43465</v>
      </c>
      <c r="G37">
        <v>54</v>
      </c>
      <c r="H37">
        <v>4</v>
      </c>
      <c r="I37">
        <v>22</v>
      </c>
      <c r="J37">
        <v>21</v>
      </c>
      <c r="K37">
        <v>2.6</v>
      </c>
      <c r="L37" s="3">
        <v>7.4</v>
      </c>
      <c r="M37" t="s">
        <v>1035</v>
      </c>
      <c r="N37">
        <v>58.87</v>
      </c>
    </row>
    <row r="38" spans="1:14" x14ac:dyDescent="0.3">
      <c r="A38" t="s">
        <v>48</v>
      </c>
      <c r="B38" t="s">
        <v>1015</v>
      </c>
      <c r="C38" t="s">
        <v>1021</v>
      </c>
      <c r="D38">
        <v>53</v>
      </c>
      <c r="E38">
        <v>8</v>
      </c>
      <c r="F38" s="3">
        <v>84332</v>
      </c>
      <c r="G38">
        <v>36</v>
      </c>
      <c r="H38">
        <v>2</v>
      </c>
      <c r="I38">
        <v>20</v>
      </c>
      <c r="J38">
        <v>27</v>
      </c>
      <c r="K38">
        <v>4.5</v>
      </c>
      <c r="L38" s="3">
        <v>3.3</v>
      </c>
      <c r="M38" t="s">
        <v>1036</v>
      </c>
      <c r="N38">
        <v>36.630000000000003</v>
      </c>
    </row>
    <row r="39" spans="1:14" x14ac:dyDescent="0.3">
      <c r="A39" t="s">
        <v>49</v>
      </c>
      <c r="B39" t="s">
        <v>1018</v>
      </c>
      <c r="C39" t="s">
        <v>1027</v>
      </c>
      <c r="D39">
        <v>38</v>
      </c>
      <c r="E39">
        <v>5</v>
      </c>
      <c r="F39" s="3">
        <v>73577</v>
      </c>
      <c r="G39">
        <v>49</v>
      </c>
      <c r="H39">
        <v>9</v>
      </c>
      <c r="I39">
        <v>22</v>
      </c>
      <c r="J39">
        <v>27</v>
      </c>
      <c r="K39">
        <v>3.7</v>
      </c>
      <c r="L39" s="3">
        <v>3.8</v>
      </c>
      <c r="M39" t="s">
        <v>1036</v>
      </c>
      <c r="N39">
        <v>48.9</v>
      </c>
    </row>
    <row r="40" spans="1:14" x14ac:dyDescent="0.3">
      <c r="A40" t="s">
        <v>50</v>
      </c>
      <c r="B40" t="s">
        <v>1018</v>
      </c>
      <c r="C40" t="s">
        <v>1028</v>
      </c>
      <c r="D40">
        <v>24</v>
      </c>
      <c r="E40">
        <v>2</v>
      </c>
      <c r="F40" s="3">
        <v>63175</v>
      </c>
      <c r="G40">
        <v>52</v>
      </c>
      <c r="H40">
        <v>3</v>
      </c>
      <c r="I40">
        <v>13</v>
      </c>
      <c r="J40">
        <v>8</v>
      </c>
      <c r="K40">
        <v>2.1</v>
      </c>
      <c r="L40" s="3">
        <v>5.6</v>
      </c>
      <c r="M40" t="s">
        <v>1036</v>
      </c>
      <c r="N40">
        <v>44.9</v>
      </c>
    </row>
    <row r="41" spans="1:14" x14ac:dyDescent="0.3">
      <c r="A41" t="s">
        <v>51</v>
      </c>
      <c r="B41" t="s">
        <v>1016</v>
      </c>
      <c r="C41" t="s">
        <v>1022</v>
      </c>
      <c r="D41">
        <v>35</v>
      </c>
      <c r="E41">
        <v>10</v>
      </c>
      <c r="F41" s="3">
        <v>41353</v>
      </c>
      <c r="G41">
        <v>38</v>
      </c>
      <c r="H41">
        <v>6</v>
      </c>
      <c r="I41">
        <v>24</v>
      </c>
      <c r="J41">
        <v>35</v>
      </c>
      <c r="K41">
        <v>4.7</v>
      </c>
      <c r="L41" s="3">
        <v>5.8</v>
      </c>
      <c r="M41" t="s">
        <v>1036</v>
      </c>
      <c r="N41">
        <v>58.9</v>
      </c>
    </row>
    <row r="42" spans="1:14" x14ac:dyDescent="0.3">
      <c r="A42" t="s">
        <v>52</v>
      </c>
      <c r="B42" t="s">
        <v>1018</v>
      </c>
      <c r="C42" t="s">
        <v>1032</v>
      </c>
      <c r="D42">
        <v>37</v>
      </c>
      <c r="E42">
        <v>5</v>
      </c>
      <c r="F42" s="3">
        <v>88976</v>
      </c>
      <c r="G42">
        <v>40</v>
      </c>
      <c r="H42">
        <v>15</v>
      </c>
      <c r="I42">
        <v>13</v>
      </c>
      <c r="J42">
        <v>1</v>
      </c>
      <c r="K42">
        <v>2.5</v>
      </c>
      <c r="L42" s="3">
        <v>9.5</v>
      </c>
      <c r="M42" t="s">
        <v>1034</v>
      </c>
      <c r="N42">
        <v>89.5</v>
      </c>
    </row>
    <row r="43" spans="1:14" x14ac:dyDescent="0.3">
      <c r="A43" t="s">
        <v>53</v>
      </c>
      <c r="B43" t="s">
        <v>1018</v>
      </c>
      <c r="C43" t="s">
        <v>1032</v>
      </c>
      <c r="D43">
        <v>39</v>
      </c>
      <c r="E43">
        <v>5</v>
      </c>
      <c r="F43" s="3">
        <v>76601</v>
      </c>
      <c r="G43">
        <v>38</v>
      </c>
      <c r="H43">
        <v>7</v>
      </c>
      <c r="I43">
        <v>1</v>
      </c>
      <c r="J43">
        <v>30</v>
      </c>
      <c r="K43">
        <v>2.7</v>
      </c>
      <c r="L43" s="3">
        <v>8.6999999999999993</v>
      </c>
      <c r="M43" t="s">
        <v>1034</v>
      </c>
      <c r="N43">
        <v>71.97</v>
      </c>
    </row>
    <row r="44" spans="1:14" x14ac:dyDescent="0.3">
      <c r="A44" t="s">
        <v>54</v>
      </c>
      <c r="B44" t="s">
        <v>1016</v>
      </c>
      <c r="C44" t="s">
        <v>1033</v>
      </c>
      <c r="D44">
        <v>41</v>
      </c>
      <c r="E44">
        <v>7</v>
      </c>
      <c r="F44" s="3">
        <v>39609</v>
      </c>
      <c r="G44">
        <v>35</v>
      </c>
      <c r="H44">
        <v>11</v>
      </c>
      <c r="I44">
        <v>6</v>
      </c>
      <c r="J44">
        <v>25</v>
      </c>
      <c r="K44">
        <v>3</v>
      </c>
      <c r="L44" s="3">
        <v>9.1</v>
      </c>
      <c r="M44" t="s">
        <v>1034</v>
      </c>
      <c r="N44">
        <v>81.93</v>
      </c>
    </row>
    <row r="45" spans="1:14" x14ac:dyDescent="0.3">
      <c r="A45" t="s">
        <v>55</v>
      </c>
      <c r="B45" t="s">
        <v>1016</v>
      </c>
      <c r="C45" t="s">
        <v>1022</v>
      </c>
      <c r="D45">
        <v>54</v>
      </c>
      <c r="E45">
        <v>12</v>
      </c>
      <c r="F45" s="3">
        <v>69532</v>
      </c>
      <c r="G45">
        <v>52</v>
      </c>
      <c r="H45">
        <v>6</v>
      </c>
      <c r="I45">
        <v>0</v>
      </c>
      <c r="J45">
        <v>7</v>
      </c>
      <c r="K45">
        <v>4.5999999999999996</v>
      </c>
      <c r="L45" s="3">
        <v>4.8</v>
      </c>
      <c r="M45" t="s">
        <v>1036</v>
      </c>
      <c r="N45">
        <v>52.6</v>
      </c>
    </row>
    <row r="46" spans="1:14" x14ac:dyDescent="0.3">
      <c r="A46" t="s">
        <v>56</v>
      </c>
      <c r="B46" t="s">
        <v>1016</v>
      </c>
      <c r="C46" t="s">
        <v>1023</v>
      </c>
      <c r="D46">
        <v>24</v>
      </c>
      <c r="E46">
        <v>0</v>
      </c>
      <c r="F46" s="3">
        <v>64096</v>
      </c>
      <c r="G46">
        <v>48</v>
      </c>
      <c r="H46">
        <v>6</v>
      </c>
      <c r="I46">
        <v>23</v>
      </c>
      <c r="J46">
        <v>20</v>
      </c>
      <c r="K46">
        <v>3.3</v>
      </c>
      <c r="L46" s="3">
        <v>9.9</v>
      </c>
      <c r="M46" t="s">
        <v>1034</v>
      </c>
      <c r="N46">
        <v>79.3</v>
      </c>
    </row>
    <row r="47" spans="1:14" x14ac:dyDescent="0.3">
      <c r="A47" t="s">
        <v>57</v>
      </c>
      <c r="B47" t="s">
        <v>1017</v>
      </c>
      <c r="C47" t="s">
        <v>1024</v>
      </c>
      <c r="D47">
        <v>34</v>
      </c>
      <c r="E47">
        <v>4</v>
      </c>
      <c r="F47" s="3">
        <v>27908</v>
      </c>
      <c r="G47">
        <v>48</v>
      </c>
      <c r="H47">
        <v>1</v>
      </c>
      <c r="I47">
        <v>16</v>
      </c>
      <c r="J47">
        <v>34</v>
      </c>
      <c r="K47">
        <v>4.0999999999999996</v>
      </c>
      <c r="L47" s="3">
        <v>9.6</v>
      </c>
      <c r="M47" t="s">
        <v>1034</v>
      </c>
      <c r="N47">
        <v>71.569999999999993</v>
      </c>
    </row>
    <row r="48" spans="1:14" x14ac:dyDescent="0.3">
      <c r="A48" t="s">
        <v>58</v>
      </c>
      <c r="B48" t="s">
        <v>1018</v>
      </c>
      <c r="C48" t="s">
        <v>1032</v>
      </c>
      <c r="D48">
        <v>45</v>
      </c>
      <c r="E48">
        <v>13</v>
      </c>
      <c r="F48" s="3">
        <v>29585</v>
      </c>
      <c r="G48">
        <v>45</v>
      </c>
      <c r="H48">
        <v>10</v>
      </c>
      <c r="I48">
        <v>10</v>
      </c>
      <c r="J48">
        <v>7</v>
      </c>
      <c r="K48">
        <v>4.2</v>
      </c>
      <c r="L48" s="3">
        <v>5.0999999999999996</v>
      </c>
      <c r="M48" t="s">
        <v>1036</v>
      </c>
      <c r="N48">
        <v>59.87</v>
      </c>
    </row>
    <row r="49" spans="1:14" x14ac:dyDescent="0.3">
      <c r="A49" t="s">
        <v>59</v>
      </c>
      <c r="B49" t="s">
        <v>1017</v>
      </c>
      <c r="C49" t="s">
        <v>1024</v>
      </c>
      <c r="D49">
        <v>42</v>
      </c>
      <c r="E49">
        <v>12</v>
      </c>
      <c r="F49" s="3">
        <v>70692</v>
      </c>
      <c r="G49">
        <v>44</v>
      </c>
      <c r="H49">
        <v>9</v>
      </c>
      <c r="I49">
        <v>4</v>
      </c>
      <c r="J49">
        <v>12</v>
      </c>
      <c r="K49">
        <v>3.3</v>
      </c>
      <c r="L49" s="3">
        <v>9.6</v>
      </c>
      <c r="M49" t="s">
        <v>1034</v>
      </c>
      <c r="N49">
        <v>82.5</v>
      </c>
    </row>
    <row r="50" spans="1:14" x14ac:dyDescent="0.3">
      <c r="A50" t="s">
        <v>60</v>
      </c>
      <c r="B50" t="s">
        <v>1018</v>
      </c>
      <c r="C50" t="s">
        <v>1027</v>
      </c>
      <c r="D50">
        <v>41</v>
      </c>
      <c r="E50">
        <v>12</v>
      </c>
      <c r="F50" s="3">
        <v>60909</v>
      </c>
      <c r="G50">
        <v>35</v>
      </c>
      <c r="H50">
        <v>5</v>
      </c>
      <c r="I50">
        <v>9</v>
      </c>
      <c r="J50">
        <v>13</v>
      </c>
      <c r="K50">
        <v>3.3</v>
      </c>
      <c r="L50" s="3">
        <v>7.1</v>
      </c>
      <c r="M50" t="s">
        <v>1035</v>
      </c>
      <c r="N50">
        <v>60.83</v>
      </c>
    </row>
    <row r="51" spans="1:14" x14ac:dyDescent="0.3">
      <c r="A51" t="s">
        <v>61</v>
      </c>
      <c r="B51" t="s">
        <v>1016</v>
      </c>
      <c r="C51" t="s">
        <v>1022</v>
      </c>
      <c r="D51">
        <v>51</v>
      </c>
      <c r="E51">
        <v>14</v>
      </c>
      <c r="F51" s="3">
        <v>53977</v>
      </c>
      <c r="G51">
        <v>41</v>
      </c>
      <c r="H51">
        <v>9</v>
      </c>
      <c r="I51">
        <v>15</v>
      </c>
      <c r="J51">
        <v>10</v>
      </c>
      <c r="K51">
        <v>4</v>
      </c>
      <c r="L51" s="3">
        <v>5</v>
      </c>
      <c r="M51" t="s">
        <v>1036</v>
      </c>
      <c r="N51">
        <v>57</v>
      </c>
    </row>
    <row r="52" spans="1:14" x14ac:dyDescent="0.3">
      <c r="A52" t="s">
        <v>62</v>
      </c>
      <c r="B52" t="s">
        <v>1015</v>
      </c>
      <c r="C52" t="s">
        <v>1029</v>
      </c>
      <c r="D52">
        <v>43</v>
      </c>
      <c r="E52">
        <v>2</v>
      </c>
      <c r="F52" s="3">
        <v>78636</v>
      </c>
      <c r="G52">
        <v>42</v>
      </c>
      <c r="H52">
        <v>11</v>
      </c>
      <c r="I52">
        <v>9</v>
      </c>
      <c r="J52">
        <v>14</v>
      </c>
      <c r="K52">
        <v>4.4000000000000004</v>
      </c>
      <c r="L52" s="3">
        <v>4</v>
      </c>
      <c r="M52" t="s">
        <v>1036</v>
      </c>
      <c r="N52">
        <v>55.53</v>
      </c>
    </row>
    <row r="53" spans="1:14" x14ac:dyDescent="0.3">
      <c r="A53" t="s">
        <v>63</v>
      </c>
      <c r="B53" t="s">
        <v>1018</v>
      </c>
      <c r="C53" t="s">
        <v>1032</v>
      </c>
      <c r="D53">
        <v>52</v>
      </c>
      <c r="E53">
        <v>2</v>
      </c>
      <c r="F53" s="3">
        <v>54846</v>
      </c>
      <c r="G53">
        <v>48</v>
      </c>
      <c r="H53">
        <v>15</v>
      </c>
      <c r="I53">
        <v>20</v>
      </c>
      <c r="J53">
        <v>36</v>
      </c>
      <c r="K53">
        <v>2.6</v>
      </c>
      <c r="L53" s="3">
        <v>7.9</v>
      </c>
      <c r="M53" t="s">
        <v>1035</v>
      </c>
      <c r="N53">
        <v>80.2</v>
      </c>
    </row>
    <row r="54" spans="1:14" x14ac:dyDescent="0.3">
      <c r="A54" t="s">
        <v>64</v>
      </c>
      <c r="B54" t="s">
        <v>1017</v>
      </c>
      <c r="C54" t="s">
        <v>1024</v>
      </c>
      <c r="D54">
        <v>37</v>
      </c>
      <c r="E54">
        <v>4</v>
      </c>
      <c r="F54" s="3">
        <v>67995</v>
      </c>
      <c r="G54">
        <v>35</v>
      </c>
      <c r="H54">
        <v>15</v>
      </c>
      <c r="I54">
        <v>24</v>
      </c>
      <c r="J54">
        <v>6</v>
      </c>
      <c r="K54">
        <v>4.3</v>
      </c>
      <c r="L54" s="3">
        <v>4.5</v>
      </c>
      <c r="M54" t="s">
        <v>1036</v>
      </c>
      <c r="N54">
        <v>64.900000000000006</v>
      </c>
    </row>
    <row r="55" spans="1:14" x14ac:dyDescent="0.3">
      <c r="A55" t="s">
        <v>65</v>
      </c>
      <c r="B55" t="s">
        <v>1015</v>
      </c>
      <c r="C55" t="s">
        <v>1020</v>
      </c>
      <c r="D55">
        <v>51</v>
      </c>
      <c r="E55">
        <v>1</v>
      </c>
      <c r="F55" s="3">
        <v>61530</v>
      </c>
      <c r="G55">
        <v>42</v>
      </c>
      <c r="H55">
        <v>15</v>
      </c>
      <c r="I55">
        <v>3</v>
      </c>
      <c r="J55">
        <v>29</v>
      </c>
      <c r="K55">
        <v>2.4</v>
      </c>
      <c r="L55" s="3">
        <v>6.3</v>
      </c>
      <c r="M55" t="s">
        <v>1035</v>
      </c>
      <c r="N55">
        <v>70</v>
      </c>
    </row>
    <row r="56" spans="1:14" x14ac:dyDescent="0.3">
      <c r="A56" t="s">
        <v>66</v>
      </c>
      <c r="B56" t="s">
        <v>1015</v>
      </c>
      <c r="C56" t="s">
        <v>1021</v>
      </c>
      <c r="D56">
        <v>42</v>
      </c>
      <c r="E56">
        <v>14</v>
      </c>
      <c r="F56" s="3">
        <v>65150</v>
      </c>
      <c r="G56">
        <v>51</v>
      </c>
      <c r="H56">
        <v>7</v>
      </c>
      <c r="I56">
        <v>17</v>
      </c>
      <c r="J56">
        <v>28</v>
      </c>
      <c r="K56">
        <v>4.7</v>
      </c>
      <c r="L56" s="3">
        <v>8.1999999999999993</v>
      </c>
      <c r="M56" t="s">
        <v>1034</v>
      </c>
      <c r="N56">
        <v>74.97</v>
      </c>
    </row>
    <row r="57" spans="1:14" x14ac:dyDescent="0.3">
      <c r="A57" t="s">
        <v>67</v>
      </c>
      <c r="B57" t="s">
        <v>1017</v>
      </c>
      <c r="C57" t="s">
        <v>1026</v>
      </c>
      <c r="D57">
        <v>38</v>
      </c>
      <c r="E57">
        <v>7</v>
      </c>
      <c r="F57" s="3">
        <v>80041</v>
      </c>
      <c r="G57">
        <v>55</v>
      </c>
      <c r="H57">
        <v>5</v>
      </c>
      <c r="I57">
        <v>24</v>
      </c>
      <c r="J57">
        <v>33</v>
      </c>
      <c r="K57">
        <v>3.5</v>
      </c>
      <c r="L57" s="3">
        <v>4.7</v>
      </c>
      <c r="M57" t="s">
        <v>1036</v>
      </c>
      <c r="N57">
        <v>47.03</v>
      </c>
    </row>
    <row r="58" spans="1:14" x14ac:dyDescent="0.3">
      <c r="A58" t="s">
        <v>68</v>
      </c>
      <c r="B58" t="s">
        <v>1014</v>
      </c>
      <c r="C58" t="s">
        <v>1025</v>
      </c>
      <c r="D58">
        <v>40</v>
      </c>
      <c r="E58">
        <v>7</v>
      </c>
      <c r="F58" s="3">
        <v>42807</v>
      </c>
      <c r="G58">
        <v>45</v>
      </c>
      <c r="H58">
        <v>6</v>
      </c>
      <c r="I58">
        <v>17</v>
      </c>
      <c r="J58">
        <v>5</v>
      </c>
      <c r="K58">
        <v>2.4</v>
      </c>
      <c r="L58" s="3">
        <v>4.5999999999999996</v>
      </c>
      <c r="M58" t="s">
        <v>1036</v>
      </c>
      <c r="N58">
        <v>44.8</v>
      </c>
    </row>
    <row r="59" spans="1:14" x14ac:dyDescent="0.3">
      <c r="A59" t="s">
        <v>69</v>
      </c>
      <c r="B59" t="s">
        <v>1018</v>
      </c>
      <c r="C59" t="s">
        <v>1032</v>
      </c>
      <c r="D59">
        <v>35</v>
      </c>
      <c r="E59">
        <v>1</v>
      </c>
      <c r="F59" s="3">
        <v>52188</v>
      </c>
      <c r="G59">
        <v>48</v>
      </c>
      <c r="H59">
        <v>6</v>
      </c>
      <c r="I59">
        <v>17</v>
      </c>
      <c r="J59">
        <v>29</v>
      </c>
      <c r="K59">
        <v>3.2</v>
      </c>
      <c r="L59" s="3">
        <v>4.4000000000000004</v>
      </c>
      <c r="M59" t="s">
        <v>1036</v>
      </c>
      <c r="N59">
        <v>46</v>
      </c>
    </row>
    <row r="60" spans="1:14" x14ac:dyDescent="0.3">
      <c r="A60" t="s">
        <v>70</v>
      </c>
      <c r="B60" t="s">
        <v>1017</v>
      </c>
      <c r="C60" t="s">
        <v>1026</v>
      </c>
      <c r="D60">
        <v>23</v>
      </c>
      <c r="E60">
        <v>2</v>
      </c>
      <c r="F60" s="3">
        <v>49928</v>
      </c>
      <c r="G60">
        <v>50</v>
      </c>
      <c r="H60">
        <v>1</v>
      </c>
      <c r="I60">
        <v>11</v>
      </c>
      <c r="J60">
        <v>19</v>
      </c>
      <c r="K60">
        <v>4.3</v>
      </c>
      <c r="L60" s="3">
        <v>9</v>
      </c>
      <c r="M60" t="s">
        <v>1034</v>
      </c>
      <c r="N60">
        <v>68.569999999999993</v>
      </c>
    </row>
    <row r="61" spans="1:14" x14ac:dyDescent="0.3">
      <c r="A61" t="s">
        <v>71</v>
      </c>
      <c r="B61" t="s">
        <v>1015</v>
      </c>
      <c r="C61" t="s">
        <v>1021</v>
      </c>
      <c r="D61">
        <v>36</v>
      </c>
      <c r="E61">
        <v>15</v>
      </c>
      <c r="F61" s="3">
        <v>39380</v>
      </c>
      <c r="G61">
        <v>43</v>
      </c>
      <c r="H61">
        <v>7</v>
      </c>
      <c r="I61">
        <v>15</v>
      </c>
      <c r="J61">
        <v>1</v>
      </c>
      <c r="K61">
        <v>3.2</v>
      </c>
      <c r="L61" s="3">
        <v>7.7</v>
      </c>
      <c r="M61" t="s">
        <v>1035</v>
      </c>
      <c r="N61">
        <v>67.47</v>
      </c>
    </row>
    <row r="62" spans="1:14" x14ac:dyDescent="0.3">
      <c r="A62" t="s">
        <v>72</v>
      </c>
      <c r="B62" t="s">
        <v>1018</v>
      </c>
      <c r="C62" t="s">
        <v>1028</v>
      </c>
      <c r="D62">
        <v>51</v>
      </c>
      <c r="E62">
        <v>4</v>
      </c>
      <c r="F62" s="3">
        <v>89272</v>
      </c>
      <c r="G62">
        <v>54</v>
      </c>
      <c r="H62">
        <v>9</v>
      </c>
      <c r="I62">
        <v>0</v>
      </c>
      <c r="J62">
        <v>25</v>
      </c>
      <c r="K62">
        <v>3.8</v>
      </c>
      <c r="L62" s="3">
        <v>7.6</v>
      </c>
      <c r="M62" t="s">
        <v>1035</v>
      </c>
      <c r="N62">
        <v>72</v>
      </c>
    </row>
    <row r="63" spans="1:14" x14ac:dyDescent="0.3">
      <c r="A63" t="s">
        <v>73</v>
      </c>
      <c r="B63" t="s">
        <v>1017</v>
      </c>
      <c r="C63" t="s">
        <v>1026</v>
      </c>
      <c r="D63">
        <v>30</v>
      </c>
      <c r="E63">
        <v>7</v>
      </c>
      <c r="F63" s="3">
        <v>36909</v>
      </c>
      <c r="G63">
        <v>36</v>
      </c>
      <c r="H63">
        <v>5</v>
      </c>
      <c r="I63">
        <v>12</v>
      </c>
      <c r="J63">
        <v>20</v>
      </c>
      <c r="K63">
        <v>2.6</v>
      </c>
      <c r="L63" s="3">
        <v>5.3</v>
      </c>
      <c r="M63" t="s">
        <v>1036</v>
      </c>
      <c r="N63">
        <v>47.93</v>
      </c>
    </row>
    <row r="64" spans="1:14" x14ac:dyDescent="0.3">
      <c r="A64" t="s">
        <v>74</v>
      </c>
      <c r="B64" t="s">
        <v>1016</v>
      </c>
      <c r="C64" t="s">
        <v>1023</v>
      </c>
      <c r="D64">
        <v>48</v>
      </c>
      <c r="E64">
        <v>8</v>
      </c>
      <c r="F64" s="3">
        <v>79716</v>
      </c>
      <c r="G64">
        <v>37</v>
      </c>
      <c r="H64">
        <v>8</v>
      </c>
      <c r="I64">
        <v>0</v>
      </c>
      <c r="J64">
        <v>34</v>
      </c>
      <c r="K64">
        <v>2.2000000000000002</v>
      </c>
      <c r="L64" s="3">
        <v>9.6999999999999993</v>
      </c>
      <c r="M64" t="s">
        <v>1034</v>
      </c>
      <c r="N64">
        <v>78.13</v>
      </c>
    </row>
    <row r="65" spans="1:14" x14ac:dyDescent="0.3">
      <c r="A65" t="s">
        <v>75</v>
      </c>
      <c r="B65" t="s">
        <v>1014</v>
      </c>
      <c r="C65" t="s">
        <v>1025</v>
      </c>
      <c r="D65">
        <v>24</v>
      </c>
      <c r="E65">
        <v>0</v>
      </c>
      <c r="F65" s="3">
        <v>87233</v>
      </c>
      <c r="G65">
        <v>42</v>
      </c>
      <c r="H65">
        <v>4</v>
      </c>
      <c r="I65">
        <v>0</v>
      </c>
      <c r="J65">
        <v>39</v>
      </c>
      <c r="K65">
        <v>2.5</v>
      </c>
      <c r="L65" s="3">
        <v>3.9</v>
      </c>
      <c r="M65" t="s">
        <v>1036</v>
      </c>
      <c r="N65">
        <v>37.57</v>
      </c>
    </row>
    <row r="66" spans="1:14" x14ac:dyDescent="0.3">
      <c r="A66" t="s">
        <v>76</v>
      </c>
      <c r="B66" t="s">
        <v>1014</v>
      </c>
      <c r="C66" t="s">
        <v>1025</v>
      </c>
      <c r="D66">
        <v>35</v>
      </c>
      <c r="E66">
        <v>7</v>
      </c>
      <c r="F66" s="3">
        <v>70840</v>
      </c>
      <c r="G66">
        <v>43</v>
      </c>
      <c r="H66">
        <v>13</v>
      </c>
      <c r="I66">
        <v>11</v>
      </c>
      <c r="J66">
        <v>10</v>
      </c>
      <c r="K66">
        <v>3.8</v>
      </c>
      <c r="L66" s="3">
        <v>9.6999999999999993</v>
      </c>
      <c r="M66" t="s">
        <v>1034</v>
      </c>
      <c r="N66">
        <v>91.27</v>
      </c>
    </row>
    <row r="67" spans="1:14" x14ac:dyDescent="0.3">
      <c r="A67" t="s">
        <v>77</v>
      </c>
      <c r="B67" t="s">
        <v>1014</v>
      </c>
      <c r="C67" t="s">
        <v>1031</v>
      </c>
      <c r="D67">
        <v>32</v>
      </c>
      <c r="E67">
        <v>4</v>
      </c>
      <c r="F67" s="3">
        <v>32084</v>
      </c>
      <c r="G67">
        <v>53</v>
      </c>
      <c r="H67">
        <v>1</v>
      </c>
      <c r="I67">
        <v>9</v>
      </c>
      <c r="J67">
        <v>36</v>
      </c>
      <c r="K67">
        <v>4</v>
      </c>
      <c r="L67" s="3">
        <v>9.6999999999999993</v>
      </c>
      <c r="M67" t="s">
        <v>1034</v>
      </c>
      <c r="N67">
        <v>71.87</v>
      </c>
    </row>
    <row r="68" spans="1:14" x14ac:dyDescent="0.3">
      <c r="A68" t="s">
        <v>78</v>
      </c>
      <c r="B68" t="s">
        <v>1018</v>
      </c>
      <c r="C68" t="s">
        <v>1028</v>
      </c>
      <c r="D68">
        <v>26</v>
      </c>
      <c r="E68">
        <v>4</v>
      </c>
      <c r="F68" s="3">
        <v>70260</v>
      </c>
      <c r="G68">
        <v>55</v>
      </c>
      <c r="H68">
        <v>4</v>
      </c>
      <c r="I68">
        <v>3</v>
      </c>
      <c r="J68">
        <v>19</v>
      </c>
      <c r="K68">
        <v>4.5999999999999996</v>
      </c>
      <c r="L68" s="3">
        <v>7.2</v>
      </c>
      <c r="M68" t="s">
        <v>1035</v>
      </c>
      <c r="N68">
        <v>63.67</v>
      </c>
    </row>
    <row r="69" spans="1:14" x14ac:dyDescent="0.3">
      <c r="A69" t="s">
        <v>79</v>
      </c>
      <c r="B69" t="s">
        <v>1015</v>
      </c>
      <c r="C69" t="s">
        <v>1021</v>
      </c>
      <c r="D69">
        <v>24</v>
      </c>
      <c r="E69">
        <v>2</v>
      </c>
      <c r="F69" s="3">
        <v>59913</v>
      </c>
      <c r="G69">
        <v>48</v>
      </c>
      <c r="H69">
        <v>11</v>
      </c>
      <c r="I69">
        <v>11</v>
      </c>
      <c r="J69">
        <v>4</v>
      </c>
      <c r="K69">
        <v>3.5</v>
      </c>
      <c r="L69" s="3">
        <v>5.4</v>
      </c>
      <c r="M69" t="s">
        <v>1036</v>
      </c>
      <c r="N69">
        <v>61.23</v>
      </c>
    </row>
    <row r="70" spans="1:14" x14ac:dyDescent="0.3">
      <c r="A70" t="s">
        <v>80</v>
      </c>
      <c r="B70" t="s">
        <v>1017</v>
      </c>
      <c r="C70" t="s">
        <v>1024</v>
      </c>
      <c r="D70">
        <v>28</v>
      </c>
      <c r="E70">
        <v>6</v>
      </c>
      <c r="F70" s="3">
        <v>87966</v>
      </c>
      <c r="G70">
        <v>46</v>
      </c>
      <c r="H70">
        <v>11</v>
      </c>
      <c r="I70">
        <v>14</v>
      </c>
      <c r="J70">
        <v>9</v>
      </c>
      <c r="K70">
        <v>3.3</v>
      </c>
      <c r="L70" s="3">
        <v>8.1</v>
      </c>
      <c r="M70" t="s">
        <v>1034</v>
      </c>
      <c r="N70">
        <v>76.83</v>
      </c>
    </row>
    <row r="71" spans="1:14" x14ac:dyDescent="0.3">
      <c r="A71" t="s">
        <v>81</v>
      </c>
      <c r="B71" t="s">
        <v>1016</v>
      </c>
      <c r="C71" t="s">
        <v>1033</v>
      </c>
      <c r="D71">
        <v>52</v>
      </c>
      <c r="E71">
        <v>14</v>
      </c>
      <c r="F71" s="3">
        <v>53545</v>
      </c>
      <c r="G71">
        <v>53</v>
      </c>
      <c r="H71">
        <v>5</v>
      </c>
      <c r="I71">
        <v>10</v>
      </c>
      <c r="J71">
        <v>15</v>
      </c>
      <c r="K71">
        <v>4.5</v>
      </c>
      <c r="L71" s="3">
        <v>3.6</v>
      </c>
      <c r="M71" t="s">
        <v>1036</v>
      </c>
      <c r="N71">
        <v>43.43</v>
      </c>
    </row>
    <row r="72" spans="1:14" x14ac:dyDescent="0.3">
      <c r="A72" t="s">
        <v>82</v>
      </c>
      <c r="B72" t="s">
        <v>1018</v>
      </c>
      <c r="C72" t="s">
        <v>1032</v>
      </c>
      <c r="D72">
        <v>51</v>
      </c>
      <c r="E72">
        <v>12</v>
      </c>
      <c r="F72" s="3">
        <v>47046</v>
      </c>
      <c r="G72">
        <v>35</v>
      </c>
      <c r="H72">
        <v>8</v>
      </c>
      <c r="I72">
        <v>10</v>
      </c>
      <c r="J72">
        <v>11</v>
      </c>
      <c r="K72">
        <v>3.5</v>
      </c>
      <c r="L72" s="3">
        <v>5.5</v>
      </c>
      <c r="M72" t="s">
        <v>1036</v>
      </c>
      <c r="N72">
        <v>56.83</v>
      </c>
    </row>
    <row r="73" spans="1:14" x14ac:dyDescent="0.3">
      <c r="A73" t="s">
        <v>83</v>
      </c>
      <c r="B73" t="s">
        <v>1016</v>
      </c>
      <c r="C73" t="s">
        <v>1022</v>
      </c>
      <c r="D73">
        <v>39</v>
      </c>
      <c r="E73">
        <v>8</v>
      </c>
      <c r="F73" s="3">
        <v>61424</v>
      </c>
      <c r="G73">
        <v>35</v>
      </c>
      <c r="H73">
        <v>9</v>
      </c>
      <c r="I73">
        <v>6</v>
      </c>
      <c r="J73">
        <v>5</v>
      </c>
      <c r="K73">
        <v>2.7</v>
      </c>
      <c r="L73" s="3">
        <v>5.8</v>
      </c>
      <c r="M73" t="s">
        <v>1036</v>
      </c>
      <c r="N73">
        <v>57.9</v>
      </c>
    </row>
    <row r="74" spans="1:14" x14ac:dyDescent="0.3">
      <c r="A74" t="s">
        <v>84</v>
      </c>
      <c r="B74" t="s">
        <v>1018</v>
      </c>
      <c r="C74" t="s">
        <v>1027</v>
      </c>
      <c r="D74">
        <v>52</v>
      </c>
      <c r="E74">
        <v>15</v>
      </c>
      <c r="F74" s="3">
        <v>54371</v>
      </c>
      <c r="G74">
        <v>35</v>
      </c>
      <c r="H74">
        <v>2</v>
      </c>
      <c r="I74">
        <v>9</v>
      </c>
      <c r="J74">
        <v>14</v>
      </c>
      <c r="K74">
        <v>3.2</v>
      </c>
      <c r="L74" s="3">
        <v>4.7</v>
      </c>
      <c r="M74" t="s">
        <v>1036</v>
      </c>
      <c r="N74">
        <v>41.13</v>
      </c>
    </row>
    <row r="75" spans="1:14" x14ac:dyDescent="0.3">
      <c r="A75" t="s">
        <v>85</v>
      </c>
      <c r="B75" t="s">
        <v>1015</v>
      </c>
      <c r="C75" t="s">
        <v>1021</v>
      </c>
      <c r="D75">
        <v>45</v>
      </c>
      <c r="E75">
        <v>15</v>
      </c>
      <c r="F75" s="3">
        <v>61272</v>
      </c>
      <c r="G75">
        <v>51</v>
      </c>
      <c r="H75">
        <v>6</v>
      </c>
      <c r="I75">
        <v>13</v>
      </c>
      <c r="J75">
        <v>35</v>
      </c>
      <c r="K75">
        <v>3</v>
      </c>
      <c r="L75" s="3">
        <v>7.9</v>
      </c>
      <c r="M75" t="s">
        <v>1035</v>
      </c>
      <c r="N75">
        <v>66.400000000000006</v>
      </c>
    </row>
    <row r="76" spans="1:14" x14ac:dyDescent="0.3">
      <c r="A76" t="s">
        <v>86</v>
      </c>
      <c r="B76" t="s">
        <v>1016</v>
      </c>
      <c r="C76" t="s">
        <v>1023</v>
      </c>
      <c r="D76">
        <v>38</v>
      </c>
      <c r="E76">
        <v>7</v>
      </c>
      <c r="F76" s="3">
        <v>32907</v>
      </c>
      <c r="G76">
        <v>41</v>
      </c>
      <c r="H76">
        <v>6</v>
      </c>
      <c r="I76">
        <v>3</v>
      </c>
      <c r="J76">
        <v>34</v>
      </c>
      <c r="K76">
        <v>4.9000000000000004</v>
      </c>
      <c r="L76" s="3">
        <v>7.8</v>
      </c>
      <c r="M76" t="s">
        <v>1035</v>
      </c>
      <c r="N76">
        <v>71.5</v>
      </c>
    </row>
    <row r="77" spans="1:14" x14ac:dyDescent="0.3">
      <c r="A77" t="s">
        <v>87</v>
      </c>
      <c r="B77" t="s">
        <v>1018</v>
      </c>
      <c r="C77" t="s">
        <v>1028</v>
      </c>
      <c r="D77">
        <v>52</v>
      </c>
      <c r="E77">
        <v>8</v>
      </c>
      <c r="F77" s="3">
        <v>72486</v>
      </c>
      <c r="G77">
        <v>53</v>
      </c>
      <c r="H77">
        <v>13</v>
      </c>
      <c r="I77">
        <v>16</v>
      </c>
      <c r="J77">
        <v>38</v>
      </c>
      <c r="K77">
        <v>2.8</v>
      </c>
      <c r="L77" s="3">
        <v>3.7</v>
      </c>
      <c r="M77" t="s">
        <v>1036</v>
      </c>
      <c r="N77">
        <v>52.27</v>
      </c>
    </row>
    <row r="78" spans="1:14" x14ac:dyDescent="0.3">
      <c r="A78" t="s">
        <v>88</v>
      </c>
      <c r="B78" t="s">
        <v>1016</v>
      </c>
      <c r="C78" t="s">
        <v>1023</v>
      </c>
      <c r="D78">
        <v>36</v>
      </c>
      <c r="E78">
        <v>11</v>
      </c>
      <c r="F78" s="3">
        <v>36759</v>
      </c>
      <c r="G78">
        <v>44</v>
      </c>
      <c r="H78">
        <v>1</v>
      </c>
      <c r="I78">
        <v>22</v>
      </c>
      <c r="J78">
        <v>34</v>
      </c>
      <c r="K78">
        <v>2.4</v>
      </c>
      <c r="L78" s="3">
        <v>3.3</v>
      </c>
      <c r="M78" t="s">
        <v>1036</v>
      </c>
      <c r="N78">
        <v>28.67</v>
      </c>
    </row>
    <row r="79" spans="1:14" x14ac:dyDescent="0.3">
      <c r="A79" t="s">
        <v>89</v>
      </c>
      <c r="B79" t="s">
        <v>1015</v>
      </c>
      <c r="C79" t="s">
        <v>1021</v>
      </c>
      <c r="D79">
        <v>40</v>
      </c>
      <c r="E79">
        <v>4</v>
      </c>
      <c r="F79" s="3">
        <v>66803</v>
      </c>
      <c r="G79">
        <v>50</v>
      </c>
      <c r="H79">
        <v>2</v>
      </c>
      <c r="I79">
        <v>0</v>
      </c>
      <c r="J79">
        <v>36</v>
      </c>
      <c r="K79">
        <v>2.9</v>
      </c>
      <c r="L79" s="3">
        <v>6.4</v>
      </c>
      <c r="M79" t="s">
        <v>1035</v>
      </c>
      <c r="N79">
        <v>50.43</v>
      </c>
    </row>
    <row r="80" spans="1:14" x14ac:dyDescent="0.3">
      <c r="A80" t="s">
        <v>90</v>
      </c>
      <c r="B80" t="s">
        <v>1018</v>
      </c>
      <c r="C80" t="s">
        <v>1027</v>
      </c>
      <c r="D80">
        <v>25</v>
      </c>
      <c r="E80">
        <v>2</v>
      </c>
      <c r="F80" s="3">
        <v>86673</v>
      </c>
      <c r="G80">
        <v>50</v>
      </c>
      <c r="H80">
        <v>2</v>
      </c>
      <c r="I80">
        <v>2</v>
      </c>
      <c r="J80">
        <v>25</v>
      </c>
      <c r="K80">
        <v>3.5</v>
      </c>
      <c r="L80" s="3">
        <v>7</v>
      </c>
      <c r="M80" t="s">
        <v>1035</v>
      </c>
      <c r="N80">
        <v>55.83</v>
      </c>
    </row>
    <row r="81" spans="1:14" x14ac:dyDescent="0.3">
      <c r="A81" t="s">
        <v>91</v>
      </c>
      <c r="B81" t="s">
        <v>1014</v>
      </c>
      <c r="C81" t="s">
        <v>1025</v>
      </c>
      <c r="D81">
        <v>31</v>
      </c>
      <c r="E81">
        <v>2</v>
      </c>
      <c r="F81" s="3">
        <v>78159</v>
      </c>
      <c r="G81">
        <v>53</v>
      </c>
      <c r="H81">
        <v>5</v>
      </c>
      <c r="I81">
        <v>2</v>
      </c>
      <c r="J81">
        <v>15</v>
      </c>
      <c r="K81">
        <v>2.4</v>
      </c>
      <c r="L81" s="3">
        <v>8.4</v>
      </c>
      <c r="M81" t="s">
        <v>1034</v>
      </c>
      <c r="N81">
        <v>65.930000000000007</v>
      </c>
    </row>
    <row r="82" spans="1:14" x14ac:dyDescent="0.3">
      <c r="A82" t="s">
        <v>92</v>
      </c>
      <c r="B82" t="s">
        <v>1015</v>
      </c>
      <c r="C82" t="s">
        <v>1020</v>
      </c>
      <c r="D82">
        <v>36</v>
      </c>
      <c r="E82">
        <v>12</v>
      </c>
      <c r="F82" s="3">
        <v>54524</v>
      </c>
      <c r="G82">
        <v>49</v>
      </c>
      <c r="H82">
        <v>5</v>
      </c>
      <c r="I82">
        <v>18</v>
      </c>
      <c r="J82">
        <v>27</v>
      </c>
      <c r="K82">
        <v>2.9</v>
      </c>
      <c r="L82" s="3">
        <v>7.3</v>
      </c>
      <c r="M82" t="s">
        <v>1035</v>
      </c>
      <c r="N82">
        <v>60.83</v>
      </c>
    </row>
    <row r="83" spans="1:14" x14ac:dyDescent="0.3">
      <c r="A83" t="s">
        <v>93</v>
      </c>
      <c r="B83" t="s">
        <v>1014</v>
      </c>
      <c r="C83" t="s">
        <v>1019</v>
      </c>
      <c r="D83">
        <v>35</v>
      </c>
      <c r="E83">
        <v>10</v>
      </c>
      <c r="F83" s="3">
        <v>38829</v>
      </c>
      <c r="G83">
        <v>43</v>
      </c>
      <c r="H83">
        <v>11</v>
      </c>
      <c r="I83">
        <v>2</v>
      </c>
      <c r="J83">
        <v>10</v>
      </c>
      <c r="K83">
        <v>2.7</v>
      </c>
      <c r="L83" s="3">
        <v>6.9</v>
      </c>
      <c r="M83" t="s">
        <v>1035</v>
      </c>
      <c r="N83">
        <v>67.83</v>
      </c>
    </row>
    <row r="84" spans="1:14" x14ac:dyDescent="0.3">
      <c r="A84" t="s">
        <v>94</v>
      </c>
      <c r="B84" t="s">
        <v>1014</v>
      </c>
      <c r="C84" t="s">
        <v>1025</v>
      </c>
      <c r="D84">
        <v>48</v>
      </c>
      <c r="E84">
        <v>14</v>
      </c>
      <c r="F84" s="3">
        <v>70178</v>
      </c>
      <c r="G84">
        <v>54</v>
      </c>
      <c r="H84">
        <v>8</v>
      </c>
      <c r="I84">
        <v>9</v>
      </c>
      <c r="J84">
        <v>2</v>
      </c>
      <c r="K84">
        <v>2.7</v>
      </c>
      <c r="L84" s="3">
        <v>7.9</v>
      </c>
      <c r="M84" t="s">
        <v>1035</v>
      </c>
      <c r="N84">
        <v>68.83</v>
      </c>
    </row>
    <row r="85" spans="1:14" x14ac:dyDescent="0.3">
      <c r="A85" t="s">
        <v>95</v>
      </c>
      <c r="B85" t="s">
        <v>1017</v>
      </c>
      <c r="C85" t="s">
        <v>1030</v>
      </c>
      <c r="D85">
        <v>26</v>
      </c>
      <c r="E85">
        <v>5</v>
      </c>
      <c r="F85" s="3">
        <v>40297</v>
      </c>
      <c r="G85">
        <v>43</v>
      </c>
      <c r="H85">
        <v>13</v>
      </c>
      <c r="I85">
        <v>25</v>
      </c>
      <c r="J85">
        <v>40</v>
      </c>
      <c r="K85">
        <v>3.8</v>
      </c>
      <c r="L85" s="3">
        <v>8.6</v>
      </c>
      <c r="M85" t="s">
        <v>1034</v>
      </c>
      <c r="N85">
        <v>84.67</v>
      </c>
    </row>
    <row r="86" spans="1:14" x14ac:dyDescent="0.3">
      <c r="A86" t="s">
        <v>96</v>
      </c>
      <c r="B86" t="s">
        <v>1017</v>
      </c>
      <c r="C86" t="s">
        <v>1026</v>
      </c>
      <c r="D86">
        <v>29</v>
      </c>
      <c r="E86">
        <v>8</v>
      </c>
      <c r="F86" s="3">
        <v>39733</v>
      </c>
      <c r="G86">
        <v>55</v>
      </c>
      <c r="H86">
        <v>3</v>
      </c>
      <c r="I86">
        <v>8</v>
      </c>
      <c r="J86">
        <v>9</v>
      </c>
      <c r="K86">
        <v>2.2000000000000002</v>
      </c>
      <c r="L86" s="3">
        <v>4.2</v>
      </c>
      <c r="M86" t="s">
        <v>1036</v>
      </c>
      <c r="N86">
        <v>36.799999999999997</v>
      </c>
    </row>
    <row r="87" spans="1:14" x14ac:dyDescent="0.3">
      <c r="A87" t="s">
        <v>97</v>
      </c>
      <c r="B87" t="s">
        <v>1015</v>
      </c>
      <c r="C87" t="s">
        <v>1021</v>
      </c>
      <c r="D87">
        <v>40</v>
      </c>
      <c r="E87">
        <v>14</v>
      </c>
      <c r="F87" s="3">
        <v>33149</v>
      </c>
      <c r="G87">
        <v>49</v>
      </c>
      <c r="H87">
        <v>12</v>
      </c>
      <c r="I87">
        <v>9</v>
      </c>
      <c r="J87">
        <v>25</v>
      </c>
      <c r="K87">
        <v>4.8</v>
      </c>
      <c r="L87" s="3">
        <v>6.5</v>
      </c>
      <c r="M87" t="s">
        <v>1035</v>
      </c>
      <c r="N87">
        <v>73.400000000000006</v>
      </c>
    </row>
    <row r="88" spans="1:14" x14ac:dyDescent="0.3">
      <c r="A88" t="s">
        <v>98</v>
      </c>
      <c r="B88" t="s">
        <v>1017</v>
      </c>
      <c r="C88" t="s">
        <v>1024</v>
      </c>
      <c r="D88">
        <v>27</v>
      </c>
      <c r="E88">
        <v>4</v>
      </c>
      <c r="F88" s="3">
        <v>27612</v>
      </c>
      <c r="G88">
        <v>48</v>
      </c>
      <c r="H88">
        <v>12</v>
      </c>
      <c r="I88">
        <v>10</v>
      </c>
      <c r="J88">
        <v>38</v>
      </c>
      <c r="K88">
        <v>2.8</v>
      </c>
      <c r="L88" s="3">
        <v>3.6</v>
      </c>
      <c r="M88" t="s">
        <v>1036</v>
      </c>
      <c r="N88">
        <v>50</v>
      </c>
    </row>
    <row r="89" spans="1:14" x14ac:dyDescent="0.3">
      <c r="A89" t="s">
        <v>99</v>
      </c>
      <c r="B89" t="s">
        <v>1015</v>
      </c>
      <c r="C89" t="s">
        <v>1021</v>
      </c>
      <c r="D89">
        <v>23</v>
      </c>
      <c r="E89">
        <v>2</v>
      </c>
      <c r="F89" s="3">
        <v>78832</v>
      </c>
      <c r="G89">
        <v>43</v>
      </c>
      <c r="H89">
        <v>10</v>
      </c>
      <c r="I89">
        <v>1</v>
      </c>
      <c r="J89">
        <v>11</v>
      </c>
      <c r="K89">
        <v>3.4</v>
      </c>
      <c r="L89" s="3">
        <v>7.6</v>
      </c>
      <c r="M89" t="s">
        <v>1035</v>
      </c>
      <c r="N89">
        <v>72.47</v>
      </c>
    </row>
    <row r="90" spans="1:14" x14ac:dyDescent="0.3">
      <c r="A90" t="s">
        <v>100</v>
      </c>
      <c r="B90" t="s">
        <v>1018</v>
      </c>
      <c r="C90" t="s">
        <v>1028</v>
      </c>
      <c r="D90">
        <v>49</v>
      </c>
      <c r="E90">
        <v>15</v>
      </c>
      <c r="F90" s="3">
        <v>88508</v>
      </c>
      <c r="G90">
        <v>37</v>
      </c>
      <c r="H90">
        <v>8</v>
      </c>
      <c r="I90">
        <v>11</v>
      </c>
      <c r="J90">
        <v>26</v>
      </c>
      <c r="K90">
        <v>3</v>
      </c>
      <c r="L90" s="3">
        <v>7.7</v>
      </c>
      <c r="M90" t="s">
        <v>1035</v>
      </c>
      <c r="N90">
        <v>68.53</v>
      </c>
    </row>
    <row r="91" spans="1:14" x14ac:dyDescent="0.3">
      <c r="A91" t="s">
        <v>101</v>
      </c>
      <c r="B91" t="s">
        <v>1016</v>
      </c>
      <c r="C91" t="s">
        <v>1033</v>
      </c>
      <c r="D91">
        <v>48</v>
      </c>
      <c r="E91">
        <v>15</v>
      </c>
      <c r="F91" s="3">
        <v>43888</v>
      </c>
      <c r="G91">
        <v>47</v>
      </c>
      <c r="H91">
        <v>14</v>
      </c>
      <c r="I91">
        <v>24</v>
      </c>
      <c r="J91">
        <v>35</v>
      </c>
      <c r="K91">
        <v>2.1</v>
      </c>
      <c r="L91" s="3">
        <v>3.6</v>
      </c>
      <c r="M91" t="s">
        <v>1036</v>
      </c>
      <c r="N91">
        <v>51.23</v>
      </c>
    </row>
    <row r="92" spans="1:14" x14ac:dyDescent="0.3">
      <c r="A92" t="s">
        <v>102</v>
      </c>
      <c r="B92" t="s">
        <v>1016</v>
      </c>
      <c r="C92" t="s">
        <v>1022</v>
      </c>
      <c r="D92">
        <v>29</v>
      </c>
      <c r="E92">
        <v>6</v>
      </c>
      <c r="F92" s="3">
        <v>81682</v>
      </c>
      <c r="G92">
        <v>51</v>
      </c>
      <c r="H92">
        <v>14</v>
      </c>
      <c r="I92">
        <v>0</v>
      </c>
      <c r="J92">
        <v>34</v>
      </c>
      <c r="K92">
        <v>3.4</v>
      </c>
      <c r="L92" s="3">
        <v>3.4</v>
      </c>
      <c r="M92" t="s">
        <v>1036</v>
      </c>
      <c r="N92">
        <v>53.93</v>
      </c>
    </row>
    <row r="93" spans="1:14" x14ac:dyDescent="0.3">
      <c r="A93" t="s">
        <v>103</v>
      </c>
      <c r="B93" t="s">
        <v>1016</v>
      </c>
      <c r="C93" t="s">
        <v>1022</v>
      </c>
      <c r="D93">
        <v>53</v>
      </c>
      <c r="E93">
        <v>14</v>
      </c>
      <c r="F93" s="3">
        <v>74806</v>
      </c>
      <c r="G93">
        <v>36</v>
      </c>
      <c r="H93">
        <v>4</v>
      </c>
      <c r="I93">
        <v>8</v>
      </c>
      <c r="J93">
        <v>35</v>
      </c>
      <c r="K93">
        <v>2.4</v>
      </c>
      <c r="L93" s="3">
        <v>5</v>
      </c>
      <c r="M93" t="s">
        <v>1036</v>
      </c>
      <c r="N93">
        <v>43.87</v>
      </c>
    </row>
    <row r="94" spans="1:14" x14ac:dyDescent="0.3">
      <c r="A94" t="s">
        <v>104</v>
      </c>
      <c r="B94" t="s">
        <v>1017</v>
      </c>
      <c r="C94" t="s">
        <v>1030</v>
      </c>
      <c r="D94">
        <v>29</v>
      </c>
      <c r="E94">
        <v>0</v>
      </c>
      <c r="F94" s="3">
        <v>88776</v>
      </c>
      <c r="G94">
        <v>55</v>
      </c>
      <c r="H94">
        <v>10</v>
      </c>
      <c r="I94">
        <v>25</v>
      </c>
      <c r="J94">
        <v>15</v>
      </c>
      <c r="K94">
        <v>4.0999999999999996</v>
      </c>
      <c r="L94" s="3">
        <v>5.2</v>
      </c>
      <c r="M94" t="s">
        <v>1036</v>
      </c>
      <c r="N94">
        <v>60.17</v>
      </c>
    </row>
    <row r="95" spans="1:14" x14ac:dyDescent="0.3">
      <c r="A95" t="s">
        <v>105</v>
      </c>
      <c r="B95" t="s">
        <v>1015</v>
      </c>
      <c r="C95" t="s">
        <v>1020</v>
      </c>
      <c r="D95">
        <v>48</v>
      </c>
      <c r="E95">
        <v>2</v>
      </c>
      <c r="F95" s="3">
        <v>39725</v>
      </c>
      <c r="G95">
        <v>38</v>
      </c>
      <c r="H95">
        <v>8</v>
      </c>
      <c r="I95">
        <v>3</v>
      </c>
      <c r="J95">
        <v>9</v>
      </c>
      <c r="K95">
        <v>3.5</v>
      </c>
      <c r="L95" s="3">
        <v>8</v>
      </c>
      <c r="M95" t="s">
        <v>1034</v>
      </c>
      <c r="N95">
        <v>71.83</v>
      </c>
    </row>
    <row r="96" spans="1:14" x14ac:dyDescent="0.3">
      <c r="A96" t="s">
        <v>106</v>
      </c>
      <c r="B96" t="s">
        <v>1016</v>
      </c>
      <c r="C96" t="s">
        <v>1022</v>
      </c>
      <c r="D96">
        <v>48</v>
      </c>
      <c r="E96">
        <v>15</v>
      </c>
      <c r="F96" s="3">
        <v>89241</v>
      </c>
      <c r="G96">
        <v>50</v>
      </c>
      <c r="H96">
        <v>4</v>
      </c>
      <c r="I96">
        <v>14</v>
      </c>
      <c r="J96">
        <v>35</v>
      </c>
      <c r="K96">
        <v>2.4</v>
      </c>
      <c r="L96" s="3">
        <v>4.3</v>
      </c>
      <c r="M96" t="s">
        <v>1036</v>
      </c>
      <c r="N96">
        <v>39.67</v>
      </c>
    </row>
    <row r="97" spans="1:14" x14ac:dyDescent="0.3">
      <c r="A97" t="s">
        <v>107</v>
      </c>
      <c r="B97" t="s">
        <v>1015</v>
      </c>
      <c r="C97" t="s">
        <v>1020</v>
      </c>
      <c r="D97">
        <v>30</v>
      </c>
      <c r="E97">
        <v>1</v>
      </c>
      <c r="F97" s="3">
        <v>43104</v>
      </c>
      <c r="G97">
        <v>48</v>
      </c>
      <c r="H97">
        <v>6</v>
      </c>
      <c r="I97">
        <v>25</v>
      </c>
      <c r="J97">
        <v>32</v>
      </c>
      <c r="K97">
        <v>2.8</v>
      </c>
      <c r="L97" s="3">
        <v>3</v>
      </c>
      <c r="M97" t="s">
        <v>1036</v>
      </c>
      <c r="N97">
        <v>36.4</v>
      </c>
    </row>
    <row r="98" spans="1:14" x14ac:dyDescent="0.3">
      <c r="A98" t="s">
        <v>108</v>
      </c>
      <c r="B98" t="s">
        <v>1016</v>
      </c>
      <c r="C98" t="s">
        <v>1033</v>
      </c>
      <c r="D98">
        <v>53</v>
      </c>
      <c r="E98">
        <v>4</v>
      </c>
      <c r="F98" s="3">
        <v>54264</v>
      </c>
      <c r="G98">
        <v>52</v>
      </c>
      <c r="H98">
        <v>8</v>
      </c>
      <c r="I98">
        <v>11</v>
      </c>
      <c r="J98">
        <v>21</v>
      </c>
      <c r="K98">
        <v>3.7</v>
      </c>
      <c r="L98" s="3">
        <v>6.8</v>
      </c>
      <c r="M98" t="s">
        <v>1035</v>
      </c>
      <c r="N98">
        <v>65.23</v>
      </c>
    </row>
    <row r="99" spans="1:14" x14ac:dyDescent="0.3">
      <c r="A99" t="s">
        <v>109</v>
      </c>
      <c r="B99" t="s">
        <v>1016</v>
      </c>
      <c r="C99" t="s">
        <v>1022</v>
      </c>
      <c r="D99">
        <v>34</v>
      </c>
      <c r="E99">
        <v>11</v>
      </c>
      <c r="F99" s="3">
        <v>40650</v>
      </c>
      <c r="G99">
        <v>53</v>
      </c>
      <c r="H99">
        <v>7</v>
      </c>
      <c r="I99">
        <v>7</v>
      </c>
      <c r="J99">
        <v>26</v>
      </c>
      <c r="K99">
        <v>2.1</v>
      </c>
      <c r="L99" s="3">
        <v>8.1999999999999993</v>
      </c>
      <c r="M99" t="s">
        <v>1034</v>
      </c>
      <c r="N99">
        <v>67.17</v>
      </c>
    </row>
    <row r="100" spans="1:14" x14ac:dyDescent="0.3">
      <c r="A100" t="s">
        <v>110</v>
      </c>
      <c r="B100" t="s">
        <v>1017</v>
      </c>
      <c r="C100" t="s">
        <v>1026</v>
      </c>
      <c r="D100">
        <v>46</v>
      </c>
      <c r="E100">
        <v>4</v>
      </c>
      <c r="F100" s="3">
        <v>57461</v>
      </c>
      <c r="G100">
        <v>36</v>
      </c>
      <c r="H100">
        <v>3</v>
      </c>
      <c r="I100">
        <v>16</v>
      </c>
      <c r="J100">
        <v>37</v>
      </c>
      <c r="K100">
        <v>3</v>
      </c>
      <c r="L100" s="3">
        <v>3.7</v>
      </c>
      <c r="M100" t="s">
        <v>1036</v>
      </c>
      <c r="N100">
        <v>36.200000000000003</v>
      </c>
    </row>
    <row r="101" spans="1:14" x14ac:dyDescent="0.3">
      <c r="A101" t="s">
        <v>111</v>
      </c>
      <c r="B101" t="s">
        <v>1014</v>
      </c>
      <c r="C101" t="s">
        <v>1031</v>
      </c>
      <c r="D101">
        <v>55</v>
      </c>
      <c r="E101">
        <v>14</v>
      </c>
      <c r="F101" s="3">
        <v>26005</v>
      </c>
      <c r="G101">
        <v>39</v>
      </c>
      <c r="H101">
        <v>7</v>
      </c>
      <c r="I101">
        <v>20</v>
      </c>
      <c r="J101">
        <v>9</v>
      </c>
      <c r="K101">
        <v>2.2000000000000002</v>
      </c>
      <c r="L101" s="3">
        <v>8.5</v>
      </c>
      <c r="M101" t="s">
        <v>1034</v>
      </c>
      <c r="N101">
        <v>69.27</v>
      </c>
    </row>
    <row r="102" spans="1:14" x14ac:dyDescent="0.3">
      <c r="A102" t="s">
        <v>112</v>
      </c>
      <c r="B102" t="s">
        <v>1016</v>
      </c>
      <c r="C102" t="s">
        <v>1022</v>
      </c>
      <c r="D102">
        <v>47</v>
      </c>
      <c r="E102">
        <v>2</v>
      </c>
      <c r="F102" s="3">
        <v>80821</v>
      </c>
      <c r="G102">
        <v>45</v>
      </c>
      <c r="H102">
        <v>14</v>
      </c>
      <c r="I102">
        <v>21</v>
      </c>
      <c r="J102">
        <v>34</v>
      </c>
      <c r="K102">
        <v>3.1</v>
      </c>
      <c r="L102" s="3">
        <v>5.2</v>
      </c>
      <c r="M102" t="s">
        <v>1036</v>
      </c>
      <c r="N102">
        <v>63.83</v>
      </c>
    </row>
    <row r="103" spans="1:14" x14ac:dyDescent="0.3">
      <c r="A103" t="s">
        <v>113</v>
      </c>
      <c r="B103" t="s">
        <v>1017</v>
      </c>
      <c r="C103" t="s">
        <v>1030</v>
      </c>
      <c r="D103">
        <v>24</v>
      </c>
      <c r="E103">
        <v>0</v>
      </c>
      <c r="F103" s="3">
        <v>40385</v>
      </c>
      <c r="G103">
        <v>55</v>
      </c>
      <c r="H103">
        <v>11</v>
      </c>
      <c r="I103">
        <v>9</v>
      </c>
      <c r="J103">
        <v>14</v>
      </c>
      <c r="K103">
        <v>4.2</v>
      </c>
      <c r="L103" s="3">
        <v>6</v>
      </c>
      <c r="M103" t="s">
        <v>1035</v>
      </c>
      <c r="N103">
        <v>66.930000000000007</v>
      </c>
    </row>
    <row r="104" spans="1:14" x14ac:dyDescent="0.3">
      <c r="A104" t="s">
        <v>114</v>
      </c>
      <c r="B104" t="s">
        <v>1014</v>
      </c>
      <c r="C104" t="s">
        <v>1031</v>
      </c>
      <c r="D104">
        <v>50</v>
      </c>
      <c r="E104">
        <v>5</v>
      </c>
      <c r="F104" s="3">
        <v>70482</v>
      </c>
      <c r="G104">
        <v>44</v>
      </c>
      <c r="H104">
        <v>15</v>
      </c>
      <c r="I104">
        <v>0</v>
      </c>
      <c r="J104">
        <v>2</v>
      </c>
      <c r="K104">
        <v>3</v>
      </c>
      <c r="L104" s="3">
        <v>3.4</v>
      </c>
      <c r="M104" t="s">
        <v>1036</v>
      </c>
      <c r="N104">
        <v>54.4</v>
      </c>
    </row>
    <row r="105" spans="1:14" x14ac:dyDescent="0.3">
      <c r="A105" t="s">
        <v>115</v>
      </c>
      <c r="B105" t="s">
        <v>1016</v>
      </c>
      <c r="C105" t="s">
        <v>1033</v>
      </c>
      <c r="D105">
        <v>49</v>
      </c>
      <c r="E105">
        <v>4</v>
      </c>
      <c r="F105" s="3">
        <v>41003</v>
      </c>
      <c r="G105">
        <v>51</v>
      </c>
      <c r="H105">
        <v>7</v>
      </c>
      <c r="I105">
        <v>18</v>
      </c>
      <c r="J105">
        <v>11</v>
      </c>
      <c r="K105">
        <v>2.5</v>
      </c>
      <c r="L105" s="3">
        <v>3.6</v>
      </c>
      <c r="M105" t="s">
        <v>1036</v>
      </c>
      <c r="N105">
        <v>40.770000000000003</v>
      </c>
    </row>
    <row r="106" spans="1:14" x14ac:dyDescent="0.3">
      <c r="A106" t="s">
        <v>116</v>
      </c>
      <c r="B106" t="s">
        <v>1015</v>
      </c>
      <c r="C106" t="s">
        <v>1020</v>
      </c>
      <c r="D106">
        <v>37</v>
      </c>
      <c r="E106">
        <v>15</v>
      </c>
      <c r="F106" s="3">
        <v>84823</v>
      </c>
      <c r="G106">
        <v>53</v>
      </c>
      <c r="H106">
        <v>3</v>
      </c>
      <c r="I106">
        <v>7</v>
      </c>
      <c r="J106">
        <v>29</v>
      </c>
      <c r="K106">
        <v>3.9</v>
      </c>
      <c r="L106" s="3">
        <v>6.2</v>
      </c>
      <c r="M106" t="s">
        <v>1035</v>
      </c>
      <c r="N106">
        <v>53.9</v>
      </c>
    </row>
    <row r="107" spans="1:14" x14ac:dyDescent="0.3">
      <c r="A107" t="s">
        <v>117</v>
      </c>
      <c r="B107" t="s">
        <v>1014</v>
      </c>
      <c r="C107" t="s">
        <v>1031</v>
      </c>
      <c r="D107">
        <v>51</v>
      </c>
      <c r="E107">
        <v>9</v>
      </c>
      <c r="F107" s="3">
        <v>69407</v>
      </c>
      <c r="G107">
        <v>52</v>
      </c>
      <c r="H107">
        <v>3</v>
      </c>
      <c r="I107">
        <v>2</v>
      </c>
      <c r="J107">
        <v>28</v>
      </c>
      <c r="K107">
        <v>4.8</v>
      </c>
      <c r="L107" s="3">
        <v>9.9</v>
      </c>
      <c r="M107" t="s">
        <v>1034</v>
      </c>
      <c r="N107">
        <v>78.8</v>
      </c>
    </row>
    <row r="108" spans="1:14" x14ac:dyDescent="0.3">
      <c r="A108" t="s">
        <v>118</v>
      </c>
      <c r="B108" t="s">
        <v>1017</v>
      </c>
      <c r="C108" t="s">
        <v>1026</v>
      </c>
      <c r="D108">
        <v>38</v>
      </c>
      <c r="E108">
        <v>14</v>
      </c>
      <c r="F108" s="3">
        <v>80397</v>
      </c>
      <c r="G108">
        <v>44</v>
      </c>
      <c r="H108">
        <v>4</v>
      </c>
      <c r="I108">
        <v>12</v>
      </c>
      <c r="J108">
        <v>30</v>
      </c>
      <c r="K108">
        <v>2.2999999999999998</v>
      </c>
      <c r="L108" s="3">
        <v>5.7</v>
      </c>
      <c r="M108" t="s">
        <v>1036</v>
      </c>
      <c r="N108">
        <v>47.77</v>
      </c>
    </row>
    <row r="109" spans="1:14" x14ac:dyDescent="0.3">
      <c r="A109" t="s">
        <v>119</v>
      </c>
      <c r="B109" t="s">
        <v>1015</v>
      </c>
      <c r="C109" t="s">
        <v>1029</v>
      </c>
      <c r="D109">
        <v>40</v>
      </c>
      <c r="E109">
        <v>9</v>
      </c>
      <c r="F109" s="3">
        <v>26437</v>
      </c>
      <c r="G109">
        <v>47</v>
      </c>
      <c r="H109">
        <v>5</v>
      </c>
      <c r="I109">
        <v>0</v>
      </c>
      <c r="J109">
        <v>36</v>
      </c>
      <c r="K109">
        <v>4.5999999999999996</v>
      </c>
      <c r="L109" s="3">
        <v>8.4</v>
      </c>
      <c r="M109" t="s">
        <v>1034</v>
      </c>
      <c r="N109">
        <v>72.53</v>
      </c>
    </row>
    <row r="110" spans="1:14" x14ac:dyDescent="0.3">
      <c r="A110" t="s">
        <v>120</v>
      </c>
      <c r="B110" t="s">
        <v>1015</v>
      </c>
      <c r="C110" t="s">
        <v>1021</v>
      </c>
      <c r="D110">
        <v>53</v>
      </c>
      <c r="E110">
        <v>9</v>
      </c>
      <c r="F110" s="3">
        <v>75838</v>
      </c>
      <c r="G110">
        <v>42</v>
      </c>
      <c r="H110">
        <v>10</v>
      </c>
      <c r="I110">
        <v>25</v>
      </c>
      <c r="J110">
        <v>22</v>
      </c>
      <c r="K110">
        <v>2.7</v>
      </c>
      <c r="L110" s="3">
        <v>4.3</v>
      </c>
      <c r="M110" t="s">
        <v>1036</v>
      </c>
      <c r="N110">
        <v>50.57</v>
      </c>
    </row>
    <row r="111" spans="1:14" x14ac:dyDescent="0.3">
      <c r="A111" t="s">
        <v>121</v>
      </c>
      <c r="B111" t="s">
        <v>1018</v>
      </c>
      <c r="C111" t="s">
        <v>1032</v>
      </c>
      <c r="D111">
        <v>28</v>
      </c>
      <c r="E111">
        <v>0</v>
      </c>
      <c r="F111" s="3">
        <v>45246</v>
      </c>
      <c r="G111">
        <v>49</v>
      </c>
      <c r="H111">
        <v>1</v>
      </c>
      <c r="I111">
        <v>18</v>
      </c>
      <c r="J111">
        <v>23</v>
      </c>
      <c r="K111">
        <v>4.2</v>
      </c>
      <c r="L111" s="3">
        <v>3.6</v>
      </c>
      <c r="M111" t="s">
        <v>1036</v>
      </c>
      <c r="N111">
        <v>35.869999999999997</v>
      </c>
    </row>
    <row r="112" spans="1:14" x14ac:dyDescent="0.3">
      <c r="A112" t="s">
        <v>122</v>
      </c>
      <c r="B112" t="s">
        <v>1016</v>
      </c>
      <c r="C112" t="s">
        <v>1023</v>
      </c>
      <c r="D112">
        <v>48</v>
      </c>
      <c r="E112">
        <v>5</v>
      </c>
      <c r="F112" s="3">
        <v>38159</v>
      </c>
      <c r="G112">
        <v>39</v>
      </c>
      <c r="H112">
        <v>13</v>
      </c>
      <c r="I112">
        <v>17</v>
      </c>
      <c r="J112">
        <v>23</v>
      </c>
      <c r="K112">
        <v>3.6</v>
      </c>
      <c r="L112" s="3">
        <v>9.4</v>
      </c>
      <c r="M112" t="s">
        <v>1034</v>
      </c>
      <c r="N112">
        <v>88.87</v>
      </c>
    </row>
    <row r="113" spans="1:14" x14ac:dyDescent="0.3">
      <c r="A113" t="s">
        <v>123</v>
      </c>
      <c r="B113" t="s">
        <v>1016</v>
      </c>
      <c r="C113" t="s">
        <v>1023</v>
      </c>
      <c r="D113">
        <v>52</v>
      </c>
      <c r="E113">
        <v>9</v>
      </c>
      <c r="F113" s="3">
        <v>73926</v>
      </c>
      <c r="G113">
        <v>45</v>
      </c>
      <c r="H113">
        <v>13</v>
      </c>
      <c r="I113">
        <v>3</v>
      </c>
      <c r="J113">
        <v>29</v>
      </c>
      <c r="K113">
        <v>4.9000000000000004</v>
      </c>
      <c r="L113" s="3">
        <v>4</v>
      </c>
      <c r="M113" t="s">
        <v>1036</v>
      </c>
      <c r="N113">
        <v>60.37</v>
      </c>
    </row>
    <row r="114" spans="1:14" x14ac:dyDescent="0.3">
      <c r="A114" t="s">
        <v>124</v>
      </c>
      <c r="B114" t="s">
        <v>1017</v>
      </c>
      <c r="C114" t="s">
        <v>1024</v>
      </c>
      <c r="D114">
        <v>45</v>
      </c>
      <c r="E114">
        <v>2</v>
      </c>
      <c r="F114" s="3">
        <v>76818</v>
      </c>
      <c r="G114">
        <v>47</v>
      </c>
      <c r="H114">
        <v>1</v>
      </c>
      <c r="I114">
        <v>8</v>
      </c>
      <c r="J114">
        <v>34</v>
      </c>
      <c r="K114">
        <v>2.4</v>
      </c>
      <c r="L114" s="3">
        <v>5.6</v>
      </c>
      <c r="M114" t="s">
        <v>1036</v>
      </c>
      <c r="N114">
        <v>42.47</v>
      </c>
    </row>
    <row r="115" spans="1:14" x14ac:dyDescent="0.3">
      <c r="A115" t="s">
        <v>125</v>
      </c>
      <c r="B115" t="s">
        <v>1016</v>
      </c>
      <c r="C115" t="s">
        <v>1022</v>
      </c>
      <c r="D115">
        <v>46</v>
      </c>
      <c r="E115">
        <v>11</v>
      </c>
      <c r="F115" s="3">
        <v>32100</v>
      </c>
      <c r="G115">
        <v>42</v>
      </c>
      <c r="H115">
        <v>8</v>
      </c>
      <c r="I115">
        <v>0</v>
      </c>
      <c r="J115">
        <v>39</v>
      </c>
      <c r="K115">
        <v>4.7</v>
      </c>
      <c r="L115" s="3">
        <v>6.9</v>
      </c>
      <c r="M115" t="s">
        <v>1035</v>
      </c>
      <c r="N115">
        <v>68.83</v>
      </c>
    </row>
    <row r="116" spans="1:14" x14ac:dyDescent="0.3">
      <c r="A116" t="s">
        <v>126</v>
      </c>
      <c r="B116" t="s">
        <v>1018</v>
      </c>
      <c r="C116" t="s">
        <v>1028</v>
      </c>
      <c r="D116">
        <v>26</v>
      </c>
      <c r="E116">
        <v>5</v>
      </c>
      <c r="F116" s="3">
        <v>78992</v>
      </c>
      <c r="G116">
        <v>49</v>
      </c>
      <c r="H116">
        <v>15</v>
      </c>
      <c r="I116">
        <v>22</v>
      </c>
      <c r="J116">
        <v>19</v>
      </c>
      <c r="K116">
        <v>3.9</v>
      </c>
      <c r="L116" s="3">
        <v>3.8</v>
      </c>
      <c r="M116" t="s">
        <v>1036</v>
      </c>
      <c r="N116">
        <v>59.5</v>
      </c>
    </row>
    <row r="117" spans="1:14" x14ac:dyDescent="0.3">
      <c r="A117" t="s">
        <v>127</v>
      </c>
      <c r="B117" t="s">
        <v>1014</v>
      </c>
      <c r="C117" t="s">
        <v>1025</v>
      </c>
      <c r="D117">
        <v>41</v>
      </c>
      <c r="E117">
        <v>15</v>
      </c>
      <c r="F117" s="3">
        <v>32610</v>
      </c>
      <c r="G117">
        <v>38</v>
      </c>
      <c r="H117">
        <v>4</v>
      </c>
      <c r="I117">
        <v>17</v>
      </c>
      <c r="J117">
        <v>8</v>
      </c>
      <c r="K117">
        <v>3.2</v>
      </c>
      <c r="L117" s="3">
        <v>5.6</v>
      </c>
      <c r="M117" t="s">
        <v>1036</v>
      </c>
      <c r="N117">
        <v>49.87</v>
      </c>
    </row>
    <row r="118" spans="1:14" x14ac:dyDescent="0.3">
      <c r="A118" t="s">
        <v>128</v>
      </c>
      <c r="B118" t="s">
        <v>1015</v>
      </c>
      <c r="C118" t="s">
        <v>1021</v>
      </c>
      <c r="D118">
        <v>48</v>
      </c>
      <c r="E118">
        <v>4</v>
      </c>
      <c r="F118" s="3">
        <v>83026</v>
      </c>
      <c r="G118">
        <v>48</v>
      </c>
      <c r="H118">
        <v>11</v>
      </c>
      <c r="I118">
        <v>3</v>
      </c>
      <c r="J118">
        <v>31</v>
      </c>
      <c r="K118">
        <v>3.8</v>
      </c>
      <c r="L118" s="3">
        <v>9.6</v>
      </c>
      <c r="M118" t="s">
        <v>1034</v>
      </c>
      <c r="N118">
        <v>87.33</v>
      </c>
    </row>
    <row r="119" spans="1:14" x14ac:dyDescent="0.3">
      <c r="A119" t="s">
        <v>129</v>
      </c>
      <c r="B119" t="s">
        <v>1014</v>
      </c>
      <c r="C119" t="s">
        <v>1025</v>
      </c>
      <c r="D119">
        <v>45</v>
      </c>
      <c r="E119">
        <v>6</v>
      </c>
      <c r="F119" s="3">
        <v>54057</v>
      </c>
      <c r="G119">
        <v>49</v>
      </c>
      <c r="H119">
        <v>4</v>
      </c>
      <c r="I119">
        <v>11</v>
      </c>
      <c r="J119">
        <v>6</v>
      </c>
      <c r="K119">
        <v>4.9000000000000004</v>
      </c>
      <c r="L119" s="3">
        <v>5.6</v>
      </c>
      <c r="M119" t="s">
        <v>1036</v>
      </c>
      <c r="N119">
        <v>54.97</v>
      </c>
    </row>
    <row r="120" spans="1:14" x14ac:dyDescent="0.3">
      <c r="A120" t="s">
        <v>130</v>
      </c>
      <c r="B120" t="s">
        <v>1016</v>
      </c>
      <c r="C120" t="s">
        <v>1022</v>
      </c>
      <c r="D120">
        <v>25</v>
      </c>
      <c r="E120">
        <v>3</v>
      </c>
      <c r="F120" s="3">
        <v>43080</v>
      </c>
      <c r="G120">
        <v>41</v>
      </c>
      <c r="H120">
        <v>2</v>
      </c>
      <c r="I120">
        <v>14</v>
      </c>
      <c r="J120">
        <v>5</v>
      </c>
      <c r="K120">
        <v>4</v>
      </c>
      <c r="L120" s="3">
        <v>7.5</v>
      </c>
      <c r="M120" t="s">
        <v>1035</v>
      </c>
      <c r="N120">
        <v>60.33</v>
      </c>
    </row>
    <row r="121" spans="1:14" x14ac:dyDescent="0.3">
      <c r="A121" t="s">
        <v>131</v>
      </c>
      <c r="B121" t="s">
        <v>1014</v>
      </c>
      <c r="C121" t="s">
        <v>1019</v>
      </c>
      <c r="D121">
        <v>25</v>
      </c>
      <c r="E121">
        <v>2</v>
      </c>
      <c r="F121" s="3">
        <v>40962</v>
      </c>
      <c r="G121">
        <v>39</v>
      </c>
      <c r="H121">
        <v>13</v>
      </c>
      <c r="I121">
        <v>18</v>
      </c>
      <c r="J121">
        <v>13</v>
      </c>
      <c r="K121">
        <v>2.2000000000000002</v>
      </c>
      <c r="L121" s="3">
        <v>8.4</v>
      </c>
      <c r="M121" t="s">
        <v>1034</v>
      </c>
      <c r="N121">
        <v>78.67</v>
      </c>
    </row>
    <row r="122" spans="1:14" x14ac:dyDescent="0.3">
      <c r="A122" t="s">
        <v>132</v>
      </c>
      <c r="B122" t="s">
        <v>1015</v>
      </c>
      <c r="C122" t="s">
        <v>1021</v>
      </c>
      <c r="D122">
        <v>35</v>
      </c>
      <c r="E122">
        <v>13</v>
      </c>
      <c r="F122" s="3">
        <v>81996</v>
      </c>
      <c r="G122">
        <v>42</v>
      </c>
      <c r="H122">
        <v>6</v>
      </c>
      <c r="I122">
        <v>24</v>
      </c>
      <c r="J122">
        <v>9</v>
      </c>
      <c r="K122">
        <v>4.4000000000000004</v>
      </c>
      <c r="L122" s="3">
        <v>7.2</v>
      </c>
      <c r="M122" t="s">
        <v>1035</v>
      </c>
      <c r="N122">
        <v>66.400000000000006</v>
      </c>
    </row>
    <row r="123" spans="1:14" x14ac:dyDescent="0.3">
      <c r="A123" t="s">
        <v>133</v>
      </c>
      <c r="B123" t="s">
        <v>1018</v>
      </c>
      <c r="C123" t="s">
        <v>1028</v>
      </c>
      <c r="D123">
        <v>30</v>
      </c>
      <c r="E123">
        <v>8</v>
      </c>
      <c r="F123" s="3">
        <v>41426</v>
      </c>
      <c r="G123">
        <v>40</v>
      </c>
      <c r="H123">
        <v>2</v>
      </c>
      <c r="I123">
        <v>21</v>
      </c>
      <c r="J123">
        <v>1</v>
      </c>
      <c r="K123">
        <v>2.4</v>
      </c>
      <c r="L123" s="3">
        <v>5.5</v>
      </c>
      <c r="M123" t="s">
        <v>1036</v>
      </c>
      <c r="N123">
        <v>43.53</v>
      </c>
    </row>
    <row r="124" spans="1:14" x14ac:dyDescent="0.3">
      <c r="A124" t="s">
        <v>134</v>
      </c>
      <c r="B124" t="s">
        <v>1015</v>
      </c>
      <c r="C124" t="s">
        <v>1021</v>
      </c>
      <c r="D124">
        <v>42</v>
      </c>
      <c r="E124">
        <v>0</v>
      </c>
      <c r="F124" s="3">
        <v>36419</v>
      </c>
      <c r="G124">
        <v>43</v>
      </c>
      <c r="H124">
        <v>1</v>
      </c>
      <c r="I124">
        <v>4</v>
      </c>
      <c r="J124">
        <v>26</v>
      </c>
      <c r="K124">
        <v>3.6</v>
      </c>
      <c r="L124" s="3">
        <v>8.1999999999999993</v>
      </c>
      <c r="M124" t="s">
        <v>1034</v>
      </c>
      <c r="N124">
        <v>61.67</v>
      </c>
    </row>
    <row r="125" spans="1:14" x14ac:dyDescent="0.3">
      <c r="A125" t="s">
        <v>135</v>
      </c>
      <c r="B125" t="s">
        <v>1017</v>
      </c>
      <c r="C125" t="s">
        <v>1024</v>
      </c>
      <c r="D125">
        <v>45</v>
      </c>
      <c r="E125">
        <v>3</v>
      </c>
      <c r="F125" s="3">
        <v>54622</v>
      </c>
      <c r="G125">
        <v>51</v>
      </c>
      <c r="H125">
        <v>4</v>
      </c>
      <c r="I125">
        <v>19</v>
      </c>
      <c r="J125">
        <v>2</v>
      </c>
      <c r="K125">
        <v>4.2</v>
      </c>
      <c r="L125" s="3">
        <v>9.4</v>
      </c>
      <c r="M125" t="s">
        <v>1034</v>
      </c>
      <c r="N125">
        <v>75.67</v>
      </c>
    </row>
    <row r="126" spans="1:14" x14ac:dyDescent="0.3">
      <c r="A126" t="s">
        <v>136</v>
      </c>
      <c r="B126" t="s">
        <v>1015</v>
      </c>
      <c r="C126" t="s">
        <v>1020</v>
      </c>
      <c r="D126">
        <v>41</v>
      </c>
      <c r="E126">
        <v>14</v>
      </c>
      <c r="F126" s="3">
        <v>67161</v>
      </c>
      <c r="G126">
        <v>35</v>
      </c>
      <c r="H126">
        <v>1</v>
      </c>
      <c r="I126">
        <v>15</v>
      </c>
      <c r="J126">
        <v>25</v>
      </c>
      <c r="K126">
        <v>3.3</v>
      </c>
      <c r="L126" s="3">
        <v>3.8</v>
      </c>
      <c r="M126" t="s">
        <v>1036</v>
      </c>
      <c r="N126">
        <v>34.369999999999997</v>
      </c>
    </row>
    <row r="127" spans="1:14" x14ac:dyDescent="0.3">
      <c r="A127" t="s">
        <v>137</v>
      </c>
      <c r="B127" t="s">
        <v>1017</v>
      </c>
      <c r="C127" t="s">
        <v>1024</v>
      </c>
      <c r="D127">
        <v>26</v>
      </c>
      <c r="E127">
        <v>0</v>
      </c>
      <c r="F127" s="3">
        <v>46109</v>
      </c>
      <c r="G127">
        <v>54</v>
      </c>
      <c r="H127">
        <v>3</v>
      </c>
      <c r="I127">
        <v>2</v>
      </c>
      <c r="J127">
        <v>8</v>
      </c>
      <c r="K127">
        <v>2.8</v>
      </c>
      <c r="L127" s="3">
        <v>7.4</v>
      </c>
      <c r="M127" t="s">
        <v>1035</v>
      </c>
      <c r="N127">
        <v>57.8</v>
      </c>
    </row>
    <row r="128" spans="1:14" x14ac:dyDescent="0.3">
      <c r="A128" t="s">
        <v>138</v>
      </c>
      <c r="B128" t="s">
        <v>1016</v>
      </c>
      <c r="C128" t="s">
        <v>1022</v>
      </c>
      <c r="D128">
        <v>46</v>
      </c>
      <c r="E128">
        <v>9</v>
      </c>
      <c r="F128" s="3">
        <v>54734</v>
      </c>
      <c r="G128">
        <v>51</v>
      </c>
      <c r="H128">
        <v>10</v>
      </c>
      <c r="I128">
        <v>13</v>
      </c>
      <c r="J128">
        <v>6</v>
      </c>
      <c r="K128">
        <v>4.4000000000000004</v>
      </c>
      <c r="L128" s="3">
        <v>3.8</v>
      </c>
      <c r="M128" t="s">
        <v>1036</v>
      </c>
      <c r="N128">
        <v>52.67</v>
      </c>
    </row>
    <row r="129" spans="1:14" x14ac:dyDescent="0.3">
      <c r="A129" t="s">
        <v>139</v>
      </c>
      <c r="B129" t="s">
        <v>1015</v>
      </c>
      <c r="C129" t="s">
        <v>1021</v>
      </c>
      <c r="D129">
        <v>35</v>
      </c>
      <c r="E129">
        <v>6</v>
      </c>
      <c r="F129" s="3">
        <v>54593</v>
      </c>
      <c r="G129">
        <v>42</v>
      </c>
      <c r="H129">
        <v>7</v>
      </c>
      <c r="I129">
        <v>10</v>
      </c>
      <c r="J129">
        <v>29</v>
      </c>
      <c r="K129">
        <v>3.2</v>
      </c>
      <c r="L129" s="3">
        <v>8.1</v>
      </c>
      <c r="M129" t="s">
        <v>1034</v>
      </c>
      <c r="N129">
        <v>69.87</v>
      </c>
    </row>
    <row r="130" spans="1:14" x14ac:dyDescent="0.3">
      <c r="A130" t="s">
        <v>140</v>
      </c>
      <c r="B130" t="s">
        <v>1017</v>
      </c>
      <c r="C130" t="s">
        <v>1026</v>
      </c>
      <c r="D130">
        <v>42</v>
      </c>
      <c r="E130">
        <v>8</v>
      </c>
      <c r="F130" s="3">
        <v>49530</v>
      </c>
      <c r="G130">
        <v>39</v>
      </c>
      <c r="H130">
        <v>11</v>
      </c>
      <c r="I130">
        <v>15</v>
      </c>
      <c r="J130">
        <v>4</v>
      </c>
      <c r="K130">
        <v>2.2999999999999998</v>
      </c>
      <c r="L130" s="3">
        <v>3.6</v>
      </c>
      <c r="M130" t="s">
        <v>1036</v>
      </c>
      <c r="N130">
        <v>46.83</v>
      </c>
    </row>
    <row r="131" spans="1:14" x14ac:dyDescent="0.3">
      <c r="A131" t="s">
        <v>141</v>
      </c>
      <c r="B131" t="s">
        <v>1014</v>
      </c>
      <c r="C131" t="s">
        <v>1031</v>
      </c>
      <c r="D131">
        <v>45</v>
      </c>
      <c r="E131">
        <v>4</v>
      </c>
      <c r="F131" s="3">
        <v>61462</v>
      </c>
      <c r="G131">
        <v>36</v>
      </c>
      <c r="H131">
        <v>10</v>
      </c>
      <c r="I131">
        <v>17</v>
      </c>
      <c r="J131">
        <v>35</v>
      </c>
      <c r="K131">
        <v>3</v>
      </c>
      <c r="L131" s="3">
        <v>3.9</v>
      </c>
      <c r="M131" t="s">
        <v>1036</v>
      </c>
      <c r="N131">
        <v>49.07</v>
      </c>
    </row>
    <row r="132" spans="1:14" x14ac:dyDescent="0.3">
      <c r="A132" t="s">
        <v>142</v>
      </c>
      <c r="B132" t="s">
        <v>1017</v>
      </c>
      <c r="C132" t="s">
        <v>1026</v>
      </c>
      <c r="D132">
        <v>25</v>
      </c>
      <c r="E132">
        <v>2</v>
      </c>
      <c r="F132" s="3">
        <v>64348</v>
      </c>
      <c r="G132">
        <v>44</v>
      </c>
      <c r="H132">
        <v>6</v>
      </c>
      <c r="I132">
        <v>3</v>
      </c>
      <c r="J132">
        <v>36</v>
      </c>
      <c r="K132">
        <v>3.5</v>
      </c>
      <c r="L132" s="3">
        <v>4.0999999999999996</v>
      </c>
      <c r="M132" t="s">
        <v>1036</v>
      </c>
      <c r="N132">
        <v>45.1</v>
      </c>
    </row>
    <row r="133" spans="1:14" x14ac:dyDescent="0.3">
      <c r="A133" t="s">
        <v>143</v>
      </c>
      <c r="B133" t="s">
        <v>1018</v>
      </c>
      <c r="C133" t="s">
        <v>1027</v>
      </c>
      <c r="D133">
        <v>28</v>
      </c>
      <c r="E133">
        <v>5</v>
      </c>
      <c r="F133" s="3">
        <v>80402</v>
      </c>
      <c r="G133">
        <v>52</v>
      </c>
      <c r="H133">
        <v>6</v>
      </c>
      <c r="I133">
        <v>3</v>
      </c>
      <c r="J133">
        <v>17</v>
      </c>
      <c r="K133">
        <v>3.7</v>
      </c>
      <c r="L133" s="3">
        <v>8.6999999999999993</v>
      </c>
      <c r="M133" t="s">
        <v>1034</v>
      </c>
      <c r="N133">
        <v>73.3</v>
      </c>
    </row>
    <row r="134" spans="1:14" x14ac:dyDescent="0.3">
      <c r="A134" t="s">
        <v>144</v>
      </c>
      <c r="B134" t="s">
        <v>1015</v>
      </c>
      <c r="C134" t="s">
        <v>1021</v>
      </c>
      <c r="D134">
        <v>23</v>
      </c>
      <c r="E134">
        <v>2</v>
      </c>
      <c r="F134" s="3">
        <v>85888</v>
      </c>
      <c r="G134">
        <v>43</v>
      </c>
      <c r="H134">
        <v>1</v>
      </c>
      <c r="I134">
        <v>5</v>
      </c>
      <c r="J134">
        <v>17</v>
      </c>
      <c r="K134">
        <v>4.0999999999999996</v>
      </c>
      <c r="L134" s="3">
        <v>5.2</v>
      </c>
      <c r="M134" t="s">
        <v>1036</v>
      </c>
      <c r="N134">
        <v>45.17</v>
      </c>
    </row>
    <row r="135" spans="1:14" x14ac:dyDescent="0.3">
      <c r="A135" t="s">
        <v>145</v>
      </c>
      <c r="B135" t="s">
        <v>1016</v>
      </c>
      <c r="C135" t="s">
        <v>1023</v>
      </c>
      <c r="D135">
        <v>22</v>
      </c>
      <c r="E135">
        <v>0</v>
      </c>
      <c r="F135" s="3">
        <v>82007</v>
      </c>
      <c r="G135">
        <v>39</v>
      </c>
      <c r="H135">
        <v>10</v>
      </c>
      <c r="I135">
        <v>21</v>
      </c>
      <c r="J135">
        <v>25</v>
      </c>
      <c r="K135">
        <v>2.2000000000000002</v>
      </c>
      <c r="L135" s="3">
        <v>8.1999999999999993</v>
      </c>
      <c r="M135" t="s">
        <v>1034</v>
      </c>
      <c r="N135">
        <v>72.47</v>
      </c>
    </row>
    <row r="136" spans="1:14" x14ac:dyDescent="0.3">
      <c r="A136" t="s">
        <v>146</v>
      </c>
      <c r="B136" t="s">
        <v>1014</v>
      </c>
      <c r="C136" t="s">
        <v>1025</v>
      </c>
      <c r="D136">
        <v>55</v>
      </c>
      <c r="E136">
        <v>6</v>
      </c>
      <c r="F136" s="3">
        <v>49654</v>
      </c>
      <c r="G136">
        <v>48</v>
      </c>
      <c r="H136">
        <v>8</v>
      </c>
      <c r="I136">
        <v>10</v>
      </c>
      <c r="J136">
        <v>10</v>
      </c>
      <c r="K136">
        <v>3.1</v>
      </c>
      <c r="L136" s="3">
        <v>8.1</v>
      </c>
      <c r="M136" t="s">
        <v>1034</v>
      </c>
      <c r="N136">
        <v>71.23</v>
      </c>
    </row>
    <row r="137" spans="1:14" x14ac:dyDescent="0.3">
      <c r="A137" t="s">
        <v>147</v>
      </c>
      <c r="B137" t="s">
        <v>1015</v>
      </c>
      <c r="C137" t="s">
        <v>1020</v>
      </c>
      <c r="D137">
        <v>27</v>
      </c>
      <c r="E137">
        <v>0</v>
      </c>
      <c r="F137" s="3">
        <v>35196</v>
      </c>
      <c r="G137">
        <v>40</v>
      </c>
      <c r="H137">
        <v>13</v>
      </c>
      <c r="I137">
        <v>19</v>
      </c>
      <c r="J137">
        <v>3</v>
      </c>
      <c r="K137">
        <v>4</v>
      </c>
      <c r="L137" s="3">
        <v>4.9000000000000004</v>
      </c>
      <c r="M137" t="s">
        <v>1036</v>
      </c>
      <c r="N137">
        <v>63.07</v>
      </c>
    </row>
    <row r="138" spans="1:14" x14ac:dyDescent="0.3">
      <c r="A138" t="s">
        <v>148</v>
      </c>
      <c r="B138" t="s">
        <v>1017</v>
      </c>
      <c r="C138" t="s">
        <v>1026</v>
      </c>
      <c r="D138">
        <v>53</v>
      </c>
      <c r="E138">
        <v>14</v>
      </c>
      <c r="F138" s="3">
        <v>52143</v>
      </c>
      <c r="G138">
        <v>43</v>
      </c>
      <c r="H138">
        <v>4</v>
      </c>
      <c r="I138">
        <v>24</v>
      </c>
      <c r="J138">
        <v>32</v>
      </c>
      <c r="K138">
        <v>2.2999999999999998</v>
      </c>
      <c r="L138" s="3">
        <v>6</v>
      </c>
      <c r="M138" t="s">
        <v>1035</v>
      </c>
      <c r="N138">
        <v>49.57</v>
      </c>
    </row>
    <row r="139" spans="1:14" x14ac:dyDescent="0.3">
      <c r="A139" t="s">
        <v>149</v>
      </c>
      <c r="B139" t="s">
        <v>1015</v>
      </c>
      <c r="C139" t="s">
        <v>1029</v>
      </c>
      <c r="D139">
        <v>53</v>
      </c>
      <c r="E139">
        <v>9</v>
      </c>
      <c r="F139" s="3">
        <v>27976</v>
      </c>
      <c r="G139">
        <v>42</v>
      </c>
      <c r="H139">
        <v>7</v>
      </c>
      <c r="I139">
        <v>19</v>
      </c>
      <c r="J139">
        <v>3</v>
      </c>
      <c r="K139">
        <v>2</v>
      </c>
      <c r="L139" s="3">
        <v>5.0999999999999996</v>
      </c>
      <c r="M139" t="s">
        <v>1036</v>
      </c>
      <c r="N139">
        <v>48.27</v>
      </c>
    </row>
    <row r="140" spans="1:14" x14ac:dyDescent="0.3">
      <c r="A140" t="s">
        <v>150</v>
      </c>
      <c r="B140" t="s">
        <v>1018</v>
      </c>
      <c r="C140" t="s">
        <v>1027</v>
      </c>
      <c r="D140">
        <v>38</v>
      </c>
      <c r="E140">
        <v>9</v>
      </c>
      <c r="F140" s="3">
        <v>46503</v>
      </c>
      <c r="G140">
        <v>38</v>
      </c>
      <c r="H140">
        <v>1</v>
      </c>
      <c r="I140">
        <v>15</v>
      </c>
      <c r="J140">
        <v>27</v>
      </c>
      <c r="K140">
        <v>2.5</v>
      </c>
      <c r="L140" s="3">
        <v>5.7</v>
      </c>
      <c r="M140" t="s">
        <v>1036</v>
      </c>
      <c r="N140">
        <v>43.37</v>
      </c>
    </row>
    <row r="141" spans="1:14" x14ac:dyDescent="0.3">
      <c r="A141" t="s">
        <v>151</v>
      </c>
      <c r="B141" t="s">
        <v>1018</v>
      </c>
      <c r="C141" t="s">
        <v>1028</v>
      </c>
      <c r="D141">
        <v>54</v>
      </c>
      <c r="E141">
        <v>11</v>
      </c>
      <c r="F141" s="3">
        <v>29723</v>
      </c>
      <c r="G141">
        <v>47</v>
      </c>
      <c r="H141">
        <v>14</v>
      </c>
      <c r="I141">
        <v>23</v>
      </c>
      <c r="J141">
        <v>2</v>
      </c>
      <c r="K141">
        <v>3.3</v>
      </c>
      <c r="L141" s="3">
        <v>6.2</v>
      </c>
      <c r="M141" t="s">
        <v>1035</v>
      </c>
      <c r="N141">
        <v>70.430000000000007</v>
      </c>
    </row>
    <row r="142" spans="1:14" x14ac:dyDescent="0.3">
      <c r="A142" t="s">
        <v>152</v>
      </c>
      <c r="B142" t="s">
        <v>1016</v>
      </c>
      <c r="C142" t="s">
        <v>1023</v>
      </c>
      <c r="D142">
        <v>49</v>
      </c>
      <c r="E142">
        <v>12</v>
      </c>
      <c r="F142" s="3">
        <v>71497</v>
      </c>
      <c r="G142">
        <v>55</v>
      </c>
      <c r="H142">
        <v>7</v>
      </c>
      <c r="I142">
        <v>9</v>
      </c>
      <c r="J142">
        <v>7</v>
      </c>
      <c r="K142">
        <v>3.2</v>
      </c>
      <c r="L142" s="3">
        <v>9.8000000000000007</v>
      </c>
      <c r="M142" t="s">
        <v>1034</v>
      </c>
      <c r="N142">
        <v>80.069999999999993</v>
      </c>
    </row>
    <row r="143" spans="1:14" x14ac:dyDescent="0.3">
      <c r="A143" t="s">
        <v>153</v>
      </c>
      <c r="B143" t="s">
        <v>1015</v>
      </c>
      <c r="C143" t="s">
        <v>1029</v>
      </c>
      <c r="D143">
        <v>51</v>
      </c>
      <c r="E143">
        <v>11</v>
      </c>
      <c r="F143" s="3">
        <v>30775</v>
      </c>
      <c r="G143">
        <v>48</v>
      </c>
      <c r="H143">
        <v>14</v>
      </c>
      <c r="I143">
        <v>3</v>
      </c>
      <c r="J143">
        <v>15</v>
      </c>
      <c r="K143">
        <v>3.3</v>
      </c>
      <c r="L143" s="3">
        <v>5.8</v>
      </c>
      <c r="M143" t="s">
        <v>1036</v>
      </c>
      <c r="N143">
        <v>68.03</v>
      </c>
    </row>
    <row r="144" spans="1:14" x14ac:dyDescent="0.3">
      <c r="A144" t="s">
        <v>154</v>
      </c>
      <c r="B144" t="s">
        <v>1017</v>
      </c>
      <c r="C144" t="s">
        <v>1024</v>
      </c>
      <c r="D144">
        <v>41</v>
      </c>
      <c r="E144">
        <v>10</v>
      </c>
      <c r="F144" s="3">
        <v>39520</v>
      </c>
      <c r="G144">
        <v>45</v>
      </c>
      <c r="H144">
        <v>13</v>
      </c>
      <c r="I144">
        <v>5</v>
      </c>
      <c r="J144">
        <v>4</v>
      </c>
      <c r="K144">
        <v>3.5</v>
      </c>
      <c r="L144" s="3">
        <v>3.8</v>
      </c>
      <c r="M144" t="s">
        <v>1036</v>
      </c>
      <c r="N144">
        <v>54.97</v>
      </c>
    </row>
    <row r="145" spans="1:14" x14ac:dyDescent="0.3">
      <c r="A145" t="s">
        <v>155</v>
      </c>
      <c r="B145" t="s">
        <v>1018</v>
      </c>
      <c r="C145" t="s">
        <v>1028</v>
      </c>
      <c r="D145">
        <v>44</v>
      </c>
      <c r="E145">
        <v>11</v>
      </c>
      <c r="F145" s="3">
        <v>72669</v>
      </c>
      <c r="G145">
        <v>55</v>
      </c>
      <c r="H145">
        <v>14</v>
      </c>
      <c r="I145">
        <v>4</v>
      </c>
      <c r="J145">
        <v>15</v>
      </c>
      <c r="K145">
        <v>2.2999999999999998</v>
      </c>
      <c r="L145" s="3">
        <v>4.8</v>
      </c>
      <c r="M145" t="s">
        <v>1036</v>
      </c>
      <c r="N145">
        <v>59.03</v>
      </c>
    </row>
    <row r="146" spans="1:14" x14ac:dyDescent="0.3">
      <c r="A146" t="s">
        <v>156</v>
      </c>
      <c r="B146" t="s">
        <v>1015</v>
      </c>
      <c r="C146" t="s">
        <v>1020</v>
      </c>
      <c r="D146">
        <v>31</v>
      </c>
      <c r="E146">
        <v>10</v>
      </c>
      <c r="F146" s="3">
        <v>29938</v>
      </c>
      <c r="G146">
        <v>40</v>
      </c>
      <c r="H146">
        <v>13</v>
      </c>
      <c r="I146">
        <v>20</v>
      </c>
      <c r="J146">
        <v>31</v>
      </c>
      <c r="K146">
        <v>3.4</v>
      </c>
      <c r="L146" s="3">
        <v>6.9</v>
      </c>
      <c r="M146" t="s">
        <v>1035</v>
      </c>
      <c r="N146">
        <v>73.27</v>
      </c>
    </row>
    <row r="147" spans="1:14" x14ac:dyDescent="0.3">
      <c r="A147" t="s">
        <v>157</v>
      </c>
      <c r="B147" t="s">
        <v>1017</v>
      </c>
      <c r="C147" t="s">
        <v>1024</v>
      </c>
      <c r="D147">
        <v>42</v>
      </c>
      <c r="E147">
        <v>10</v>
      </c>
      <c r="F147" s="3">
        <v>34893</v>
      </c>
      <c r="G147">
        <v>49</v>
      </c>
      <c r="H147">
        <v>2</v>
      </c>
      <c r="I147">
        <v>15</v>
      </c>
      <c r="J147">
        <v>28</v>
      </c>
      <c r="K147">
        <v>3.9</v>
      </c>
      <c r="L147" s="3">
        <v>8.6</v>
      </c>
      <c r="M147" t="s">
        <v>1034</v>
      </c>
      <c r="N147">
        <v>66.63</v>
      </c>
    </row>
    <row r="148" spans="1:14" x14ac:dyDescent="0.3">
      <c r="A148" t="s">
        <v>158</v>
      </c>
      <c r="B148" t="s">
        <v>1014</v>
      </c>
      <c r="C148" t="s">
        <v>1025</v>
      </c>
      <c r="D148">
        <v>44</v>
      </c>
      <c r="E148">
        <v>2</v>
      </c>
      <c r="F148" s="3">
        <v>45342</v>
      </c>
      <c r="G148">
        <v>49</v>
      </c>
      <c r="H148">
        <v>8</v>
      </c>
      <c r="I148">
        <v>1</v>
      </c>
      <c r="J148">
        <v>3</v>
      </c>
      <c r="K148">
        <v>3.1</v>
      </c>
      <c r="L148" s="3">
        <v>5</v>
      </c>
      <c r="M148" t="s">
        <v>1036</v>
      </c>
      <c r="N148">
        <v>52.63</v>
      </c>
    </row>
    <row r="149" spans="1:14" x14ac:dyDescent="0.3">
      <c r="A149" t="s">
        <v>159</v>
      </c>
      <c r="B149" t="s">
        <v>1014</v>
      </c>
      <c r="C149" t="s">
        <v>1025</v>
      </c>
      <c r="D149">
        <v>54</v>
      </c>
      <c r="E149">
        <v>12</v>
      </c>
      <c r="F149" s="3">
        <v>55324</v>
      </c>
      <c r="G149">
        <v>53</v>
      </c>
      <c r="H149">
        <v>9</v>
      </c>
      <c r="I149">
        <v>25</v>
      </c>
      <c r="J149">
        <v>2</v>
      </c>
      <c r="K149">
        <v>3.3</v>
      </c>
      <c r="L149" s="3">
        <v>8.6999999999999993</v>
      </c>
      <c r="M149" t="s">
        <v>1034</v>
      </c>
      <c r="N149">
        <v>77.099999999999994</v>
      </c>
    </row>
    <row r="150" spans="1:14" x14ac:dyDescent="0.3">
      <c r="A150" t="s">
        <v>160</v>
      </c>
      <c r="B150" t="s">
        <v>1018</v>
      </c>
      <c r="C150" t="s">
        <v>1027</v>
      </c>
      <c r="D150">
        <v>42</v>
      </c>
      <c r="E150">
        <v>15</v>
      </c>
      <c r="F150" s="3">
        <v>57857</v>
      </c>
      <c r="G150">
        <v>39</v>
      </c>
      <c r="H150">
        <v>1</v>
      </c>
      <c r="I150">
        <v>14</v>
      </c>
      <c r="J150">
        <v>6</v>
      </c>
      <c r="K150">
        <v>4.4000000000000004</v>
      </c>
      <c r="L150" s="3">
        <v>8.9</v>
      </c>
      <c r="M150" t="s">
        <v>1034</v>
      </c>
      <c r="N150">
        <v>68.27</v>
      </c>
    </row>
    <row r="151" spans="1:14" x14ac:dyDescent="0.3">
      <c r="A151" t="s">
        <v>161</v>
      </c>
      <c r="B151" t="s">
        <v>1014</v>
      </c>
      <c r="C151" t="s">
        <v>1031</v>
      </c>
      <c r="D151">
        <v>54</v>
      </c>
      <c r="E151">
        <v>5</v>
      </c>
      <c r="F151" s="3">
        <v>27565</v>
      </c>
      <c r="G151">
        <v>42</v>
      </c>
      <c r="H151">
        <v>12</v>
      </c>
      <c r="I151">
        <v>14</v>
      </c>
      <c r="J151">
        <v>28</v>
      </c>
      <c r="K151">
        <v>3.6</v>
      </c>
      <c r="L151" s="3">
        <v>7.3</v>
      </c>
      <c r="M151" t="s">
        <v>1035</v>
      </c>
      <c r="N151">
        <v>74.599999999999994</v>
      </c>
    </row>
    <row r="152" spans="1:14" x14ac:dyDescent="0.3">
      <c r="A152" t="s">
        <v>162</v>
      </c>
      <c r="B152" t="s">
        <v>1016</v>
      </c>
      <c r="C152" t="s">
        <v>1023</v>
      </c>
      <c r="D152">
        <v>40</v>
      </c>
      <c r="E152">
        <v>12</v>
      </c>
      <c r="F152" s="3">
        <v>51789</v>
      </c>
      <c r="G152">
        <v>45</v>
      </c>
      <c r="H152">
        <v>11</v>
      </c>
      <c r="I152">
        <v>19</v>
      </c>
      <c r="J152">
        <v>3</v>
      </c>
      <c r="K152">
        <v>4.4000000000000004</v>
      </c>
      <c r="L152" s="3">
        <v>7.5</v>
      </c>
      <c r="M152" t="s">
        <v>1035</v>
      </c>
      <c r="N152">
        <v>76.53</v>
      </c>
    </row>
    <row r="153" spans="1:14" x14ac:dyDescent="0.3">
      <c r="A153" t="s">
        <v>163</v>
      </c>
      <c r="B153" t="s">
        <v>1016</v>
      </c>
      <c r="C153" t="s">
        <v>1022</v>
      </c>
      <c r="D153">
        <v>28</v>
      </c>
      <c r="E153">
        <v>6</v>
      </c>
      <c r="F153" s="3">
        <v>43621</v>
      </c>
      <c r="G153">
        <v>43</v>
      </c>
      <c r="H153">
        <v>12</v>
      </c>
      <c r="I153">
        <v>21</v>
      </c>
      <c r="J153">
        <v>38</v>
      </c>
      <c r="K153">
        <v>4.5999999999999996</v>
      </c>
      <c r="L153" s="3">
        <v>5.3</v>
      </c>
      <c r="M153" t="s">
        <v>1036</v>
      </c>
      <c r="N153">
        <v>65.599999999999994</v>
      </c>
    </row>
    <row r="154" spans="1:14" x14ac:dyDescent="0.3">
      <c r="A154" t="s">
        <v>164</v>
      </c>
      <c r="B154" t="s">
        <v>1018</v>
      </c>
      <c r="C154" t="s">
        <v>1028</v>
      </c>
      <c r="D154">
        <v>44</v>
      </c>
      <c r="E154">
        <v>9</v>
      </c>
      <c r="F154" s="3">
        <v>88418</v>
      </c>
      <c r="G154">
        <v>55</v>
      </c>
      <c r="H154">
        <v>12</v>
      </c>
      <c r="I154">
        <v>21</v>
      </c>
      <c r="J154">
        <v>25</v>
      </c>
      <c r="K154">
        <v>2.4</v>
      </c>
      <c r="L154" s="3">
        <v>8</v>
      </c>
      <c r="M154" t="s">
        <v>1034</v>
      </c>
      <c r="N154">
        <v>75.2</v>
      </c>
    </row>
    <row r="155" spans="1:14" x14ac:dyDescent="0.3">
      <c r="A155" t="s">
        <v>165</v>
      </c>
      <c r="B155" t="s">
        <v>1016</v>
      </c>
      <c r="C155" t="s">
        <v>1022</v>
      </c>
      <c r="D155">
        <v>46</v>
      </c>
      <c r="E155">
        <v>10</v>
      </c>
      <c r="F155" s="3">
        <v>78292</v>
      </c>
      <c r="G155">
        <v>39</v>
      </c>
      <c r="H155">
        <v>11</v>
      </c>
      <c r="I155">
        <v>22</v>
      </c>
      <c r="J155">
        <v>33</v>
      </c>
      <c r="K155">
        <v>2.2999999999999998</v>
      </c>
      <c r="L155" s="3">
        <v>7.7</v>
      </c>
      <c r="M155" t="s">
        <v>1035</v>
      </c>
      <c r="N155">
        <v>71.430000000000007</v>
      </c>
    </row>
    <row r="156" spans="1:14" x14ac:dyDescent="0.3">
      <c r="A156" t="s">
        <v>166</v>
      </c>
      <c r="B156" t="s">
        <v>1016</v>
      </c>
      <c r="C156" t="s">
        <v>1023</v>
      </c>
      <c r="D156">
        <v>23</v>
      </c>
      <c r="E156">
        <v>1</v>
      </c>
      <c r="F156" s="3">
        <v>45241</v>
      </c>
      <c r="G156">
        <v>40</v>
      </c>
      <c r="H156">
        <v>4</v>
      </c>
      <c r="I156">
        <v>10</v>
      </c>
      <c r="J156">
        <v>31</v>
      </c>
      <c r="K156">
        <v>2.6</v>
      </c>
      <c r="L156" s="3">
        <v>10</v>
      </c>
      <c r="M156" t="s">
        <v>1034</v>
      </c>
      <c r="N156">
        <v>74.47</v>
      </c>
    </row>
    <row r="157" spans="1:14" x14ac:dyDescent="0.3">
      <c r="A157" t="s">
        <v>167</v>
      </c>
      <c r="B157" t="s">
        <v>1014</v>
      </c>
      <c r="C157" t="s">
        <v>1025</v>
      </c>
      <c r="D157">
        <v>40</v>
      </c>
      <c r="E157">
        <v>3</v>
      </c>
      <c r="F157" s="3">
        <v>58271</v>
      </c>
      <c r="G157">
        <v>52</v>
      </c>
      <c r="H157">
        <v>14</v>
      </c>
      <c r="I157">
        <v>23</v>
      </c>
      <c r="J157">
        <v>33</v>
      </c>
      <c r="K157">
        <v>2.1</v>
      </c>
      <c r="L157" s="3">
        <v>5.4</v>
      </c>
      <c r="M157" t="s">
        <v>1036</v>
      </c>
      <c r="N157">
        <v>62.03</v>
      </c>
    </row>
    <row r="158" spans="1:14" x14ac:dyDescent="0.3">
      <c r="A158" t="s">
        <v>168</v>
      </c>
      <c r="B158" t="s">
        <v>1018</v>
      </c>
      <c r="C158" t="s">
        <v>1032</v>
      </c>
      <c r="D158">
        <v>46</v>
      </c>
      <c r="E158">
        <v>4</v>
      </c>
      <c r="F158" s="3">
        <v>35633</v>
      </c>
      <c r="G158">
        <v>40</v>
      </c>
      <c r="H158">
        <v>14</v>
      </c>
      <c r="I158">
        <v>22</v>
      </c>
      <c r="J158">
        <v>39</v>
      </c>
      <c r="K158">
        <v>4.4000000000000004</v>
      </c>
      <c r="L158" s="3">
        <v>4.2</v>
      </c>
      <c r="M158" t="s">
        <v>1036</v>
      </c>
      <c r="N158">
        <v>61.73</v>
      </c>
    </row>
    <row r="159" spans="1:14" x14ac:dyDescent="0.3">
      <c r="A159" t="s">
        <v>169</v>
      </c>
      <c r="B159" t="s">
        <v>1014</v>
      </c>
      <c r="C159" t="s">
        <v>1019</v>
      </c>
      <c r="D159">
        <v>48</v>
      </c>
      <c r="E159">
        <v>11</v>
      </c>
      <c r="F159" s="3">
        <v>69326</v>
      </c>
      <c r="G159">
        <v>42</v>
      </c>
      <c r="H159">
        <v>8</v>
      </c>
      <c r="I159">
        <v>19</v>
      </c>
      <c r="J159">
        <v>18</v>
      </c>
      <c r="K159">
        <v>4.3</v>
      </c>
      <c r="L159" s="3">
        <v>8.5</v>
      </c>
      <c r="M159" t="s">
        <v>1034</v>
      </c>
      <c r="N159">
        <v>77.23</v>
      </c>
    </row>
    <row r="160" spans="1:14" x14ac:dyDescent="0.3">
      <c r="A160" t="s">
        <v>170</v>
      </c>
      <c r="B160" t="s">
        <v>1015</v>
      </c>
      <c r="C160" t="s">
        <v>1021</v>
      </c>
      <c r="D160">
        <v>37</v>
      </c>
      <c r="E160">
        <v>9</v>
      </c>
      <c r="F160" s="3">
        <v>88281</v>
      </c>
      <c r="G160">
        <v>50</v>
      </c>
      <c r="H160">
        <v>15</v>
      </c>
      <c r="I160">
        <v>6</v>
      </c>
      <c r="J160">
        <v>23</v>
      </c>
      <c r="K160">
        <v>4</v>
      </c>
      <c r="L160" s="3">
        <v>7</v>
      </c>
      <c r="M160" t="s">
        <v>1035</v>
      </c>
      <c r="N160">
        <v>79</v>
      </c>
    </row>
    <row r="161" spans="1:14" x14ac:dyDescent="0.3">
      <c r="A161" t="s">
        <v>171</v>
      </c>
      <c r="B161" t="s">
        <v>1017</v>
      </c>
      <c r="C161" t="s">
        <v>1026</v>
      </c>
      <c r="D161">
        <v>40</v>
      </c>
      <c r="E161">
        <v>12</v>
      </c>
      <c r="F161" s="3">
        <v>57958</v>
      </c>
      <c r="G161">
        <v>51</v>
      </c>
      <c r="H161">
        <v>7</v>
      </c>
      <c r="I161">
        <v>5</v>
      </c>
      <c r="J161">
        <v>12</v>
      </c>
      <c r="K161">
        <v>4.4000000000000004</v>
      </c>
      <c r="L161" s="3">
        <v>4</v>
      </c>
      <c r="M161" t="s">
        <v>1036</v>
      </c>
      <c r="N161">
        <v>48.87</v>
      </c>
    </row>
    <row r="162" spans="1:14" x14ac:dyDescent="0.3">
      <c r="A162" t="s">
        <v>172</v>
      </c>
      <c r="B162" t="s">
        <v>1014</v>
      </c>
      <c r="C162" t="s">
        <v>1031</v>
      </c>
      <c r="D162">
        <v>52</v>
      </c>
      <c r="E162">
        <v>11</v>
      </c>
      <c r="F162" s="3">
        <v>61342</v>
      </c>
      <c r="G162">
        <v>38</v>
      </c>
      <c r="H162">
        <v>12</v>
      </c>
      <c r="I162">
        <v>16</v>
      </c>
      <c r="J162">
        <v>7</v>
      </c>
      <c r="K162">
        <v>2.9</v>
      </c>
      <c r="L162" s="3">
        <v>8.3000000000000007</v>
      </c>
      <c r="M162" t="s">
        <v>1034</v>
      </c>
      <c r="N162">
        <v>78.5</v>
      </c>
    </row>
    <row r="163" spans="1:14" x14ac:dyDescent="0.3">
      <c r="A163" t="s">
        <v>173</v>
      </c>
      <c r="B163" t="s">
        <v>1017</v>
      </c>
      <c r="C163" t="s">
        <v>1026</v>
      </c>
      <c r="D163">
        <v>54</v>
      </c>
      <c r="E163">
        <v>4</v>
      </c>
      <c r="F163" s="3">
        <v>79463</v>
      </c>
      <c r="G163">
        <v>48</v>
      </c>
      <c r="H163">
        <v>2</v>
      </c>
      <c r="I163">
        <v>7</v>
      </c>
      <c r="J163">
        <v>28</v>
      </c>
      <c r="K163">
        <v>4.7</v>
      </c>
      <c r="L163" s="3">
        <v>9.5</v>
      </c>
      <c r="M163" t="s">
        <v>1034</v>
      </c>
      <c r="N163">
        <v>74.430000000000007</v>
      </c>
    </row>
    <row r="164" spans="1:14" x14ac:dyDescent="0.3">
      <c r="A164" t="s">
        <v>174</v>
      </c>
      <c r="B164" t="s">
        <v>1014</v>
      </c>
      <c r="C164" t="s">
        <v>1025</v>
      </c>
      <c r="D164">
        <v>47</v>
      </c>
      <c r="E164">
        <v>11</v>
      </c>
      <c r="F164" s="3">
        <v>40451</v>
      </c>
      <c r="G164">
        <v>47</v>
      </c>
      <c r="H164">
        <v>2</v>
      </c>
      <c r="I164">
        <v>11</v>
      </c>
      <c r="J164">
        <v>14</v>
      </c>
      <c r="K164">
        <v>2.1</v>
      </c>
      <c r="L164" s="3">
        <v>9.5</v>
      </c>
      <c r="M164" t="s">
        <v>1034</v>
      </c>
      <c r="N164">
        <v>66.63</v>
      </c>
    </row>
    <row r="165" spans="1:14" x14ac:dyDescent="0.3">
      <c r="A165" t="s">
        <v>175</v>
      </c>
      <c r="B165" t="s">
        <v>1016</v>
      </c>
      <c r="C165" t="s">
        <v>1022</v>
      </c>
      <c r="D165">
        <v>31</v>
      </c>
      <c r="E165">
        <v>2</v>
      </c>
      <c r="F165" s="3">
        <v>27510</v>
      </c>
      <c r="G165">
        <v>44</v>
      </c>
      <c r="H165">
        <v>15</v>
      </c>
      <c r="I165">
        <v>15</v>
      </c>
      <c r="J165">
        <v>8</v>
      </c>
      <c r="K165">
        <v>4.3</v>
      </c>
      <c r="L165" s="3">
        <v>6.3</v>
      </c>
      <c r="M165" t="s">
        <v>1035</v>
      </c>
      <c r="N165">
        <v>75.7</v>
      </c>
    </row>
    <row r="166" spans="1:14" x14ac:dyDescent="0.3">
      <c r="A166" t="s">
        <v>176</v>
      </c>
      <c r="B166" t="s">
        <v>1014</v>
      </c>
      <c r="C166" t="s">
        <v>1031</v>
      </c>
      <c r="D166">
        <v>27</v>
      </c>
      <c r="E166">
        <v>0</v>
      </c>
      <c r="F166" s="3">
        <v>41772</v>
      </c>
      <c r="G166">
        <v>41</v>
      </c>
      <c r="H166">
        <v>14</v>
      </c>
      <c r="I166">
        <v>4</v>
      </c>
      <c r="J166">
        <v>35</v>
      </c>
      <c r="K166">
        <v>4.8</v>
      </c>
      <c r="L166" s="3">
        <v>7.3</v>
      </c>
      <c r="M166" t="s">
        <v>1035</v>
      </c>
      <c r="N166">
        <v>81.53</v>
      </c>
    </row>
    <row r="167" spans="1:14" x14ac:dyDescent="0.3">
      <c r="A167" t="s">
        <v>177</v>
      </c>
      <c r="B167" t="s">
        <v>1014</v>
      </c>
      <c r="C167" t="s">
        <v>1019</v>
      </c>
      <c r="D167">
        <v>40</v>
      </c>
      <c r="E167">
        <v>7</v>
      </c>
      <c r="F167" s="3">
        <v>44736</v>
      </c>
      <c r="G167">
        <v>38</v>
      </c>
      <c r="H167">
        <v>1</v>
      </c>
      <c r="I167">
        <v>7</v>
      </c>
      <c r="J167">
        <v>26</v>
      </c>
      <c r="K167">
        <v>3.9</v>
      </c>
      <c r="L167" s="3">
        <v>7.4</v>
      </c>
      <c r="M167" t="s">
        <v>1035</v>
      </c>
      <c r="N167">
        <v>57.77</v>
      </c>
    </row>
    <row r="168" spans="1:14" x14ac:dyDescent="0.3">
      <c r="A168" t="s">
        <v>178</v>
      </c>
      <c r="B168" t="s">
        <v>1014</v>
      </c>
      <c r="C168" t="s">
        <v>1031</v>
      </c>
      <c r="D168">
        <v>53</v>
      </c>
      <c r="E168">
        <v>0</v>
      </c>
      <c r="F168" s="3">
        <v>66415</v>
      </c>
      <c r="G168">
        <v>51</v>
      </c>
      <c r="H168">
        <v>10</v>
      </c>
      <c r="I168">
        <v>7</v>
      </c>
      <c r="J168">
        <v>9</v>
      </c>
      <c r="K168">
        <v>2.9</v>
      </c>
      <c r="L168" s="3">
        <v>3</v>
      </c>
      <c r="M168" t="s">
        <v>1036</v>
      </c>
      <c r="N168">
        <v>43.37</v>
      </c>
    </row>
    <row r="169" spans="1:14" x14ac:dyDescent="0.3">
      <c r="A169" t="s">
        <v>179</v>
      </c>
      <c r="B169" t="s">
        <v>1018</v>
      </c>
      <c r="C169" t="s">
        <v>1027</v>
      </c>
      <c r="D169">
        <v>48</v>
      </c>
      <c r="E169">
        <v>5</v>
      </c>
      <c r="F169" s="3">
        <v>68540</v>
      </c>
      <c r="G169">
        <v>37</v>
      </c>
      <c r="H169">
        <v>9</v>
      </c>
      <c r="I169">
        <v>11</v>
      </c>
      <c r="J169">
        <v>4</v>
      </c>
      <c r="K169">
        <v>4.9000000000000004</v>
      </c>
      <c r="L169" s="3">
        <v>6.8</v>
      </c>
      <c r="M169" t="s">
        <v>1035</v>
      </c>
      <c r="N169">
        <v>70.5</v>
      </c>
    </row>
    <row r="170" spans="1:14" x14ac:dyDescent="0.3">
      <c r="A170" t="s">
        <v>180</v>
      </c>
      <c r="B170" t="s">
        <v>1015</v>
      </c>
      <c r="C170" t="s">
        <v>1029</v>
      </c>
      <c r="D170">
        <v>23</v>
      </c>
      <c r="E170">
        <v>1</v>
      </c>
      <c r="F170" s="3">
        <v>82234</v>
      </c>
      <c r="G170">
        <v>50</v>
      </c>
      <c r="H170">
        <v>1</v>
      </c>
      <c r="I170">
        <v>20</v>
      </c>
      <c r="J170">
        <v>24</v>
      </c>
      <c r="K170">
        <v>4.9000000000000004</v>
      </c>
      <c r="L170" s="3">
        <v>4.8</v>
      </c>
      <c r="M170" t="s">
        <v>1036</v>
      </c>
      <c r="N170">
        <v>45.17</v>
      </c>
    </row>
    <row r="171" spans="1:14" x14ac:dyDescent="0.3">
      <c r="A171" t="s">
        <v>181</v>
      </c>
      <c r="B171" t="s">
        <v>1016</v>
      </c>
      <c r="C171" t="s">
        <v>1023</v>
      </c>
      <c r="D171">
        <v>26</v>
      </c>
      <c r="E171">
        <v>2</v>
      </c>
      <c r="F171" s="3">
        <v>40802</v>
      </c>
      <c r="G171">
        <v>55</v>
      </c>
      <c r="H171">
        <v>2</v>
      </c>
      <c r="I171">
        <v>24</v>
      </c>
      <c r="J171">
        <v>37</v>
      </c>
      <c r="K171">
        <v>4.2</v>
      </c>
      <c r="L171" s="3">
        <v>5.3</v>
      </c>
      <c r="M171" t="s">
        <v>1036</v>
      </c>
      <c r="N171">
        <v>47.73</v>
      </c>
    </row>
    <row r="172" spans="1:14" x14ac:dyDescent="0.3">
      <c r="A172" t="s">
        <v>182</v>
      </c>
      <c r="B172" t="s">
        <v>1016</v>
      </c>
      <c r="C172" t="s">
        <v>1022</v>
      </c>
      <c r="D172">
        <v>43</v>
      </c>
      <c r="E172">
        <v>5</v>
      </c>
      <c r="F172" s="3">
        <v>79420</v>
      </c>
      <c r="G172">
        <v>49</v>
      </c>
      <c r="H172">
        <v>12</v>
      </c>
      <c r="I172">
        <v>15</v>
      </c>
      <c r="J172">
        <v>40</v>
      </c>
      <c r="K172">
        <v>2.5</v>
      </c>
      <c r="L172" s="3">
        <v>3.9</v>
      </c>
      <c r="M172" t="s">
        <v>1036</v>
      </c>
      <c r="N172">
        <v>50.9</v>
      </c>
    </row>
    <row r="173" spans="1:14" x14ac:dyDescent="0.3">
      <c r="A173" t="s">
        <v>183</v>
      </c>
      <c r="B173" t="s">
        <v>1017</v>
      </c>
      <c r="C173" t="s">
        <v>1026</v>
      </c>
      <c r="D173">
        <v>24</v>
      </c>
      <c r="E173">
        <v>2</v>
      </c>
      <c r="F173" s="3">
        <v>38211</v>
      </c>
      <c r="G173">
        <v>36</v>
      </c>
      <c r="H173">
        <v>13</v>
      </c>
      <c r="I173">
        <v>6</v>
      </c>
      <c r="J173">
        <v>2</v>
      </c>
      <c r="K173">
        <v>2.9</v>
      </c>
      <c r="L173" s="3">
        <v>5.2</v>
      </c>
      <c r="M173" t="s">
        <v>1036</v>
      </c>
      <c r="N173">
        <v>61.57</v>
      </c>
    </row>
    <row r="174" spans="1:14" x14ac:dyDescent="0.3">
      <c r="A174" t="s">
        <v>184</v>
      </c>
      <c r="B174" t="s">
        <v>1015</v>
      </c>
      <c r="C174" t="s">
        <v>1020</v>
      </c>
      <c r="D174">
        <v>52</v>
      </c>
      <c r="E174">
        <v>8</v>
      </c>
      <c r="F174" s="3">
        <v>27399</v>
      </c>
      <c r="G174">
        <v>55</v>
      </c>
      <c r="H174">
        <v>4</v>
      </c>
      <c r="I174">
        <v>9</v>
      </c>
      <c r="J174">
        <v>22</v>
      </c>
      <c r="K174">
        <v>4.5999999999999996</v>
      </c>
      <c r="L174" s="3">
        <v>3.3</v>
      </c>
      <c r="M174" t="s">
        <v>1036</v>
      </c>
      <c r="N174">
        <v>40.270000000000003</v>
      </c>
    </row>
    <row r="175" spans="1:14" x14ac:dyDescent="0.3">
      <c r="A175" t="s">
        <v>185</v>
      </c>
      <c r="B175" t="s">
        <v>1016</v>
      </c>
      <c r="C175" t="s">
        <v>1023</v>
      </c>
      <c r="D175">
        <v>39</v>
      </c>
      <c r="E175">
        <v>3</v>
      </c>
      <c r="F175" s="3">
        <v>77385</v>
      </c>
      <c r="G175">
        <v>46</v>
      </c>
      <c r="H175">
        <v>7</v>
      </c>
      <c r="I175">
        <v>12</v>
      </c>
      <c r="J175">
        <v>28</v>
      </c>
      <c r="K175">
        <v>4.7</v>
      </c>
      <c r="L175" s="3">
        <v>5.7</v>
      </c>
      <c r="M175" t="s">
        <v>1036</v>
      </c>
      <c r="N175">
        <v>59.97</v>
      </c>
    </row>
    <row r="176" spans="1:14" x14ac:dyDescent="0.3">
      <c r="A176" t="s">
        <v>186</v>
      </c>
      <c r="B176" t="s">
        <v>1017</v>
      </c>
      <c r="C176" t="s">
        <v>1024</v>
      </c>
      <c r="D176">
        <v>53</v>
      </c>
      <c r="E176">
        <v>11</v>
      </c>
      <c r="F176" s="3">
        <v>85575</v>
      </c>
      <c r="G176">
        <v>51</v>
      </c>
      <c r="H176">
        <v>5</v>
      </c>
      <c r="I176">
        <v>25</v>
      </c>
      <c r="J176">
        <v>5</v>
      </c>
      <c r="K176">
        <v>4.2</v>
      </c>
      <c r="L176" s="3">
        <v>3.6</v>
      </c>
      <c r="M176" t="s">
        <v>1036</v>
      </c>
      <c r="N176">
        <v>42.53</v>
      </c>
    </row>
    <row r="177" spans="1:14" x14ac:dyDescent="0.3">
      <c r="A177" t="s">
        <v>187</v>
      </c>
      <c r="B177" t="s">
        <v>1018</v>
      </c>
      <c r="C177" t="s">
        <v>1032</v>
      </c>
      <c r="D177">
        <v>40</v>
      </c>
      <c r="E177">
        <v>10</v>
      </c>
      <c r="F177" s="3">
        <v>31723</v>
      </c>
      <c r="G177">
        <v>37</v>
      </c>
      <c r="H177">
        <v>6</v>
      </c>
      <c r="I177">
        <v>21</v>
      </c>
      <c r="J177">
        <v>18</v>
      </c>
      <c r="K177">
        <v>2.9</v>
      </c>
      <c r="L177" s="3">
        <v>7.2</v>
      </c>
      <c r="M177" t="s">
        <v>1035</v>
      </c>
      <c r="N177">
        <v>61.9</v>
      </c>
    </row>
    <row r="178" spans="1:14" x14ac:dyDescent="0.3">
      <c r="A178" t="s">
        <v>188</v>
      </c>
      <c r="B178" t="s">
        <v>1018</v>
      </c>
      <c r="C178" t="s">
        <v>1028</v>
      </c>
      <c r="D178">
        <v>50</v>
      </c>
      <c r="E178">
        <v>11</v>
      </c>
      <c r="F178" s="3">
        <v>54303</v>
      </c>
      <c r="G178">
        <v>36</v>
      </c>
      <c r="H178">
        <v>12</v>
      </c>
      <c r="I178">
        <v>11</v>
      </c>
      <c r="J178">
        <v>39</v>
      </c>
      <c r="K178">
        <v>5</v>
      </c>
      <c r="L178" s="3">
        <v>4.9000000000000004</v>
      </c>
      <c r="M178" t="s">
        <v>1036</v>
      </c>
      <c r="N178">
        <v>64.400000000000006</v>
      </c>
    </row>
    <row r="179" spans="1:14" x14ac:dyDescent="0.3">
      <c r="A179" t="s">
        <v>189</v>
      </c>
      <c r="B179" t="s">
        <v>1014</v>
      </c>
      <c r="C179" t="s">
        <v>1019</v>
      </c>
      <c r="D179">
        <v>47</v>
      </c>
      <c r="E179">
        <v>11</v>
      </c>
      <c r="F179" s="3">
        <v>58625</v>
      </c>
      <c r="G179">
        <v>40</v>
      </c>
      <c r="H179">
        <v>1</v>
      </c>
      <c r="I179">
        <v>4</v>
      </c>
      <c r="J179">
        <v>38</v>
      </c>
      <c r="K179">
        <v>4</v>
      </c>
      <c r="L179" s="3">
        <v>6.1</v>
      </c>
      <c r="M179" t="s">
        <v>1035</v>
      </c>
      <c r="N179">
        <v>50.27</v>
      </c>
    </row>
    <row r="180" spans="1:14" x14ac:dyDescent="0.3">
      <c r="A180" t="s">
        <v>190</v>
      </c>
      <c r="B180" t="s">
        <v>1014</v>
      </c>
      <c r="C180" t="s">
        <v>1031</v>
      </c>
      <c r="D180">
        <v>37</v>
      </c>
      <c r="E180">
        <v>11</v>
      </c>
      <c r="F180" s="3">
        <v>48733</v>
      </c>
      <c r="G180">
        <v>47</v>
      </c>
      <c r="H180">
        <v>10</v>
      </c>
      <c r="I180">
        <v>1</v>
      </c>
      <c r="J180">
        <v>38</v>
      </c>
      <c r="K180">
        <v>2.5</v>
      </c>
      <c r="L180" s="3">
        <v>6.1</v>
      </c>
      <c r="M180" t="s">
        <v>1035</v>
      </c>
      <c r="N180">
        <v>60.77</v>
      </c>
    </row>
    <row r="181" spans="1:14" x14ac:dyDescent="0.3">
      <c r="A181" t="s">
        <v>191</v>
      </c>
      <c r="B181" t="s">
        <v>1016</v>
      </c>
      <c r="C181" t="s">
        <v>1023</v>
      </c>
      <c r="D181">
        <v>50</v>
      </c>
      <c r="E181">
        <v>2</v>
      </c>
      <c r="F181" s="3">
        <v>62612</v>
      </c>
      <c r="G181">
        <v>39</v>
      </c>
      <c r="H181">
        <v>9</v>
      </c>
      <c r="I181">
        <v>11</v>
      </c>
      <c r="J181">
        <v>25</v>
      </c>
      <c r="K181">
        <v>2.9</v>
      </c>
      <c r="L181" s="3">
        <v>5</v>
      </c>
      <c r="M181" t="s">
        <v>1036</v>
      </c>
      <c r="N181">
        <v>53.7</v>
      </c>
    </row>
    <row r="182" spans="1:14" x14ac:dyDescent="0.3">
      <c r="A182" t="s">
        <v>192</v>
      </c>
      <c r="B182" t="s">
        <v>1014</v>
      </c>
      <c r="C182" t="s">
        <v>1031</v>
      </c>
      <c r="D182">
        <v>33</v>
      </c>
      <c r="E182">
        <v>7</v>
      </c>
      <c r="F182" s="3">
        <v>58930</v>
      </c>
      <c r="G182">
        <v>47</v>
      </c>
      <c r="H182">
        <v>15</v>
      </c>
      <c r="I182">
        <v>17</v>
      </c>
      <c r="J182">
        <v>7</v>
      </c>
      <c r="K182">
        <v>2.8</v>
      </c>
      <c r="L182" s="3">
        <v>4.8</v>
      </c>
      <c r="M182" t="s">
        <v>1036</v>
      </c>
      <c r="N182">
        <v>62.2</v>
      </c>
    </row>
    <row r="183" spans="1:14" x14ac:dyDescent="0.3">
      <c r="A183" t="s">
        <v>193</v>
      </c>
      <c r="B183" t="s">
        <v>1018</v>
      </c>
      <c r="C183" t="s">
        <v>1028</v>
      </c>
      <c r="D183">
        <v>40</v>
      </c>
      <c r="E183">
        <v>15</v>
      </c>
      <c r="F183" s="3">
        <v>38118</v>
      </c>
      <c r="G183">
        <v>38</v>
      </c>
      <c r="H183">
        <v>3</v>
      </c>
      <c r="I183">
        <v>2</v>
      </c>
      <c r="J183">
        <v>28</v>
      </c>
      <c r="K183">
        <v>2.5</v>
      </c>
      <c r="L183" s="3">
        <v>8</v>
      </c>
      <c r="M183" t="s">
        <v>1034</v>
      </c>
      <c r="N183">
        <v>60.5</v>
      </c>
    </row>
    <row r="184" spans="1:14" x14ac:dyDescent="0.3">
      <c r="A184" t="s">
        <v>194</v>
      </c>
      <c r="B184" t="s">
        <v>1016</v>
      </c>
      <c r="C184" t="s">
        <v>1022</v>
      </c>
      <c r="D184">
        <v>44</v>
      </c>
      <c r="E184">
        <v>2</v>
      </c>
      <c r="F184" s="3">
        <v>61044</v>
      </c>
      <c r="G184">
        <v>52</v>
      </c>
      <c r="H184">
        <v>5</v>
      </c>
      <c r="I184">
        <v>9</v>
      </c>
      <c r="J184">
        <v>10</v>
      </c>
      <c r="K184">
        <v>4.0999999999999996</v>
      </c>
      <c r="L184" s="3">
        <v>9.5</v>
      </c>
      <c r="M184" t="s">
        <v>1034</v>
      </c>
      <c r="N184">
        <v>77.63</v>
      </c>
    </row>
    <row r="185" spans="1:14" x14ac:dyDescent="0.3">
      <c r="A185" t="s">
        <v>195</v>
      </c>
      <c r="B185" t="s">
        <v>1018</v>
      </c>
      <c r="C185" t="s">
        <v>1027</v>
      </c>
      <c r="D185">
        <v>45</v>
      </c>
      <c r="E185">
        <v>7</v>
      </c>
      <c r="F185" s="3">
        <v>32953</v>
      </c>
      <c r="G185">
        <v>41</v>
      </c>
      <c r="H185">
        <v>13</v>
      </c>
      <c r="I185">
        <v>4</v>
      </c>
      <c r="J185">
        <v>15</v>
      </c>
      <c r="K185">
        <v>4.4000000000000004</v>
      </c>
      <c r="L185" s="3">
        <v>3.2</v>
      </c>
      <c r="M185" t="s">
        <v>1036</v>
      </c>
      <c r="N185">
        <v>54.07</v>
      </c>
    </row>
    <row r="186" spans="1:14" x14ac:dyDescent="0.3">
      <c r="A186" t="s">
        <v>196</v>
      </c>
      <c r="B186" t="s">
        <v>1015</v>
      </c>
      <c r="C186" t="s">
        <v>1020</v>
      </c>
      <c r="D186">
        <v>45</v>
      </c>
      <c r="E186">
        <v>14</v>
      </c>
      <c r="F186" s="3">
        <v>77668</v>
      </c>
      <c r="G186">
        <v>52</v>
      </c>
      <c r="H186">
        <v>3</v>
      </c>
      <c r="I186">
        <v>19</v>
      </c>
      <c r="J186">
        <v>5</v>
      </c>
      <c r="K186">
        <v>2.2000000000000002</v>
      </c>
      <c r="L186" s="3">
        <v>5.8</v>
      </c>
      <c r="M186" t="s">
        <v>1036</v>
      </c>
      <c r="N186">
        <v>46.4</v>
      </c>
    </row>
    <row r="187" spans="1:14" x14ac:dyDescent="0.3">
      <c r="A187" t="s">
        <v>197</v>
      </c>
      <c r="B187" t="s">
        <v>1017</v>
      </c>
      <c r="C187" t="s">
        <v>1030</v>
      </c>
      <c r="D187">
        <v>55</v>
      </c>
      <c r="E187">
        <v>13</v>
      </c>
      <c r="F187" s="3">
        <v>75407</v>
      </c>
      <c r="G187">
        <v>48</v>
      </c>
      <c r="H187">
        <v>14</v>
      </c>
      <c r="I187">
        <v>18</v>
      </c>
      <c r="J187">
        <v>4</v>
      </c>
      <c r="K187">
        <v>2.4</v>
      </c>
      <c r="L187" s="3">
        <v>5.2</v>
      </c>
      <c r="M187" t="s">
        <v>1036</v>
      </c>
      <c r="N187">
        <v>61.73</v>
      </c>
    </row>
    <row r="188" spans="1:14" x14ac:dyDescent="0.3">
      <c r="A188" t="s">
        <v>198</v>
      </c>
      <c r="B188" t="s">
        <v>1017</v>
      </c>
      <c r="C188" t="s">
        <v>1024</v>
      </c>
      <c r="D188">
        <v>51</v>
      </c>
      <c r="E188">
        <v>11</v>
      </c>
      <c r="F188" s="3">
        <v>33410</v>
      </c>
      <c r="G188">
        <v>52</v>
      </c>
      <c r="H188">
        <v>11</v>
      </c>
      <c r="I188">
        <v>18</v>
      </c>
      <c r="J188">
        <v>11</v>
      </c>
      <c r="K188">
        <v>4.3</v>
      </c>
      <c r="L188" s="3">
        <v>3.9</v>
      </c>
      <c r="M188" t="s">
        <v>1036</v>
      </c>
      <c r="N188">
        <v>54.63</v>
      </c>
    </row>
    <row r="189" spans="1:14" x14ac:dyDescent="0.3">
      <c r="A189" t="s">
        <v>199</v>
      </c>
      <c r="B189" t="s">
        <v>1014</v>
      </c>
      <c r="C189" t="s">
        <v>1025</v>
      </c>
      <c r="D189">
        <v>29</v>
      </c>
      <c r="E189">
        <v>8</v>
      </c>
      <c r="F189" s="3">
        <v>35028</v>
      </c>
      <c r="G189">
        <v>44</v>
      </c>
      <c r="H189">
        <v>3</v>
      </c>
      <c r="I189">
        <v>5</v>
      </c>
      <c r="J189">
        <v>20</v>
      </c>
      <c r="K189">
        <v>4.8</v>
      </c>
      <c r="L189" s="3">
        <v>4.5999999999999996</v>
      </c>
      <c r="M189" t="s">
        <v>1036</v>
      </c>
      <c r="N189">
        <v>47</v>
      </c>
    </row>
    <row r="190" spans="1:14" x14ac:dyDescent="0.3">
      <c r="A190" t="s">
        <v>200</v>
      </c>
      <c r="B190" t="s">
        <v>1016</v>
      </c>
      <c r="C190" t="s">
        <v>1023</v>
      </c>
      <c r="D190">
        <v>27</v>
      </c>
      <c r="E190">
        <v>2</v>
      </c>
      <c r="F190" s="3">
        <v>37864</v>
      </c>
      <c r="G190">
        <v>55</v>
      </c>
      <c r="H190">
        <v>9</v>
      </c>
      <c r="I190">
        <v>8</v>
      </c>
      <c r="J190">
        <v>8</v>
      </c>
      <c r="K190">
        <v>3.9</v>
      </c>
      <c r="L190" s="3">
        <v>7.3</v>
      </c>
      <c r="M190" t="s">
        <v>1035</v>
      </c>
      <c r="N190">
        <v>70.5</v>
      </c>
    </row>
    <row r="191" spans="1:14" x14ac:dyDescent="0.3">
      <c r="A191" t="s">
        <v>201</v>
      </c>
      <c r="B191" t="s">
        <v>1015</v>
      </c>
      <c r="C191" t="s">
        <v>1020</v>
      </c>
      <c r="D191">
        <v>32</v>
      </c>
      <c r="E191">
        <v>9</v>
      </c>
      <c r="F191" s="3">
        <v>86709</v>
      </c>
      <c r="G191">
        <v>53</v>
      </c>
      <c r="H191">
        <v>3</v>
      </c>
      <c r="I191">
        <v>5</v>
      </c>
      <c r="J191">
        <v>39</v>
      </c>
      <c r="K191">
        <v>4.2</v>
      </c>
      <c r="L191" s="3">
        <v>7.2</v>
      </c>
      <c r="M191" t="s">
        <v>1035</v>
      </c>
      <c r="N191">
        <v>60.8</v>
      </c>
    </row>
    <row r="192" spans="1:14" x14ac:dyDescent="0.3">
      <c r="A192" t="s">
        <v>202</v>
      </c>
      <c r="B192" t="s">
        <v>1014</v>
      </c>
      <c r="C192" t="s">
        <v>1031</v>
      </c>
      <c r="D192">
        <v>23</v>
      </c>
      <c r="E192">
        <v>0</v>
      </c>
      <c r="F192" s="3">
        <v>27979</v>
      </c>
      <c r="G192">
        <v>55</v>
      </c>
      <c r="H192">
        <v>13</v>
      </c>
      <c r="I192">
        <v>18</v>
      </c>
      <c r="J192">
        <v>16</v>
      </c>
      <c r="K192">
        <v>4</v>
      </c>
      <c r="L192" s="3">
        <v>8.4</v>
      </c>
      <c r="M192" t="s">
        <v>1034</v>
      </c>
      <c r="N192">
        <v>84.07</v>
      </c>
    </row>
    <row r="193" spans="1:14" x14ac:dyDescent="0.3">
      <c r="A193" t="s">
        <v>203</v>
      </c>
      <c r="B193" t="s">
        <v>1015</v>
      </c>
      <c r="C193" t="s">
        <v>1020</v>
      </c>
      <c r="D193">
        <v>23</v>
      </c>
      <c r="E193">
        <v>1</v>
      </c>
      <c r="F193" s="3">
        <v>83261</v>
      </c>
      <c r="G193">
        <v>55</v>
      </c>
      <c r="H193">
        <v>9</v>
      </c>
      <c r="I193">
        <v>9</v>
      </c>
      <c r="J193">
        <v>19</v>
      </c>
      <c r="K193">
        <v>3.4</v>
      </c>
      <c r="L193" s="3">
        <v>8.6</v>
      </c>
      <c r="M193" t="s">
        <v>1034</v>
      </c>
      <c r="N193">
        <v>76.8</v>
      </c>
    </row>
    <row r="194" spans="1:14" x14ac:dyDescent="0.3">
      <c r="A194" t="s">
        <v>204</v>
      </c>
      <c r="B194" t="s">
        <v>1017</v>
      </c>
      <c r="C194" t="s">
        <v>1024</v>
      </c>
      <c r="D194">
        <v>41</v>
      </c>
      <c r="E194">
        <v>14</v>
      </c>
      <c r="F194" s="3">
        <v>29782</v>
      </c>
      <c r="G194">
        <v>36</v>
      </c>
      <c r="H194">
        <v>3</v>
      </c>
      <c r="I194">
        <v>14</v>
      </c>
      <c r="J194">
        <v>26</v>
      </c>
      <c r="K194">
        <v>3.5</v>
      </c>
      <c r="L194" s="3">
        <v>4.4000000000000004</v>
      </c>
      <c r="M194" t="s">
        <v>1036</v>
      </c>
      <c r="N194">
        <v>41.9</v>
      </c>
    </row>
    <row r="195" spans="1:14" x14ac:dyDescent="0.3">
      <c r="A195" t="s">
        <v>205</v>
      </c>
      <c r="B195" t="s">
        <v>1018</v>
      </c>
      <c r="C195" t="s">
        <v>1028</v>
      </c>
      <c r="D195">
        <v>42</v>
      </c>
      <c r="E195">
        <v>10</v>
      </c>
      <c r="F195" s="3">
        <v>73116</v>
      </c>
      <c r="G195">
        <v>46</v>
      </c>
      <c r="H195">
        <v>7</v>
      </c>
      <c r="I195">
        <v>4</v>
      </c>
      <c r="J195">
        <v>23</v>
      </c>
      <c r="K195">
        <v>3.5</v>
      </c>
      <c r="L195" s="3">
        <v>3.7</v>
      </c>
      <c r="M195" t="s">
        <v>1036</v>
      </c>
      <c r="N195">
        <v>44.37</v>
      </c>
    </row>
    <row r="196" spans="1:14" x14ac:dyDescent="0.3">
      <c r="A196" t="s">
        <v>206</v>
      </c>
      <c r="B196" t="s">
        <v>1017</v>
      </c>
      <c r="C196" t="s">
        <v>1024</v>
      </c>
      <c r="D196">
        <v>29</v>
      </c>
      <c r="E196">
        <v>4</v>
      </c>
      <c r="F196" s="3">
        <v>54464</v>
      </c>
      <c r="G196">
        <v>42</v>
      </c>
      <c r="H196">
        <v>3</v>
      </c>
      <c r="I196">
        <v>3</v>
      </c>
      <c r="J196">
        <v>3</v>
      </c>
      <c r="K196">
        <v>2.9</v>
      </c>
      <c r="L196" s="3">
        <v>5.7</v>
      </c>
      <c r="M196" t="s">
        <v>1036</v>
      </c>
      <c r="N196">
        <v>47.9</v>
      </c>
    </row>
    <row r="197" spans="1:14" x14ac:dyDescent="0.3">
      <c r="A197" t="s">
        <v>207</v>
      </c>
      <c r="B197" t="s">
        <v>1017</v>
      </c>
      <c r="C197" t="s">
        <v>1024</v>
      </c>
      <c r="D197">
        <v>37</v>
      </c>
      <c r="E197">
        <v>5</v>
      </c>
      <c r="F197" s="3">
        <v>78312</v>
      </c>
      <c r="G197">
        <v>45</v>
      </c>
      <c r="H197">
        <v>15</v>
      </c>
      <c r="I197">
        <v>18</v>
      </c>
      <c r="J197">
        <v>20</v>
      </c>
      <c r="K197">
        <v>2.6</v>
      </c>
      <c r="L197" s="3">
        <v>4.0999999999999996</v>
      </c>
      <c r="M197" t="s">
        <v>1036</v>
      </c>
      <c r="N197">
        <v>57.4</v>
      </c>
    </row>
    <row r="198" spans="1:14" x14ac:dyDescent="0.3">
      <c r="A198" t="s">
        <v>208</v>
      </c>
      <c r="B198" t="s">
        <v>1017</v>
      </c>
      <c r="C198" t="s">
        <v>1024</v>
      </c>
      <c r="D198">
        <v>53</v>
      </c>
      <c r="E198">
        <v>9</v>
      </c>
      <c r="F198" s="3">
        <v>57595</v>
      </c>
      <c r="G198">
        <v>35</v>
      </c>
      <c r="H198">
        <v>2</v>
      </c>
      <c r="I198">
        <v>12</v>
      </c>
      <c r="J198">
        <v>32</v>
      </c>
      <c r="K198">
        <v>3.4</v>
      </c>
      <c r="L198" s="3">
        <v>4.7</v>
      </c>
      <c r="M198" t="s">
        <v>1036</v>
      </c>
      <c r="N198">
        <v>41.73</v>
      </c>
    </row>
    <row r="199" spans="1:14" x14ac:dyDescent="0.3">
      <c r="A199" t="s">
        <v>209</v>
      </c>
      <c r="B199" t="s">
        <v>1016</v>
      </c>
      <c r="C199" t="s">
        <v>1023</v>
      </c>
      <c r="D199">
        <v>25</v>
      </c>
      <c r="E199">
        <v>0</v>
      </c>
      <c r="F199" s="3">
        <v>43438</v>
      </c>
      <c r="G199">
        <v>50</v>
      </c>
      <c r="H199">
        <v>10</v>
      </c>
      <c r="I199">
        <v>20</v>
      </c>
      <c r="J199">
        <v>30</v>
      </c>
      <c r="K199">
        <v>2.9</v>
      </c>
      <c r="L199" s="3">
        <v>3.1</v>
      </c>
      <c r="M199" t="s">
        <v>1036</v>
      </c>
      <c r="N199">
        <v>43.97</v>
      </c>
    </row>
    <row r="200" spans="1:14" x14ac:dyDescent="0.3">
      <c r="A200" t="s">
        <v>210</v>
      </c>
      <c r="B200" t="s">
        <v>1017</v>
      </c>
      <c r="C200" t="s">
        <v>1024</v>
      </c>
      <c r="D200">
        <v>30</v>
      </c>
      <c r="E200">
        <v>4</v>
      </c>
      <c r="F200" s="3">
        <v>72677</v>
      </c>
      <c r="G200">
        <v>46</v>
      </c>
      <c r="H200">
        <v>13</v>
      </c>
      <c r="I200">
        <v>12</v>
      </c>
      <c r="J200">
        <v>23</v>
      </c>
      <c r="K200">
        <v>2.1</v>
      </c>
      <c r="L200" s="3">
        <v>3.4</v>
      </c>
      <c r="M200" t="s">
        <v>1036</v>
      </c>
      <c r="N200">
        <v>48.37</v>
      </c>
    </row>
    <row r="201" spans="1:14" x14ac:dyDescent="0.3">
      <c r="A201" t="s">
        <v>211</v>
      </c>
      <c r="B201" t="s">
        <v>1018</v>
      </c>
      <c r="C201" t="s">
        <v>1027</v>
      </c>
      <c r="D201">
        <v>45</v>
      </c>
      <c r="E201">
        <v>9</v>
      </c>
      <c r="F201" s="3">
        <v>29818</v>
      </c>
      <c r="G201">
        <v>47</v>
      </c>
      <c r="H201">
        <v>9</v>
      </c>
      <c r="I201">
        <v>14</v>
      </c>
      <c r="J201">
        <v>35</v>
      </c>
      <c r="K201">
        <v>2.8</v>
      </c>
      <c r="L201" s="3">
        <v>9.9</v>
      </c>
      <c r="M201" t="s">
        <v>1034</v>
      </c>
      <c r="N201">
        <v>82.8</v>
      </c>
    </row>
    <row r="202" spans="1:14" x14ac:dyDescent="0.3">
      <c r="A202" t="s">
        <v>212</v>
      </c>
      <c r="B202" t="s">
        <v>1015</v>
      </c>
      <c r="C202" t="s">
        <v>1029</v>
      </c>
      <c r="D202">
        <v>29</v>
      </c>
      <c r="E202">
        <v>2</v>
      </c>
      <c r="F202" s="3">
        <v>88903</v>
      </c>
      <c r="G202">
        <v>38</v>
      </c>
      <c r="H202">
        <v>7</v>
      </c>
      <c r="I202">
        <v>11</v>
      </c>
      <c r="J202">
        <v>21</v>
      </c>
      <c r="K202">
        <v>3.7</v>
      </c>
      <c r="L202" s="3">
        <v>5.6</v>
      </c>
      <c r="M202" t="s">
        <v>1036</v>
      </c>
      <c r="N202">
        <v>56.37</v>
      </c>
    </row>
    <row r="203" spans="1:14" x14ac:dyDescent="0.3">
      <c r="A203" t="s">
        <v>213</v>
      </c>
      <c r="B203" t="s">
        <v>1018</v>
      </c>
      <c r="C203" t="s">
        <v>1027</v>
      </c>
      <c r="D203">
        <v>54</v>
      </c>
      <c r="E203">
        <v>12</v>
      </c>
      <c r="F203" s="3">
        <v>57773</v>
      </c>
      <c r="G203">
        <v>36</v>
      </c>
      <c r="H203">
        <v>1</v>
      </c>
      <c r="I203">
        <v>1</v>
      </c>
      <c r="J203">
        <v>8</v>
      </c>
      <c r="K203">
        <v>4.0999999999999996</v>
      </c>
      <c r="L203" s="3">
        <v>8.6</v>
      </c>
      <c r="M203" t="s">
        <v>1034</v>
      </c>
      <c r="N203">
        <v>65.569999999999993</v>
      </c>
    </row>
    <row r="204" spans="1:14" x14ac:dyDescent="0.3">
      <c r="A204" t="s">
        <v>214</v>
      </c>
      <c r="B204" t="s">
        <v>1017</v>
      </c>
      <c r="C204" t="s">
        <v>1024</v>
      </c>
      <c r="D204">
        <v>31</v>
      </c>
      <c r="E204">
        <v>9</v>
      </c>
      <c r="F204" s="3">
        <v>83532</v>
      </c>
      <c r="G204">
        <v>51</v>
      </c>
      <c r="H204">
        <v>3</v>
      </c>
      <c r="I204">
        <v>10</v>
      </c>
      <c r="J204">
        <v>39</v>
      </c>
      <c r="K204">
        <v>3</v>
      </c>
      <c r="L204" s="3">
        <v>5.8</v>
      </c>
      <c r="M204" t="s">
        <v>1036</v>
      </c>
      <c r="N204">
        <v>48.8</v>
      </c>
    </row>
    <row r="205" spans="1:14" x14ac:dyDescent="0.3">
      <c r="A205" t="s">
        <v>215</v>
      </c>
      <c r="B205" t="s">
        <v>1016</v>
      </c>
      <c r="C205" t="s">
        <v>1033</v>
      </c>
      <c r="D205">
        <v>43</v>
      </c>
      <c r="E205">
        <v>15</v>
      </c>
      <c r="F205" s="3">
        <v>71447</v>
      </c>
      <c r="G205">
        <v>53</v>
      </c>
      <c r="H205">
        <v>5</v>
      </c>
      <c r="I205">
        <v>15</v>
      </c>
      <c r="J205">
        <v>1</v>
      </c>
      <c r="K205">
        <v>3.1</v>
      </c>
      <c r="L205" s="3">
        <v>7.7</v>
      </c>
      <c r="M205" t="s">
        <v>1035</v>
      </c>
      <c r="N205">
        <v>63.83</v>
      </c>
    </row>
    <row r="206" spans="1:14" x14ac:dyDescent="0.3">
      <c r="A206" t="s">
        <v>216</v>
      </c>
      <c r="B206" t="s">
        <v>1015</v>
      </c>
      <c r="C206" t="s">
        <v>1020</v>
      </c>
      <c r="D206">
        <v>41</v>
      </c>
      <c r="E206">
        <v>0</v>
      </c>
      <c r="F206" s="3">
        <v>64119</v>
      </c>
      <c r="G206">
        <v>50</v>
      </c>
      <c r="H206">
        <v>5</v>
      </c>
      <c r="I206">
        <v>20</v>
      </c>
      <c r="J206">
        <v>37</v>
      </c>
      <c r="K206">
        <v>3.7</v>
      </c>
      <c r="L206" s="3">
        <v>8</v>
      </c>
      <c r="M206" t="s">
        <v>1034</v>
      </c>
      <c r="N206">
        <v>67.430000000000007</v>
      </c>
    </row>
    <row r="207" spans="1:14" x14ac:dyDescent="0.3">
      <c r="A207" t="s">
        <v>217</v>
      </c>
      <c r="B207" t="s">
        <v>1017</v>
      </c>
      <c r="C207" t="s">
        <v>1024</v>
      </c>
      <c r="D207">
        <v>32</v>
      </c>
      <c r="E207">
        <v>8</v>
      </c>
      <c r="F207" s="3">
        <v>66223</v>
      </c>
      <c r="G207">
        <v>54</v>
      </c>
      <c r="H207">
        <v>13</v>
      </c>
      <c r="I207">
        <v>12</v>
      </c>
      <c r="J207">
        <v>9</v>
      </c>
      <c r="K207">
        <v>4.5</v>
      </c>
      <c r="L207" s="3">
        <v>4.7</v>
      </c>
      <c r="M207" t="s">
        <v>1036</v>
      </c>
      <c r="N207">
        <v>63.37</v>
      </c>
    </row>
    <row r="208" spans="1:14" x14ac:dyDescent="0.3">
      <c r="A208" t="s">
        <v>218</v>
      </c>
      <c r="B208" t="s">
        <v>1014</v>
      </c>
      <c r="C208" t="s">
        <v>1025</v>
      </c>
      <c r="D208">
        <v>34</v>
      </c>
      <c r="E208">
        <v>0</v>
      </c>
      <c r="F208" s="3">
        <v>53903</v>
      </c>
      <c r="G208">
        <v>45</v>
      </c>
      <c r="H208">
        <v>7</v>
      </c>
      <c r="I208">
        <v>4</v>
      </c>
      <c r="J208">
        <v>26</v>
      </c>
      <c r="K208">
        <v>4.0999999999999996</v>
      </c>
      <c r="L208" s="3">
        <v>5.9</v>
      </c>
      <c r="M208" t="s">
        <v>1036</v>
      </c>
      <c r="N208">
        <v>59.37</v>
      </c>
    </row>
    <row r="209" spans="1:14" x14ac:dyDescent="0.3">
      <c r="A209" t="s">
        <v>219</v>
      </c>
      <c r="B209" t="s">
        <v>1017</v>
      </c>
      <c r="C209" t="s">
        <v>1030</v>
      </c>
      <c r="D209">
        <v>25</v>
      </c>
      <c r="E209">
        <v>1</v>
      </c>
      <c r="F209" s="3">
        <v>58992</v>
      </c>
      <c r="G209">
        <v>41</v>
      </c>
      <c r="H209">
        <v>9</v>
      </c>
      <c r="I209">
        <v>10</v>
      </c>
      <c r="J209">
        <v>30</v>
      </c>
      <c r="K209">
        <v>3.6</v>
      </c>
      <c r="L209" s="3">
        <v>5.2</v>
      </c>
      <c r="M209" t="s">
        <v>1036</v>
      </c>
      <c r="N209">
        <v>57</v>
      </c>
    </row>
    <row r="210" spans="1:14" x14ac:dyDescent="0.3">
      <c r="A210" t="s">
        <v>220</v>
      </c>
      <c r="B210" t="s">
        <v>1017</v>
      </c>
      <c r="C210" t="s">
        <v>1030</v>
      </c>
      <c r="D210">
        <v>43</v>
      </c>
      <c r="E210">
        <v>11</v>
      </c>
      <c r="F210" s="3">
        <v>69293</v>
      </c>
      <c r="G210">
        <v>55</v>
      </c>
      <c r="H210">
        <v>13</v>
      </c>
      <c r="I210">
        <v>22</v>
      </c>
      <c r="J210">
        <v>16</v>
      </c>
      <c r="K210">
        <v>3.8</v>
      </c>
      <c r="L210" s="3">
        <v>4.3</v>
      </c>
      <c r="M210" t="s">
        <v>1036</v>
      </c>
      <c r="N210">
        <v>58.87</v>
      </c>
    </row>
    <row r="211" spans="1:14" x14ac:dyDescent="0.3">
      <c r="A211" t="s">
        <v>221</v>
      </c>
      <c r="B211" t="s">
        <v>1016</v>
      </c>
      <c r="C211" t="s">
        <v>1033</v>
      </c>
      <c r="D211">
        <v>41</v>
      </c>
      <c r="E211">
        <v>7</v>
      </c>
      <c r="F211" s="3">
        <v>86701</v>
      </c>
      <c r="G211">
        <v>44</v>
      </c>
      <c r="H211">
        <v>13</v>
      </c>
      <c r="I211">
        <v>9</v>
      </c>
      <c r="J211">
        <v>13</v>
      </c>
      <c r="K211">
        <v>4.0999999999999996</v>
      </c>
      <c r="L211" s="3">
        <v>6.4</v>
      </c>
      <c r="M211" t="s">
        <v>1035</v>
      </c>
      <c r="N211">
        <v>72.37</v>
      </c>
    </row>
    <row r="212" spans="1:14" x14ac:dyDescent="0.3">
      <c r="A212" t="s">
        <v>222</v>
      </c>
      <c r="B212" t="s">
        <v>1016</v>
      </c>
      <c r="C212" t="s">
        <v>1033</v>
      </c>
      <c r="D212">
        <v>39</v>
      </c>
      <c r="E212">
        <v>9</v>
      </c>
      <c r="F212" s="3">
        <v>32987</v>
      </c>
      <c r="G212">
        <v>53</v>
      </c>
      <c r="H212">
        <v>11</v>
      </c>
      <c r="I212">
        <v>17</v>
      </c>
      <c r="J212">
        <v>24</v>
      </c>
      <c r="K212">
        <v>4.7</v>
      </c>
      <c r="L212" s="3">
        <v>5.8</v>
      </c>
      <c r="M212" t="s">
        <v>1036</v>
      </c>
      <c r="N212">
        <v>67.23</v>
      </c>
    </row>
    <row r="213" spans="1:14" x14ac:dyDescent="0.3">
      <c r="A213" t="s">
        <v>223</v>
      </c>
      <c r="B213" t="s">
        <v>1018</v>
      </c>
      <c r="C213" t="s">
        <v>1027</v>
      </c>
      <c r="D213">
        <v>40</v>
      </c>
      <c r="E213">
        <v>1</v>
      </c>
      <c r="F213" s="3">
        <v>43850</v>
      </c>
      <c r="G213">
        <v>37</v>
      </c>
      <c r="H213">
        <v>6</v>
      </c>
      <c r="I213">
        <v>14</v>
      </c>
      <c r="J213">
        <v>16</v>
      </c>
      <c r="K213">
        <v>4.2</v>
      </c>
      <c r="L213" s="3">
        <v>4.5</v>
      </c>
      <c r="M213" t="s">
        <v>1036</v>
      </c>
      <c r="N213">
        <v>49.6</v>
      </c>
    </row>
    <row r="214" spans="1:14" x14ac:dyDescent="0.3">
      <c r="A214" t="s">
        <v>224</v>
      </c>
      <c r="B214" t="s">
        <v>1016</v>
      </c>
      <c r="C214" t="s">
        <v>1022</v>
      </c>
      <c r="D214">
        <v>39</v>
      </c>
      <c r="E214">
        <v>4</v>
      </c>
      <c r="F214" s="3">
        <v>32158</v>
      </c>
      <c r="G214">
        <v>54</v>
      </c>
      <c r="H214">
        <v>12</v>
      </c>
      <c r="I214">
        <v>18</v>
      </c>
      <c r="J214">
        <v>15</v>
      </c>
      <c r="K214">
        <v>2.7</v>
      </c>
      <c r="L214" s="3">
        <v>7.7</v>
      </c>
      <c r="M214" t="s">
        <v>1035</v>
      </c>
      <c r="N214">
        <v>74.3</v>
      </c>
    </row>
    <row r="215" spans="1:14" x14ac:dyDescent="0.3">
      <c r="A215" t="s">
        <v>225</v>
      </c>
      <c r="B215" t="s">
        <v>1018</v>
      </c>
      <c r="C215" t="s">
        <v>1028</v>
      </c>
      <c r="D215">
        <v>36</v>
      </c>
      <c r="E215">
        <v>1</v>
      </c>
      <c r="F215" s="3">
        <v>31566</v>
      </c>
      <c r="G215">
        <v>48</v>
      </c>
      <c r="H215">
        <v>6</v>
      </c>
      <c r="I215">
        <v>22</v>
      </c>
      <c r="J215">
        <v>30</v>
      </c>
      <c r="K215">
        <v>2.2999999999999998</v>
      </c>
      <c r="L215" s="3">
        <v>8.4</v>
      </c>
      <c r="M215" t="s">
        <v>1034</v>
      </c>
      <c r="N215">
        <v>67.3</v>
      </c>
    </row>
    <row r="216" spans="1:14" x14ac:dyDescent="0.3">
      <c r="A216" t="s">
        <v>226</v>
      </c>
      <c r="B216" t="s">
        <v>1015</v>
      </c>
      <c r="C216" t="s">
        <v>1021</v>
      </c>
      <c r="D216">
        <v>32</v>
      </c>
      <c r="E216">
        <v>6</v>
      </c>
      <c r="F216" s="3">
        <v>67787</v>
      </c>
      <c r="G216">
        <v>50</v>
      </c>
      <c r="H216">
        <v>8</v>
      </c>
      <c r="I216">
        <v>20</v>
      </c>
      <c r="J216">
        <v>12</v>
      </c>
      <c r="K216">
        <v>4.3</v>
      </c>
      <c r="L216" s="3">
        <v>5</v>
      </c>
      <c r="M216" t="s">
        <v>1036</v>
      </c>
      <c r="N216">
        <v>56.23</v>
      </c>
    </row>
    <row r="217" spans="1:14" x14ac:dyDescent="0.3">
      <c r="A217" t="s">
        <v>227</v>
      </c>
      <c r="B217" t="s">
        <v>1014</v>
      </c>
      <c r="C217" t="s">
        <v>1019</v>
      </c>
      <c r="D217">
        <v>27</v>
      </c>
      <c r="E217">
        <v>5</v>
      </c>
      <c r="F217" s="3">
        <v>62626</v>
      </c>
      <c r="G217">
        <v>42</v>
      </c>
      <c r="H217">
        <v>9</v>
      </c>
      <c r="I217">
        <v>23</v>
      </c>
      <c r="J217">
        <v>2</v>
      </c>
      <c r="K217">
        <v>4.7</v>
      </c>
      <c r="L217" s="3">
        <v>4.2</v>
      </c>
      <c r="M217" t="s">
        <v>1036</v>
      </c>
      <c r="N217">
        <v>54.3</v>
      </c>
    </row>
    <row r="218" spans="1:14" x14ac:dyDescent="0.3">
      <c r="A218" t="s">
        <v>228</v>
      </c>
      <c r="B218" t="s">
        <v>1014</v>
      </c>
      <c r="C218" t="s">
        <v>1031</v>
      </c>
      <c r="D218">
        <v>47</v>
      </c>
      <c r="E218">
        <v>15</v>
      </c>
      <c r="F218" s="3">
        <v>37210</v>
      </c>
      <c r="G218">
        <v>44</v>
      </c>
      <c r="H218">
        <v>15</v>
      </c>
      <c r="I218">
        <v>1</v>
      </c>
      <c r="J218">
        <v>0</v>
      </c>
      <c r="K218">
        <v>2.9</v>
      </c>
      <c r="L218" s="3">
        <v>7.2</v>
      </c>
      <c r="M218" t="s">
        <v>1035</v>
      </c>
      <c r="N218">
        <v>76.900000000000006</v>
      </c>
    </row>
    <row r="219" spans="1:14" x14ac:dyDescent="0.3">
      <c r="A219" t="s">
        <v>229</v>
      </c>
      <c r="B219" t="s">
        <v>1016</v>
      </c>
      <c r="C219" t="s">
        <v>1033</v>
      </c>
      <c r="D219">
        <v>51</v>
      </c>
      <c r="E219">
        <v>15</v>
      </c>
      <c r="F219" s="3">
        <v>83278</v>
      </c>
      <c r="G219">
        <v>39</v>
      </c>
      <c r="H219">
        <v>14</v>
      </c>
      <c r="I219">
        <v>16</v>
      </c>
      <c r="J219">
        <v>29</v>
      </c>
      <c r="K219">
        <v>2.8</v>
      </c>
      <c r="L219" s="3">
        <v>8.6999999999999993</v>
      </c>
      <c r="M219" t="s">
        <v>1034</v>
      </c>
      <c r="N219">
        <v>83.93</v>
      </c>
    </row>
    <row r="220" spans="1:14" x14ac:dyDescent="0.3">
      <c r="A220" t="s">
        <v>230</v>
      </c>
      <c r="B220" t="s">
        <v>1018</v>
      </c>
      <c r="C220" t="s">
        <v>1028</v>
      </c>
      <c r="D220">
        <v>51</v>
      </c>
      <c r="E220">
        <v>8</v>
      </c>
      <c r="F220" s="3">
        <v>72094</v>
      </c>
      <c r="G220">
        <v>40</v>
      </c>
      <c r="H220">
        <v>1</v>
      </c>
      <c r="I220">
        <v>23</v>
      </c>
      <c r="J220">
        <v>21</v>
      </c>
      <c r="K220">
        <v>4.4000000000000004</v>
      </c>
      <c r="L220" s="3">
        <v>7</v>
      </c>
      <c r="M220" t="s">
        <v>1035</v>
      </c>
      <c r="N220">
        <v>56.87</v>
      </c>
    </row>
    <row r="221" spans="1:14" x14ac:dyDescent="0.3">
      <c r="A221" t="s">
        <v>231</v>
      </c>
      <c r="B221" t="s">
        <v>1018</v>
      </c>
      <c r="C221" t="s">
        <v>1032</v>
      </c>
      <c r="D221">
        <v>47</v>
      </c>
      <c r="E221">
        <v>13</v>
      </c>
      <c r="F221" s="3">
        <v>58769</v>
      </c>
      <c r="G221">
        <v>45</v>
      </c>
      <c r="H221">
        <v>2</v>
      </c>
      <c r="I221">
        <v>12</v>
      </c>
      <c r="J221">
        <v>6</v>
      </c>
      <c r="K221">
        <v>2.6</v>
      </c>
      <c r="L221" s="3">
        <v>4</v>
      </c>
      <c r="M221" t="s">
        <v>1036</v>
      </c>
      <c r="N221">
        <v>35.130000000000003</v>
      </c>
    </row>
    <row r="222" spans="1:14" x14ac:dyDescent="0.3">
      <c r="A222" t="s">
        <v>232</v>
      </c>
      <c r="B222" t="s">
        <v>1018</v>
      </c>
      <c r="C222" t="s">
        <v>1027</v>
      </c>
      <c r="D222">
        <v>22</v>
      </c>
      <c r="E222">
        <v>1</v>
      </c>
      <c r="F222" s="3">
        <v>50137</v>
      </c>
      <c r="G222">
        <v>42</v>
      </c>
      <c r="H222">
        <v>8</v>
      </c>
      <c r="I222">
        <v>24</v>
      </c>
      <c r="J222">
        <v>17</v>
      </c>
      <c r="K222">
        <v>4.9000000000000004</v>
      </c>
      <c r="L222" s="3">
        <v>5.0999999999999996</v>
      </c>
      <c r="M222" t="s">
        <v>1036</v>
      </c>
      <c r="N222">
        <v>58.63</v>
      </c>
    </row>
    <row r="223" spans="1:14" x14ac:dyDescent="0.3">
      <c r="A223" t="s">
        <v>233</v>
      </c>
      <c r="B223" t="s">
        <v>1015</v>
      </c>
      <c r="C223" t="s">
        <v>1029</v>
      </c>
      <c r="D223">
        <v>22</v>
      </c>
      <c r="E223">
        <v>1</v>
      </c>
      <c r="F223" s="3">
        <v>67839</v>
      </c>
      <c r="G223">
        <v>46</v>
      </c>
      <c r="H223">
        <v>12</v>
      </c>
      <c r="I223">
        <v>7</v>
      </c>
      <c r="J223">
        <v>3</v>
      </c>
      <c r="K223">
        <v>4</v>
      </c>
      <c r="L223" s="3">
        <v>6.3</v>
      </c>
      <c r="M223" t="s">
        <v>1035</v>
      </c>
      <c r="N223">
        <v>69.8</v>
      </c>
    </row>
    <row r="224" spans="1:14" x14ac:dyDescent="0.3">
      <c r="A224" t="s">
        <v>234</v>
      </c>
      <c r="B224" t="s">
        <v>1017</v>
      </c>
      <c r="C224" t="s">
        <v>1030</v>
      </c>
      <c r="D224">
        <v>54</v>
      </c>
      <c r="E224">
        <v>9</v>
      </c>
      <c r="F224" s="3">
        <v>70238</v>
      </c>
      <c r="G224">
        <v>38</v>
      </c>
      <c r="H224">
        <v>11</v>
      </c>
      <c r="I224">
        <v>9</v>
      </c>
      <c r="J224">
        <v>23</v>
      </c>
      <c r="K224">
        <v>3.8</v>
      </c>
      <c r="L224" s="3">
        <v>4.5</v>
      </c>
      <c r="M224" t="s">
        <v>1036</v>
      </c>
      <c r="N224">
        <v>56.73</v>
      </c>
    </row>
    <row r="225" spans="1:14" x14ac:dyDescent="0.3">
      <c r="A225" t="s">
        <v>235</v>
      </c>
      <c r="B225" t="s">
        <v>1017</v>
      </c>
      <c r="C225" t="s">
        <v>1024</v>
      </c>
      <c r="D225">
        <v>31</v>
      </c>
      <c r="E225">
        <v>7</v>
      </c>
      <c r="F225" s="3">
        <v>74003</v>
      </c>
      <c r="G225">
        <v>54</v>
      </c>
      <c r="H225">
        <v>6</v>
      </c>
      <c r="I225">
        <v>13</v>
      </c>
      <c r="J225">
        <v>35</v>
      </c>
      <c r="K225">
        <v>4.7</v>
      </c>
      <c r="L225" s="3">
        <v>8.3000000000000007</v>
      </c>
      <c r="M225" t="s">
        <v>1034</v>
      </c>
      <c r="N225">
        <v>73.900000000000006</v>
      </c>
    </row>
    <row r="226" spans="1:14" x14ac:dyDescent="0.3">
      <c r="A226" t="s">
        <v>236</v>
      </c>
      <c r="B226" t="s">
        <v>1018</v>
      </c>
      <c r="C226" t="s">
        <v>1028</v>
      </c>
      <c r="D226">
        <v>37</v>
      </c>
      <c r="E226">
        <v>2</v>
      </c>
      <c r="F226" s="3">
        <v>59439</v>
      </c>
      <c r="G226">
        <v>49</v>
      </c>
      <c r="H226">
        <v>9</v>
      </c>
      <c r="I226">
        <v>22</v>
      </c>
      <c r="J226">
        <v>23</v>
      </c>
      <c r="K226">
        <v>2.2000000000000002</v>
      </c>
      <c r="L226" s="3">
        <v>6.9</v>
      </c>
      <c r="M226" t="s">
        <v>1035</v>
      </c>
      <c r="N226">
        <v>63</v>
      </c>
    </row>
    <row r="227" spans="1:14" x14ac:dyDescent="0.3">
      <c r="A227" t="s">
        <v>237</v>
      </c>
      <c r="B227" t="s">
        <v>1015</v>
      </c>
      <c r="C227" t="s">
        <v>1020</v>
      </c>
      <c r="D227">
        <v>54</v>
      </c>
      <c r="E227">
        <v>6</v>
      </c>
      <c r="F227" s="3">
        <v>62532</v>
      </c>
      <c r="G227">
        <v>52</v>
      </c>
      <c r="H227">
        <v>3</v>
      </c>
      <c r="I227">
        <v>5</v>
      </c>
      <c r="J227">
        <v>20</v>
      </c>
      <c r="K227">
        <v>4.5999999999999996</v>
      </c>
      <c r="L227" s="3">
        <v>6.1</v>
      </c>
      <c r="M227" t="s">
        <v>1035</v>
      </c>
      <c r="N227">
        <v>55.4</v>
      </c>
    </row>
    <row r="228" spans="1:14" x14ac:dyDescent="0.3">
      <c r="A228" t="s">
        <v>238</v>
      </c>
      <c r="B228" t="s">
        <v>1018</v>
      </c>
      <c r="C228" t="s">
        <v>1032</v>
      </c>
      <c r="D228">
        <v>53</v>
      </c>
      <c r="E228">
        <v>2</v>
      </c>
      <c r="F228" s="3">
        <v>83909</v>
      </c>
      <c r="G228">
        <v>51</v>
      </c>
      <c r="H228">
        <v>8</v>
      </c>
      <c r="I228">
        <v>25</v>
      </c>
      <c r="J228">
        <v>3</v>
      </c>
      <c r="K228">
        <v>3.4</v>
      </c>
      <c r="L228" s="3">
        <v>6.6</v>
      </c>
      <c r="M228" t="s">
        <v>1035</v>
      </c>
      <c r="N228">
        <v>63.13</v>
      </c>
    </row>
    <row r="229" spans="1:14" x14ac:dyDescent="0.3">
      <c r="A229" t="s">
        <v>239</v>
      </c>
      <c r="B229" t="s">
        <v>1015</v>
      </c>
      <c r="C229" t="s">
        <v>1029</v>
      </c>
      <c r="D229">
        <v>25</v>
      </c>
      <c r="E229">
        <v>4</v>
      </c>
      <c r="F229" s="3">
        <v>55302</v>
      </c>
      <c r="G229">
        <v>44</v>
      </c>
      <c r="H229">
        <v>12</v>
      </c>
      <c r="I229">
        <v>0</v>
      </c>
      <c r="J229">
        <v>25</v>
      </c>
      <c r="K229">
        <v>2.8</v>
      </c>
      <c r="L229" s="3">
        <v>3</v>
      </c>
      <c r="M229" t="s">
        <v>1036</v>
      </c>
      <c r="N229">
        <v>46.4</v>
      </c>
    </row>
    <row r="230" spans="1:14" x14ac:dyDescent="0.3">
      <c r="A230" t="s">
        <v>240</v>
      </c>
      <c r="B230" t="s">
        <v>1015</v>
      </c>
      <c r="C230" t="s">
        <v>1029</v>
      </c>
      <c r="D230">
        <v>26</v>
      </c>
      <c r="E230">
        <v>0</v>
      </c>
      <c r="F230" s="3">
        <v>52767</v>
      </c>
      <c r="G230">
        <v>46</v>
      </c>
      <c r="H230">
        <v>12</v>
      </c>
      <c r="I230">
        <v>2</v>
      </c>
      <c r="J230">
        <v>34</v>
      </c>
      <c r="K230">
        <v>5</v>
      </c>
      <c r="L230" s="3">
        <v>9.5</v>
      </c>
      <c r="M230" t="s">
        <v>1034</v>
      </c>
      <c r="N230">
        <v>92</v>
      </c>
    </row>
    <row r="231" spans="1:14" x14ac:dyDescent="0.3">
      <c r="A231" t="s">
        <v>241</v>
      </c>
      <c r="B231" t="s">
        <v>1017</v>
      </c>
      <c r="C231" t="s">
        <v>1026</v>
      </c>
      <c r="D231">
        <v>24</v>
      </c>
      <c r="E231">
        <v>2</v>
      </c>
      <c r="F231" s="3">
        <v>51795</v>
      </c>
      <c r="G231">
        <v>40</v>
      </c>
      <c r="H231">
        <v>13</v>
      </c>
      <c r="I231">
        <v>4</v>
      </c>
      <c r="J231">
        <v>26</v>
      </c>
      <c r="K231">
        <v>3.1</v>
      </c>
      <c r="L231" s="3">
        <v>9.1999999999999993</v>
      </c>
      <c r="M231" t="s">
        <v>1034</v>
      </c>
      <c r="N231">
        <v>86.17</v>
      </c>
    </row>
    <row r="232" spans="1:14" x14ac:dyDescent="0.3">
      <c r="A232" t="s">
        <v>242</v>
      </c>
      <c r="B232" t="s">
        <v>1017</v>
      </c>
      <c r="C232" t="s">
        <v>1026</v>
      </c>
      <c r="D232">
        <v>46</v>
      </c>
      <c r="E232">
        <v>2</v>
      </c>
      <c r="F232" s="3">
        <v>69743</v>
      </c>
      <c r="G232">
        <v>52</v>
      </c>
      <c r="H232">
        <v>3</v>
      </c>
      <c r="I232">
        <v>20</v>
      </c>
      <c r="J232">
        <v>22</v>
      </c>
      <c r="K232">
        <v>2.4</v>
      </c>
      <c r="L232" s="3">
        <v>9.9</v>
      </c>
      <c r="M232" t="s">
        <v>1034</v>
      </c>
      <c r="N232">
        <v>71.599999999999994</v>
      </c>
    </row>
    <row r="233" spans="1:14" x14ac:dyDescent="0.3">
      <c r="A233" t="s">
        <v>243</v>
      </c>
      <c r="B233" t="s">
        <v>1015</v>
      </c>
      <c r="C233" t="s">
        <v>1021</v>
      </c>
      <c r="D233">
        <v>30</v>
      </c>
      <c r="E233">
        <v>3</v>
      </c>
      <c r="F233" s="3">
        <v>79710</v>
      </c>
      <c r="G233">
        <v>35</v>
      </c>
      <c r="H233">
        <v>13</v>
      </c>
      <c r="I233">
        <v>0</v>
      </c>
      <c r="J233">
        <v>19</v>
      </c>
      <c r="K233">
        <v>3.4</v>
      </c>
      <c r="L233" s="3">
        <v>8</v>
      </c>
      <c r="M233" t="s">
        <v>1034</v>
      </c>
      <c r="N233">
        <v>79.87</v>
      </c>
    </row>
    <row r="234" spans="1:14" x14ac:dyDescent="0.3">
      <c r="A234" t="s">
        <v>244</v>
      </c>
      <c r="B234" t="s">
        <v>1015</v>
      </c>
      <c r="C234" t="s">
        <v>1029</v>
      </c>
      <c r="D234">
        <v>46</v>
      </c>
      <c r="E234">
        <v>7</v>
      </c>
      <c r="F234" s="3">
        <v>41220</v>
      </c>
      <c r="G234">
        <v>49</v>
      </c>
      <c r="H234">
        <v>6</v>
      </c>
      <c r="I234">
        <v>4</v>
      </c>
      <c r="J234">
        <v>17</v>
      </c>
      <c r="K234">
        <v>2.6</v>
      </c>
      <c r="L234" s="3">
        <v>9.1</v>
      </c>
      <c r="M234" t="s">
        <v>1034</v>
      </c>
      <c r="N234">
        <v>72.400000000000006</v>
      </c>
    </row>
    <row r="235" spans="1:14" x14ac:dyDescent="0.3">
      <c r="A235" t="s">
        <v>245</v>
      </c>
      <c r="B235" t="s">
        <v>1014</v>
      </c>
      <c r="C235" t="s">
        <v>1025</v>
      </c>
      <c r="D235">
        <v>48</v>
      </c>
      <c r="E235">
        <v>0</v>
      </c>
      <c r="F235" s="3">
        <v>40772</v>
      </c>
      <c r="G235">
        <v>41</v>
      </c>
      <c r="H235">
        <v>2</v>
      </c>
      <c r="I235">
        <v>3</v>
      </c>
      <c r="J235">
        <v>38</v>
      </c>
      <c r="K235">
        <v>2.1</v>
      </c>
      <c r="L235" s="3">
        <v>7.2</v>
      </c>
      <c r="M235" t="s">
        <v>1035</v>
      </c>
      <c r="N235">
        <v>52.83</v>
      </c>
    </row>
    <row r="236" spans="1:14" x14ac:dyDescent="0.3">
      <c r="A236" t="s">
        <v>246</v>
      </c>
      <c r="B236" t="s">
        <v>1014</v>
      </c>
      <c r="C236" t="s">
        <v>1019</v>
      </c>
      <c r="D236">
        <v>37</v>
      </c>
      <c r="E236">
        <v>1</v>
      </c>
      <c r="F236" s="3">
        <v>51362</v>
      </c>
      <c r="G236">
        <v>49</v>
      </c>
      <c r="H236">
        <v>4</v>
      </c>
      <c r="I236">
        <v>17</v>
      </c>
      <c r="J236">
        <v>13</v>
      </c>
      <c r="K236">
        <v>4.3</v>
      </c>
      <c r="L236" s="3">
        <v>8.4</v>
      </c>
      <c r="M236" t="s">
        <v>1034</v>
      </c>
      <c r="N236">
        <v>69.97</v>
      </c>
    </row>
    <row r="237" spans="1:14" x14ac:dyDescent="0.3">
      <c r="A237" t="s">
        <v>247</v>
      </c>
      <c r="B237" t="s">
        <v>1015</v>
      </c>
      <c r="C237" t="s">
        <v>1029</v>
      </c>
      <c r="D237">
        <v>40</v>
      </c>
      <c r="E237">
        <v>7</v>
      </c>
      <c r="F237" s="3">
        <v>78463</v>
      </c>
      <c r="G237">
        <v>53</v>
      </c>
      <c r="H237">
        <v>6</v>
      </c>
      <c r="I237">
        <v>18</v>
      </c>
      <c r="J237">
        <v>38</v>
      </c>
      <c r="K237">
        <v>4.3</v>
      </c>
      <c r="L237" s="3">
        <v>8.6999999999999993</v>
      </c>
      <c r="M237" t="s">
        <v>1034</v>
      </c>
      <c r="N237">
        <v>75.099999999999994</v>
      </c>
    </row>
    <row r="238" spans="1:14" x14ac:dyDescent="0.3">
      <c r="A238" t="s">
        <v>248</v>
      </c>
      <c r="B238" t="s">
        <v>1016</v>
      </c>
      <c r="C238" t="s">
        <v>1022</v>
      </c>
      <c r="D238">
        <v>31</v>
      </c>
      <c r="E238">
        <v>10</v>
      </c>
      <c r="F238" s="3">
        <v>59160</v>
      </c>
      <c r="G238">
        <v>42</v>
      </c>
      <c r="H238">
        <v>7</v>
      </c>
      <c r="I238">
        <v>9</v>
      </c>
      <c r="J238">
        <v>17</v>
      </c>
      <c r="K238">
        <v>2.2000000000000002</v>
      </c>
      <c r="L238" s="3">
        <v>9.6</v>
      </c>
      <c r="M238" t="s">
        <v>1034</v>
      </c>
      <c r="N238">
        <v>75.87</v>
      </c>
    </row>
    <row r="239" spans="1:14" x14ac:dyDescent="0.3">
      <c r="A239" t="s">
        <v>249</v>
      </c>
      <c r="B239" t="s">
        <v>1018</v>
      </c>
      <c r="C239" t="s">
        <v>1032</v>
      </c>
      <c r="D239">
        <v>49</v>
      </c>
      <c r="E239">
        <v>15</v>
      </c>
      <c r="F239" s="3">
        <v>28072</v>
      </c>
      <c r="G239">
        <v>46</v>
      </c>
      <c r="H239">
        <v>11</v>
      </c>
      <c r="I239">
        <v>21</v>
      </c>
      <c r="J239">
        <v>24</v>
      </c>
      <c r="K239">
        <v>4.4000000000000004</v>
      </c>
      <c r="L239" s="3">
        <v>5.2</v>
      </c>
      <c r="M239" t="s">
        <v>1036</v>
      </c>
      <c r="N239">
        <v>62.73</v>
      </c>
    </row>
    <row r="240" spans="1:14" x14ac:dyDescent="0.3">
      <c r="A240" t="s">
        <v>250</v>
      </c>
      <c r="B240" t="s">
        <v>1017</v>
      </c>
      <c r="C240" t="s">
        <v>1024</v>
      </c>
      <c r="D240">
        <v>31</v>
      </c>
      <c r="E240">
        <v>4</v>
      </c>
      <c r="F240" s="3">
        <v>49671</v>
      </c>
      <c r="G240">
        <v>40</v>
      </c>
      <c r="H240">
        <v>13</v>
      </c>
      <c r="I240">
        <v>17</v>
      </c>
      <c r="J240">
        <v>30</v>
      </c>
      <c r="K240">
        <v>2.7</v>
      </c>
      <c r="L240" s="3">
        <v>4.5999999999999996</v>
      </c>
      <c r="M240" t="s">
        <v>1036</v>
      </c>
      <c r="N240">
        <v>57.37</v>
      </c>
    </row>
    <row r="241" spans="1:14" x14ac:dyDescent="0.3">
      <c r="A241" t="s">
        <v>251</v>
      </c>
      <c r="B241" t="s">
        <v>1018</v>
      </c>
      <c r="C241" t="s">
        <v>1028</v>
      </c>
      <c r="D241">
        <v>51</v>
      </c>
      <c r="E241">
        <v>1</v>
      </c>
      <c r="F241" s="3">
        <v>61856</v>
      </c>
      <c r="G241">
        <v>48</v>
      </c>
      <c r="H241">
        <v>7</v>
      </c>
      <c r="I241">
        <v>17</v>
      </c>
      <c r="J241">
        <v>33</v>
      </c>
      <c r="K241">
        <v>2.4</v>
      </c>
      <c r="L241" s="3">
        <v>4.7</v>
      </c>
      <c r="M241" t="s">
        <v>1036</v>
      </c>
      <c r="N241">
        <v>47.07</v>
      </c>
    </row>
    <row r="242" spans="1:14" x14ac:dyDescent="0.3">
      <c r="A242" t="s">
        <v>252</v>
      </c>
      <c r="B242" t="s">
        <v>1016</v>
      </c>
      <c r="C242" t="s">
        <v>1022</v>
      </c>
      <c r="D242">
        <v>27</v>
      </c>
      <c r="E242">
        <v>3</v>
      </c>
      <c r="F242" s="3">
        <v>80517</v>
      </c>
      <c r="G242">
        <v>46</v>
      </c>
      <c r="H242">
        <v>2</v>
      </c>
      <c r="I242">
        <v>17</v>
      </c>
      <c r="J242">
        <v>12</v>
      </c>
      <c r="K242">
        <v>2.2000000000000002</v>
      </c>
      <c r="L242" s="3">
        <v>5.6</v>
      </c>
      <c r="M242" t="s">
        <v>1036</v>
      </c>
      <c r="N242">
        <v>43.53</v>
      </c>
    </row>
    <row r="243" spans="1:14" x14ac:dyDescent="0.3">
      <c r="A243" t="s">
        <v>253</v>
      </c>
      <c r="B243" t="s">
        <v>1015</v>
      </c>
      <c r="C243" t="s">
        <v>1021</v>
      </c>
      <c r="D243">
        <v>24</v>
      </c>
      <c r="E243">
        <v>0</v>
      </c>
      <c r="F243" s="3">
        <v>37331</v>
      </c>
      <c r="G243">
        <v>53</v>
      </c>
      <c r="H243">
        <v>12</v>
      </c>
      <c r="I243">
        <v>21</v>
      </c>
      <c r="J243">
        <v>35</v>
      </c>
      <c r="K243">
        <v>2.7</v>
      </c>
      <c r="L243" s="3">
        <v>4.5</v>
      </c>
      <c r="M243" t="s">
        <v>1036</v>
      </c>
      <c r="N243">
        <v>55.1</v>
      </c>
    </row>
    <row r="244" spans="1:14" x14ac:dyDescent="0.3">
      <c r="A244" t="s">
        <v>254</v>
      </c>
      <c r="B244" t="s">
        <v>1016</v>
      </c>
      <c r="C244" t="s">
        <v>1022</v>
      </c>
      <c r="D244">
        <v>22</v>
      </c>
      <c r="E244">
        <v>0</v>
      </c>
      <c r="F244" s="3">
        <v>86417</v>
      </c>
      <c r="G244">
        <v>41</v>
      </c>
      <c r="H244">
        <v>12</v>
      </c>
      <c r="I244">
        <v>3</v>
      </c>
      <c r="J244">
        <v>30</v>
      </c>
      <c r="K244">
        <v>4.7</v>
      </c>
      <c r="L244" s="3">
        <v>7.9</v>
      </c>
      <c r="M244" t="s">
        <v>1035</v>
      </c>
      <c r="N244">
        <v>81.5</v>
      </c>
    </row>
    <row r="245" spans="1:14" x14ac:dyDescent="0.3">
      <c r="A245" t="s">
        <v>255</v>
      </c>
      <c r="B245" t="s">
        <v>1018</v>
      </c>
      <c r="C245" t="s">
        <v>1032</v>
      </c>
      <c r="D245">
        <v>47</v>
      </c>
      <c r="E245">
        <v>7</v>
      </c>
      <c r="F245" s="3">
        <v>61181</v>
      </c>
      <c r="G245">
        <v>45</v>
      </c>
      <c r="H245">
        <v>13</v>
      </c>
      <c r="I245">
        <v>9</v>
      </c>
      <c r="J245">
        <v>24</v>
      </c>
      <c r="K245">
        <v>3.4</v>
      </c>
      <c r="L245" s="3">
        <v>7.5</v>
      </c>
      <c r="M245" t="s">
        <v>1035</v>
      </c>
      <c r="N245">
        <v>76.87</v>
      </c>
    </row>
    <row r="246" spans="1:14" x14ac:dyDescent="0.3">
      <c r="A246" t="s">
        <v>256</v>
      </c>
      <c r="B246" t="s">
        <v>1016</v>
      </c>
      <c r="C246" t="s">
        <v>1023</v>
      </c>
      <c r="D246">
        <v>45</v>
      </c>
      <c r="E246">
        <v>15</v>
      </c>
      <c r="F246" s="3">
        <v>55540</v>
      </c>
      <c r="G246">
        <v>38</v>
      </c>
      <c r="H246">
        <v>13</v>
      </c>
      <c r="I246">
        <v>23</v>
      </c>
      <c r="J246">
        <v>30</v>
      </c>
      <c r="K246">
        <v>4.3</v>
      </c>
      <c r="L246" s="3">
        <v>5.2</v>
      </c>
      <c r="M246" t="s">
        <v>1036</v>
      </c>
      <c r="N246">
        <v>65.77</v>
      </c>
    </row>
    <row r="247" spans="1:14" x14ac:dyDescent="0.3">
      <c r="A247" t="s">
        <v>257</v>
      </c>
      <c r="B247" t="s">
        <v>1016</v>
      </c>
      <c r="C247" t="s">
        <v>1022</v>
      </c>
      <c r="D247">
        <v>42</v>
      </c>
      <c r="E247">
        <v>13</v>
      </c>
      <c r="F247" s="3">
        <v>27996</v>
      </c>
      <c r="G247">
        <v>53</v>
      </c>
      <c r="H247">
        <v>14</v>
      </c>
      <c r="I247">
        <v>7</v>
      </c>
      <c r="J247">
        <v>9</v>
      </c>
      <c r="K247">
        <v>2</v>
      </c>
      <c r="L247" s="3">
        <v>6.9</v>
      </c>
      <c r="M247" t="s">
        <v>1035</v>
      </c>
      <c r="N247">
        <v>70.73</v>
      </c>
    </row>
    <row r="248" spans="1:14" x14ac:dyDescent="0.3">
      <c r="A248" t="s">
        <v>258</v>
      </c>
      <c r="B248" t="s">
        <v>1015</v>
      </c>
      <c r="C248" t="s">
        <v>1020</v>
      </c>
      <c r="D248">
        <v>48</v>
      </c>
      <c r="E248">
        <v>9</v>
      </c>
      <c r="F248" s="3">
        <v>34988</v>
      </c>
      <c r="G248">
        <v>41</v>
      </c>
      <c r="H248">
        <v>6</v>
      </c>
      <c r="I248">
        <v>7</v>
      </c>
      <c r="J248">
        <v>24</v>
      </c>
      <c r="K248">
        <v>3.7</v>
      </c>
      <c r="L248" s="3">
        <v>4.7</v>
      </c>
      <c r="M248" t="s">
        <v>1036</v>
      </c>
      <c r="N248">
        <v>49.3</v>
      </c>
    </row>
    <row r="249" spans="1:14" x14ac:dyDescent="0.3">
      <c r="A249" t="s">
        <v>259</v>
      </c>
      <c r="B249" t="s">
        <v>1016</v>
      </c>
      <c r="C249" t="s">
        <v>1023</v>
      </c>
      <c r="D249">
        <v>38</v>
      </c>
      <c r="E249">
        <v>15</v>
      </c>
      <c r="F249" s="3">
        <v>88341</v>
      </c>
      <c r="G249">
        <v>55</v>
      </c>
      <c r="H249">
        <v>12</v>
      </c>
      <c r="I249">
        <v>15</v>
      </c>
      <c r="J249">
        <v>29</v>
      </c>
      <c r="K249">
        <v>2.5</v>
      </c>
      <c r="L249" s="3">
        <v>8.6</v>
      </c>
      <c r="M249" t="s">
        <v>1034</v>
      </c>
      <c r="N249">
        <v>79.099999999999994</v>
      </c>
    </row>
    <row r="250" spans="1:14" x14ac:dyDescent="0.3">
      <c r="A250" t="s">
        <v>260</v>
      </c>
      <c r="B250" t="s">
        <v>1018</v>
      </c>
      <c r="C250" t="s">
        <v>1027</v>
      </c>
      <c r="D250">
        <v>53</v>
      </c>
      <c r="E250">
        <v>5</v>
      </c>
      <c r="F250" s="3">
        <v>85089</v>
      </c>
      <c r="G250">
        <v>52</v>
      </c>
      <c r="H250">
        <v>11</v>
      </c>
      <c r="I250">
        <v>1</v>
      </c>
      <c r="J250">
        <v>33</v>
      </c>
      <c r="K250">
        <v>2.1</v>
      </c>
      <c r="L250" s="3">
        <v>8.9</v>
      </c>
      <c r="M250" t="s">
        <v>1034</v>
      </c>
      <c r="N250">
        <v>78.03</v>
      </c>
    </row>
    <row r="251" spans="1:14" x14ac:dyDescent="0.3">
      <c r="A251" t="s">
        <v>261</v>
      </c>
      <c r="B251" t="s">
        <v>1014</v>
      </c>
      <c r="C251" t="s">
        <v>1031</v>
      </c>
      <c r="D251">
        <v>22</v>
      </c>
      <c r="E251">
        <v>1</v>
      </c>
      <c r="F251" s="3">
        <v>34010</v>
      </c>
      <c r="G251">
        <v>55</v>
      </c>
      <c r="H251">
        <v>4</v>
      </c>
      <c r="I251">
        <v>2</v>
      </c>
      <c r="J251">
        <v>9</v>
      </c>
      <c r="K251">
        <v>2</v>
      </c>
      <c r="L251" s="3">
        <v>6.5</v>
      </c>
      <c r="M251" t="s">
        <v>1035</v>
      </c>
      <c r="N251">
        <v>51.67</v>
      </c>
    </row>
    <row r="252" spans="1:14" x14ac:dyDescent="0.3">
      <c r="A252" t="s">
        <v>262</v>
      </c>
      <c r="B252" t="s">
        <v>1014</v>
      </c>
      <c r="C252" t="s">
        <v>1031</v>
      </c>
      <c r="D252">
        <v>52</v>
      </c>
      <c r="E252">
        <v>15</v>
      </c>
      <c r="F252" s="3">
        <v>26030</v>
      </c>
      <c r="G252">
        <v>35</v>
      </c>
      <c r="H252">
        <v>9</v>
      </c>
      <c r="I252">
        <v>17</v>
      </c>
      <c r="J252">
        <v>26</v>
      </c>
      <c r="K252">
        <v>2</v>
      </c>
      <c r="L252" s="3">
        <v>6.7</v>
      </c>
      <c r="M252" t="s">
        <v>1035</v>
      </c>
      <c r="N252">
        <v>61.2</v>
      </c>
    </row>
    <row r="253" spans="1:14" x14ac:dyDescent="0.3">
      <c r="A253" t="s">
        <v>263</v>
      </c>
      <c r="B253" t="s">
        <v>1015</v>
      </c>
      <c r="C253" t="s">
        <v>1029</v>
      </c>
      <c r="D253">
        <v>40</v>
      </c>
      <c r="E253">
        <v>0</v>
      </c>
      <c r="F253" s="3">
        <v>57913</v>
      </c>
      <c r="G253">
        <v>48</v>
      </c>
      <c r="H253">
        <v>13</v>
      </c>
      <c r="I253">
        <v>5</v>
      </c>
      <c r="J253">
        <v>6</v>
      </c>
      <c r="K253">
        <v>4.8</v>
      </c>
      <c r="L253" s="3">
        <v>6.7</v>
      </c>
      <c r="M253" t="s">
        <v>1035</v>
      </c>
      <c r="N253">
        <v>76.27</v>
      </c>
    </row>
    <row r="254" spans="1:14" x14ac:dyDescent="0.3">
      <c r="A254" t="s">
        <v>264</v>
      </c>
      <c r="B254" t="s">
        <v>1018</v>
      </c>
      <c r="C254" t="s">
        <v>1032</v>
      </c>
      <c r="D254">
        <v>55</v>
      </c>
      <c r="E254">
        <v>8</v>
      </c>
      <c r="F254" s="3">
        <v>78425</v>
      </c>
      <c r="G254">
        <v>46</v>
      </c>
      <c r="H254">
        <v>5</v>
      </c>
      <c r="I254">
        <v>25</v>
      </c>
      <c r="J254">
        <v>25</v>
      </c>
      <c r="K254">
        <v>2.2000000000000002</v>
      </c>
      <c r="L254" s="3">
        <v>9.6999999999999993</v>
      </c>
      <c r="M254" t="s">
        <v>1034</v>
      </c>
      <c r="N254">
        <v>73.13</v>
      </c>
    </row>
    <row r="255" spans="1:14" x14ac:dyDescent="0.3">
      <c r="A255" t="s">
        <v>265</v>
      </c>
      <c r="B255" t="s">
        <v>1015</v>
      </c>
      <c r="C255" t="s">
        <v>1020</v>
      </c>
      <c r="D255">
        <v>37</v>
      </c>
      <c r="E255">
        <v>7</v>
      </c>
      <c r="F255" s="3">
        <v>44659</v>
      </c>
      <c r="G255">
        <v>37</v>
      </c>
      <c r="H255">
        <v>11</v>
      </c>
      <c r="I255">
        <v>20</v>
      </c>
      <c r="J255">
        <v>2</v>
      </c>
      <c r="K255">
        <v>2.2999999999999998</v>
      </c>
      <c r="L255" s="3">
        <v>5.7</v>
      </c>
      <c r="M255" t="s">
        <v>1036</v>
      </c>
      <c r="N255">
        <v>59.43</v>
      </c>
    </row>
    <row r="256" spans="1:14" x14ac:dyDescent="0.3">
      <c r="A256" t="s">
        <v>266</v>
      </c>
      <c r="B256" t="s">
        <v>1017</v>
      </c>
      <c r="C256" t="s">
        <v>1030</v>
      </c>
      <c r="D256">
        <v>25</v>
      </c>
      <c r="E256">
        <v>0</v>
      </c>
      <c r="F256" s="3">
        <v>71061</v>
      </c>
      <c r="G256">
        <v>40</v>
      </c>
      <c r="H256">
        <v>2</v>
      </c>
      <c r="I256">
        <v>15</v>
      </c>
      <c r="J256">
        <v>27</v>
      </c>
      <c r="K256">
        <v>3.9</v>
      </c>
      <c r="L256" s="3">
        <v>5.3</v>
      </c>
      <c r="M256" t="s">
        <v>1036</v>
      </c>
      <c r="N256">
        <v>46.83</v>
      </c>
    </row>
    <row r="257" spans="1:14" x14ac:dyDescent="0.3">
      <c r="A257" t="s">
        <v>267</v>
      </c>
      <c r="B257" t="s">
        <v>1015</v>
      </c>
      <c r="C257" t="s">
        <v>1021</v>
      </c>
      <c r="D257">
        <v>24</v>
      </c>
      <c r="E257">
        <v>1</v>
      </c>
      <c r="F257" s="3">
        <v>38855</v>
      </c>
      <c r="G257">
        <v>53</v>
      </c>
      <c r="H257">
        <v>8</v>
      </c>
      <c r="I257">
        <v>8</v>
      </c>
      <c r="J257">
        <v>2</v>
      </c>
      <c r="K257">
        <v>4.8</v>
      </c>
      <c r="L257" s="3">
        <v>7.8</v>
      </c>
      <c r="M257" t="s">
        <v>1035</v>
      </c>
      <c r="N257">
        <v>74.53</v>
      </c>
    </row>
    <row r="258" spans="1:14" x14ac:dyDescent="0.3">
      <c r="A258" t="s">
        <v>268</v>
      </c>
      <c r="B258" t="s">
        <v>1015</v>
      </c>
      <c r="C258" t="s">
        <v>1021</v>
      </c>
      <c r="D258">
        <v>24</v>
      </c>
      <c r="E258">
        <v>1</v>
      </c>
      <c r="F258" s="3">
        <v>85867</v>
      </c>
      <c r="G258">
        <v>45</v>
      </c>
      <c r="H258">
        <v>1</v>
      </c>
      <c r="I258">
        <v>6</v>
      </c>
      <c r="J258">
        <v>37</v>
      </c>
      <c r="K258">
        <v>2.4</v>
      </c>
      <c r="L258" s="3">
        <v>8.6999999999999993</v>
      </c>
      <c r="M258" t="s">
        <v>1034</v>
      </c>
      <c r="N258">
        <v>61.07</v>
      </c>
    </row>
    <row r="259" spans="1:14" x14ac:dyDescent="0.3">
      <c r="A259" t="s">
        <v>269</v>
      </c>
      <c r="B259" t="s">
        <v>1014</v>
      </c>
      <c r="C259" t="s">
        <v>1019</v>
      </c>
      <c r="D259">
        <v>41</v>
      </c>
      <c r="E259">
        <v>5</v>
      </c>
      <c r="F259" s="3">
        <v>61959</v>
      </c>
      <c r="G259">
        <v>42</v>
      </c>
      <c r="H259">
        <v>10</v>
      </c>
      <c r="I259">
        <v>12</v>
      </c>
      <c r="J259">
        <v>34</v>
      </c>
      <c r="K259">
        <v>3</v>
      </c>
      <c r="L259" s="3">
        <v>8.3000000000000007</v>
      </c>
      <c r="M259" t="s">
        <v>1034</v>
      </c>
      <c r="N259">
        <v>75.47</v>
      </c>
    </row>
    <row r="260" spans="1:14" x14ac:dyDescent="0.3">
      <c r="A260" t="s">
        <v>270</v>
      </c>
      <c r="B260" t="s">
        <v>1014</v>
      </c>
      <c r="C260" t="s">
        <v>1025</v>
      </c>
      <c r="D260">
        <v>54</v>
      </c>
      <c r="E260">
        <v>11</v>
      </c>
      <c r="F260" s="3">
        <v>28519</v>
      </c>
      <c r="G260">
        <v>38</v>
      </c>
      <c r="H260">
        <v>7</v>
      </c>
      <c r="I260">
        <v>7</v>
      </c>
      <c r="J260">
        <v>4</v>
      </c>
      <c r="K260">
        <v>3</v>
      </c>
      <c r="L260" s="3">
        <v>8.4</v>
      </c>
      <c r="M260" t="s">
        <v>1034</v>
      </c>
      <c r="N260">
        <v>71.069999999999993</v>
      </c>
    </row>
    <row r="261" spans="1:14" x14ac:dyDescent="0.3">
      <c r="A261" t="s">
        <v>271</v>
      </c>
      <c r="B261" t="s">
        <v>1017</v>
      </c>
      <c r="C261" t="s">
        <v>1026</v>
      </c>
      <c r="D261">
        <v>42</v>
      </c>
      <c r="E261">
        <v>0</v>
      </c>
      <c r="F261" s="3">
        <v>66557</v>
      </c>
      <c r="G261">
        <v>43</v>
      </c>
      <c r="H261">
        <v>13</v>
      </c>
      <c r="I261">
        <v>14</v>
      </c>
      <c r="J261">
        <v>31</v>
      </c>
      <c r="K261">
        <v>2.7</v>
      </c>
      <c r="L261" s="3">
        <v>6.9</v>
      </c>
      <c r="M261" t="s">
        <v>1035</v>
      </c>
      <c r="N261">
        <v>71.17</v>
      </c>
    </row>
    <row r="262" spans="1:14" x14ac:dyDescent="0.3">
      <c r="A262" t="s">
        <v>272</v>
      </c>
      <c r="B262" t="s">
        <v>1017</v>
      </c>
      <c r="C262" t="s">
        <v>1030</v>
      </c>
      <c r="D262">
        <v>33</v>
      </c>
      <c r="E262">
        <v>10</v>
      </c>
      <c r="F262" s="3">
        <v>63395</v>
      </c>
      <c r="G262">
        <v>47</v>
      </c>
      <c r="H262">
        <v>2</v>
      </c>
      <c r="I262">
        <v>24</v>
      </c>
      <c r="J262">
        <v>39</v>
      </c>
      <c r="K262">
        <v>2.9</v>
      </c>
      <c r="L262" s="3">
        <v>4.7</v>
      </c>
      <c r="M262" t="s">
        <v>1036</v>
      </c>
      <c r="N262">
        <v>40.229999999999997</v>
      </c>
    </row>
    <row r="263" spans="1:14" x14ac:dyDescent="0.3">
      <c r="A263" t="s">
        <v>273</v>
      </c>
      <c r="B263" t="s">
        <v>1014</v>
      </c>
      <c r="C263" t="s">
        <v>1019</v>
      </c>
      <c r="D263">
        <v>39</v>
      </c>
      <c r="E263">
        <v>4</v>
      </c>
      <c r="F263" s="3">
        <v>49903</v>
      </c>
      <c r="G263">
        <v>55</v>
      </c>
      <c r="H263">
        <v>3</v>
      </c>
      <c r="I263">
        <v>23</v>
      </c>
      <c r="J263">
        <v>24</v>
      </c>
      <c r="K263">
        <v>3</v>
      </c>
      <c r="L263" s="3">
        <v>3.7</v>
      </c>
      <c r="M263" t="s">
        <v>1036</v>
      </c>
      <c r="N263">
        <v>36.200000000000003</v>
      </c>
    </row>
    <row r="264" spans="1:14" x14ac:dyDescent="0.3">
      <c r="A264" t="s">
        <v>274</v>
      </c>
      <c r="B264" t="s">
        <v>1016</v>
      </c>
      <c r="C264" t="s">
        <v>1022</v>
      </c>
      <c r="D264">
        <v>50</v>
      </c>
      <c r="E264">
        <v>11</v>
      </c>
      <c r="F264" s="3">
        <v>74895</v>
      </c>
      <c r="G264">
        <v>43</v>
      </c>
      <c r="H264">
        <v>2</v>
      </c>
      <c r="I264">
        <v>4</v>
      </c>
      <c r="J264">
        <v>5</v>
      </c>
      <c r="K264">
        <v>2.6</v>
      </c>
      <c r="L264" s="3">
        <v>6.1</v>
      </c>
      <c r="M264" t="s">
        <v>1035</v>
      </c>
      <c r="N264">
        <v>47.73</v>
      </c>
    </row>
    <row r="265" spans="1:14" x14ac:dyDescent="0.3">
      <c r="A265" t="s">
        <v>275</v>
      </c>
      <c r="B265" t="s">
        <v>1015</v>
      </c>
      <c r="C265" t="s">
        <v>1021</v>
      </c>
      <c r="D265">
        <v>48</v>
      </c>
      <c r="E265">
        <v>3</v>
      </c>
      <c r="F265" s="3">
        <v>26721</v>
      </c>
      <c r="G265">
        <v>37</v>
      </c>
      <c r="H265">
        <v>6</v>
      </c>
      <c r="I265">
        <v>17</v>
      </c>
      <c r="J265">
        <v>5</v>
      </c>
      <c r="K265">
        <v>3.8</v>
      </c>
      <c r="L265" s="3">
        <v>8.5</v>
      </c>
      <c r="M265" t="s">
        <v>1034</v>
      </c>
      <c r="N265">
        <v>72.400000000000006</v>
      </c>
    </row>
    <row r="266" spans="1:14" x14ac:dyDescent="0.3">
      <c r="A266" t="s">
        <v>276</v>
      </c>
      <c r="B266" t="s">
        <v>1014</v>
      </c>
      <c r="C266" t="s">
        <v>1031</v>
      </c>
      <c r="D266">
        <v>40</v>
      </c>
      <c r="E266">
        <v>13</v>
      </c>
      <c r="F266" s="3">
        <v>50414</v>
      </c>
      <c r="G266">
        <v>37</v>
      </c>
      <c r="H266">
        <v>12</v>
      </c>
      <c r="I266">
        <v>17</v>
      </c>
      <c r="J266">
        <v>15</v>
      </c>
      <c r="K266">
        <v>3.7</v>
      </c>
      <c r="L266" s="3">
        <v>4.2</v>
      </c>
      <c r="M266" t="s">
        <v>1036</v>
      </c>
      <c r="N266">
        <v>56.3</v>
      </c>
    </row>
    <row r="267" spans="1:14" x14ac:dyDescent="0.3">
      <c r="A267" t="s">
        <v>277</v>
      </c>
      <c r="B267" t="s">
        <v>1018</v>
      </c>
      <c r="C267" t="s">
        <v>1032</v>
      </c>
      <c r="D267">
        <v>30</v>
      </c>
      <c r="E267">
        <v>4</v>
      </c>
      <c r="F267" s="3">
        <v>44734</v>
      </c>
      <c r="G267">
        <v>43</v>
      </c>
      <c r="H267">
        <v>8</v>
      </c>
      <c r="I267">
        <v>4</v>
      </c>
      <c r="J267">
        <v>4</v>
      </c>
      <c r="K267">
        <v>2.5</v>
      </c>
      <c r="L267" s="3">
        <v>4.9000000000000004</v>
      </c>
      <c r="M267" t="s">
        <v>1036</v>
      </c>
      <c r="N267">
        <v>50.23</v>
      </c>
    </row>
    <row r="268" spans="1:14" x14ac:dyDescent="0.3">
      <c r="A268" t="s">
        <v>278</v>
      </c>
      <c r="B268" t="s">
        <v>1017</v>
      </c>
      <c r="C268" t="s">
        <v>1030</v>
      </c>
      <c r="D268">
        <v>26</v>
      </c>
      <c r="E268">
        <v>2</v>
      </c>
      <c r="F268" s="3">
        <v>41495</v>
      </c>
      <c r="G268">
        <v>42</v>
      </c>
      <c r="H268">
        <v>12</v>
      </c>
      <c r="I268">
        <v>20</v>
      </c>
      <c r="J268">
        <v>31</v>
      </c>
      <c r="K268">
        <v>3.8</v>
      </c>
      <c r="L268" s="3">
        <v>4.4000000000000004</v>
      </c>
      <c r="M268" t="s">
        <v>1036</v>
      </c>
      <c r="N268">
        <v>57.8</v>
      </c>
    </row>
    <row r="269" spans="1:14" x14ac:dyDescent="0.3">
      <c r="A269" t="s">
        <v>279</v>
      </c>
      <c r="B269" t="s">
        <v>1018</v>
      </c>
      <c r="C269" t="s">
        <v>1032</v>
      </c>
      <c r="D269">
        <v>41</v>
      </c>
      <c r="E269">
        <v>0</v>
      </c>
      <c r="F269" s="3">
        <v>87182</v>
      </c>
      <c r="G269">
        <v>47</v>
      </c>
      <c r="H269">
        <v>6</v>
      </c>
      <c r="I269">
        <v>19</v>
      </c>
      <c r="J269">
        <v>24</v>
      </c>
      <c r="K269">
        <v>4.4000000000000004</v>
      </c>
      <c r="L269" s="3">
        <v>5.3</v>
      </c>
      <c r="M269" t="s">
        <v>1036</v>
      </c>
      <c r="N269">
        <v>55</v>
      </c>
    </row>
    <row r="270" spans="1:14" x14ac:dyDescent="0.3">
      <c r="A270" t="s">
        <v>280</v>
      </c>
      <c r="B270" t="s">
        <v>1017</v>
      </c>
      <c r="C270" t="s">
        <v>1026</v>
      </c>
      <c r="D270">
        <v>30</v>
      </c>
      <c r="E270">
        <v>4</v>
      </c>
      <c r="F270" s="3">
        <v>46015</v>
      </c>
      <c r="G270">
        <v>54</v>
      </c>
      <c r="H270">
        <v>12</v>
      </c>
      <c r="I270">
        <v>6</v>
      </c>
      <c r="J270">
        <v>30</v>
      </c>
      <c r="K270">
        <v>2.9</v>
      </c>
      <c r="L270" s="3">
        <v>9.8000000000000007</v>
      </c>
      <c r="M270" t="s">
        <v>1034</v>
      </c>
      <c r="N270">
        <v>87.5</v>
      </c>
    </row>
    <row r="271" spans="1:14" x14ac:dyDescent="0.3">
      <c r="A271" t="s">
        <v>281</v>
      </c>
      <c r="B271" t="s">
        <v>1016</v>
      </c>
      <c r="C271" t="s">
        <v>1023</v>
      </c>
      <c r="D271">
        <v>53</v>
      </c>
      <c r="E271">
        <v>7</v>
      </c>
      <c r="F271" s="3">
        <v>46357</v>
      </c>
      <c r="G271">
        <v>47</v>
      </c>
      <c r="H271">
        <v>5</v>
      </c>
      <c r="I271">
        <v>25</v>
      </c>
      <c r="J271">
        <v>25</v>
      </c>
      <c r="K271">
        <v>3.1</v>
      </c>
      <c r="L271" s="3">
        <v>9.5</v>
      </c>
      <c r="M271" t="s">
        <v>1034</v>
      </c>
      <c r="N271">
        <v>74.63</v>
      </c>
    </row>
    <row r="272" spans="1:14" x14ac:dyDescent="0.3">
      <c r="A272" t="s">
        <v>282</v>
      </c>
      <c r="B272" t="s">
        <v>1015</v>
      </c>
      <c r="C272" t="s">
        <v>1021</v>
      </c>
      <c r="D272">
        <v>33</v>
      </c>
      <c r="E272">
        <v>10</v>
      </c>
      <c r="F272" s="3">
        <v>75306</v>
      </c>
      <c r="G272">
        <v>52</v>
      </c>
      <c r="H272">
        <v>1</v>
      </c>
      <c r="I272">
        <v>23</v>
      </c>
      <c r="J272">
        <v>29</v>
      </c>
      <c r="K272">
        <v>4.8</v>
      </c>
      <c r="L272" s="3">
        <v>4.5</v>
      </c>
      <c r="M272" t="s">
        <v>1036</v>
      </c>
      <c r="N272">
        <v>43.07</v>
      </c>
    </row>
    <row r="273" spans="1:14" x14ac:dyDescent="0.3">
      <c r="A273" t="s">
        <v>283</v>
      </c>
      <c r="B273" t="s">
        <v>1014</v>
      </c>
      <c r="C273" t="s">
        <v>1031</v>
      </c>
      <c r="D273">
        <v>48</v>
      </c>
      <c r="E273">
        <v>15</v>
      </c>
      <c r="F273" s="3">
        <v>34121</v>
      </c>
      <c r="G273">
        <v>55</v>
      </c>
      <c r="H273">
        <v>5</v>
      </c>
      <c r="I273">
        <v>7</v>
      </c>
      <c r="J273">
        <v>16</v>
      </c>
      <c r="K273">
        <v>4</v>
      </c>
      <c r="L273" s="3">
        <v>8</v>
      </c>
      <c r="M273" t="s">
        <v>1034</v>
      </c>
      <c r="N273">
        <v>68.33</v>
      </c>
    </row>
    <row r="274" spans="1:14" x14ac:dyDescent="0.3">
      <c r="A274" t="s">
        <v>284</v>
      </c>
      <c r="B274" t="s">
        <v>1014</v>
      </c>
      <c r="C274" t="s">
        <v>1031</v>
      </c>
      <c r="D274">
        <v>50</v>
      </c>
      <c r="E274">
        <v>15</v>
      </c>
      <c r="F274" s="3">
        <v>63157</v>
      </c>
      <c r="G274">
        <v>47</v>
      </c>
      <c r="H274">
        <v>9</v>
      </c>
      <c r="I274">
        <v>16</v>
      </c>
      <c r="J274">
        <v>26</v>
      </c>
      <c r="K274">
        <v>3.6</v>
      </c>
      <c r="L274" s="3">
        <v>8.5</v>
      </c>
      <c r="M274" t="s">
        <v>1034</v>
      </c>
      <c r="N274">
        <v>76.8</v>
      </c>
    </row>
    <row r="275" spans="1:14" x14ac:dyDescent="0.3">
      <c r="A275" t="s">
        <v>285</v>
      </c>
      <c r="B275" t="s">
        <v>1015</v>
      </c>
      <c r="C275" t="s">
        <v>1020</v>
      </c>
      <c r="D275">
        <v>27</v>
      </c>
      <c r="E275">
        <v>0</v>
      </c>
      <c r="F275" s="3">
        <v>75394</v>
      </c>
      <c r="G275">
        <v>42</v>
      </c>
      <c r="H275">
        <v>11</v>
      </c>
      <c r="I275">
        <v>21</v>
      </c>
      <c r="J275">
        <v>22</v>
      </c>
      <c r="K275">
        <v>2.5</v>
      </c>
      <c r="L275" s="3">
        <v>7.3</v>
      </c>
      <c r="M275" t="s">
        <v>1035</v>
      </c>
      <c r="N275">
        <v>69.63</v>
      </c>
    </row>
    <row r="276" spans="1:14" x14ac:dyDescent="0.3">
      <c r="A276" t="s">
        <v>286</v>
      </c>
      <c r="B276" t="s">
        <v>1017</v>
      </c>
      <c r="C276" t="s">
        <v>1024</v>
      </c>
      <c r="D276">
        <v>43</v>
      </c>
      <c r="E276">
        <v>13</v>
      </c>
      <c r="F276" s="3">
        <v>31943</v>
      </c>
      <c r="G276">
        <v>35</v>
      </c>
      <c r="H276">
        <v>2</v>
      </c>
      <c r="I276">
        <v>8</v>
      </c>
      <c r="J276">
        <v>14</v>
      </c>
      <c r="K276">
        <v>3.5</v>
      </c>
      <c r="L276" s="3">
        <v>6.6</v>
      </c>
      <c r="M276" t="s">
        <v>1035</v>
      </c>
      <c r="N276">
        <v>53.43</v>
      </c>
    </row>
    <row r="277" spans="1:14" x14ac:dyDescent="0.3">
      <c r="A277" t="s">
        <v>287</v>
      </c>
      <c r="B277" t="s">
        <v>1015</v>
      </c>
      <c r="C277" t="s">
        <v>1029</v>
      </c>
      <c r="D277">
        <v>36</v>
      </c>
      <c r="E277">
        <v>14</v>
      </c>
      <c r="F277" s="3">
        <v>49518</v>
      </c>
      <c r="G277">
        <v>47</v>
      </c>
      <c r="H277">
        <v>8</v>
      </c>
      <c r="I277">
        <v>24</v>
      </c>
      <c r="J277">
        <v>37</v>
      </c>
      <c r="K277">
        <v>4.0999999999999996</v>
      </c>
      <c r="L277" s="3">
        <v>4.0999999999999996</v>
      </c>
      <c r="M277" t="s">
        <v>1036</v>
      </c>
      <c r="N277">
        <v>50.23</v>
      </c>
    </row>
    <row r="278" spans="1:14" x14ac:dyDescent="0.3">
      <c r="A278" t="s">
        <v>288</v>
      </c>
      <c r="B278" t="s">
        <v>1017</v>
      </c>
      <c r="C278" t="s">
        <v>1030</v>
      </c>
      <c r="D278">
        <v>28</v>
      </c>
      <c r="E278">
        <v>4</v>
      </c>
      <c r="F278" s="3">
        <v>52261</v>
      </c>
      <c r="G278">
        <v>37</v>
      </c>
      <c r="H278">
        <v>2</v>
      </c>
      <c r="I278">
        <v>23</v>
      </c>
      <c r="J278">
        <v>9</v>
      </c>
      <c r="K278">
        <v>3</v>
      </c>
      <c r="L278" s="3">
        <v>5.4</v>
      </c>
      <c r="M278" t="s">
        <v>1036</v>
      </c>
      <c r="N278">
        <v>44.73</v>
      </c>
    </row>
    <row r="279" spans="1:14" x14ac:dyDescent="0.3">
      <c r="A279" t="s">
        <v>289</v>
      </c>
      <c r="B279" t="s">
        <v>1015</v>
      </c>
      <c r="C279" t="s">
        <v>1020</v>
      </c>
      <c r="D279">
        <v>52</v>
      </c>
      <c r="E279">
        <v>11</v>
      </c>
      <c r="F279" s="3">
        <v>56205</v>
      </c>
      <c r="G279">
        <v>38</v>
      </c>
      <c r="H279">
        <v>8</v>
      </c>
      <c r="I279">
        <v>23</v>
      </c>
      <c r="J279">
        <v>28</v>
      </c>
      <c r="K279">
        <v>3</v>
      </c>
      <c r="L279" s="3">
        <v>5.0999999999999996</v>
      </c>
      <c r="M279" t="s">
        <v>1036</v>
      </c>
      <c r="N279">
        <v>52.93</v>
      </c>
    </row>
    <row r="280" spans="1:14" x14ac:dyDescent="0.3">
      <c r="A280" t="s">
        <v>290</v>
      </c>
      <c r="B280" t="s">
        <v>1014</v>
      </c>
      <c r="C280" t="s">
        <v>1025</v>
      </c>
      <c r="D280">
        <v>23</v>
      </c>
      <c r="E280">
        <v>1</v>
      </c>
      <c r="F280" s="3">
        <v>67465</v>
      </c>
      <c r="G280">
        <v>38</v>
      </c>
      <c r="H280">
        <v>11</v>
      </c>
      <c r="I280">
        <v>25</v>
      </c>
      <c r="J280">
        <v>10</v>
      </c>
      <c r="K280">
        <v>4.8</v>
      </c>
      <c r="L280" s="3">
        <v>8.1999999999999993</v>
      </c>
      <c r="M280" t="s">
        <v>1034</v>
      </c>
      <c r="N280">
        <v>81.93</v>
      </c>
    </row>
    <row r="281" spans="1:14" x14ac:dyDescent="0.3">
      <c r="A281" t="s">
        <v>291</v>
      </c>
      <c r="B281" t="s">
        <v>1018</v>
      </c>
      <c r="C281" t="s">
        <v>1027</v>
      </c>
      <c r="D281">
        <v>32</v>
      </c>
      <c r="E281">
        <v>5</v>
      </c>
      <c r="F281" s="3">
        <v>61690</v>
      </c>
      <c r="G281">
        <v>48</v>
      </c>
      <c r="H281">
        <v>8</v>
      </c>
      <c r="I281">
        <v>7</v>
      </c>
      <c r="J281">
        <v>25</v>
      </c>
      <c r="K281">
        <v>3.9</v>
      </c>
      <c r="L281" s="3">
        <v>4.3</v>
      </c>
      <c r="M281" t="s">
        <v>1036</v>
      </c>
      <c r="N281">
        <v>50.83</v>
      </c>
    </row>
    <row r="282" spans="1:14" x14ac:dyDescent="0.3">
      <c r="A282" t="s">
        <v>292</v>
      </c>
      <c r="B282" t="s">
        <v>1017</v>
      </c>
      <c r="C282" t="s">
        <v>1024</v>
      </c>
      <c r="D282">
        <v>47</v>
      </c>
      <c r="E282">
        <v>0</v>
      </c>
      <c r="F282" s="3">
        <v>73325</v>
      </c>
      <c r="G282">
        <v>54</v>
      </c>
      <c r="H282">
        <v>15</v>
      </c>
      <c r="I282">
        <v>6</v>
      </c>
      <c r="J282">
        <v>28</v>
      </c>
      <c r="K282">
        <v>3.8</v>
      </c>
      <c r="L282" s="3">
        <v>5.7</v>
      </c>
      <c r="M282" t="s">
        <v>1036</v>
      </c>
      <c r="N282">
        <v>70.599999999999994</v>
      </c>
    </row>
    <row r="283" spans="1:14" x14ac:dyDescent="0.3">
      <c r="A283" t="s">
        <v>293</v>
      </c>
      <c r="B283" t="s">
        <v>1018</v>
      </c>
      <c r="C283" t="s">
        <v>1032</v>
      </c>
      <c r="D283">
        <v>35</v>
      </c>
      <c r="E283">
        <v>4</v>
      </c>
      <c r="F283" s="3">
        <v>74304</v>
      </c>
      <c r="G283">
        <v>37</v>
      </c>
      <c r="H283">
        <v>10</v>
      </c>
      <c r="I283">
        <v>3</v>
      </c>
      <c r="J283">
        <v>34</v>
      </c>
      <c r="K283">
        <v>2.6</v>
      </c>
      <c r="L283" s="3">
        <v>5.3</v>
      </c>
      <c r="M283" t="s">
        <v>1036</v>
      </c>
      <c r="N283">
        <v>56.27</v>
      </c>
    </row>
    <row r="284" spans="1:14" x14ac:dyDescent="0.3">
      <c r="A284" t="s">
        <v>294</v>
      </c>
      <c r="B284" t="s">
        <v>1014</v>
      </c>
      <c r="C284" t="s">
        <v>1031</v>
      </c>
      <c r="D284">
        <v>38</v>
      </c>
      <c r="E284">
        <v>15</v>
      </c>
      <c r="F284" s="3">
        <v>59584</v>
      </c>
      <c r="G284">
        <v>55</v>
      </c>
      <c r="H284">
        <v>6</v>
      </c>
      <c r="I284">
        <v>19</v>
      </c>
      <c r="J284">
        <v>24</v>
      </c>
      <c r="K284">
        <v>3.8</v>
      </c>
      <c r="L284" s="3">
        <v>7.1</v>
      </c>
      <c r="M284" t="s">
        <v>1035</v>
      </c>
      <c r="N284">
        <v>64</v>
      </c>
    </row>
    <row r="285" spans="1:14" x14ac:dyDescent="0.3">
      <c r="A285" t="s">
        <v>295</v>
      </c>
      <c r="B285" t="s">
        <v>1016</v>
      </c>
      <c r="C285" t="s">
        <v>1023</v>
      </c>
      <c r="D285">
        <v>51</v>
      </c>
      <c r="E285">
        <v>5</v>
      </c>
      <c r="F285" s="3">
        <v>78329</v>
      </c>
      <c r="G285">
        <v>44</v>
      </c>
      <c r="H285">
        <v>15</v>
      </c>
      <c r="I285">
        <v>19</v>
      </c>
      <c r="J285">
        <v>37</v>
      </c>
      <c r="K285">
        <v>2.2999999999999998</v>
      </c>
      <c r="L285" s="3">
        <v>3.9</v>
      </c>
      <c r="M285" t="s">
        <v>1036</v>
      </c>
      <c r="N285">
        <v>55.3</v>
      </c>
    </row>
    <row r="286" spans="1:14" x14ac:dyDescent="0.3">
      <c r="A286" t="s">
        <v>296</v>
      </c>
      <c r="B286" t="s">
        <v>1018</v>
      </c>
      <c r="C286" t="s">
        <v>1027</v>
      </c>
      <c r="D286">
        <v>41</v>
      </c>
      <c r="E286">
        <v>3</v>
      </c>
      <c r="F286" s="3">
        <v>36996</v>
      </c>
      <c r="G286">
        <v>46</v>
      </c>
      <c r="H286">
        <v>12</v>
      </c>
      <c r="I286">
        <v>4</v>
      </c>
      <c r="J286">
        <v>32</v>
      </c>
      <c r="K286">
        <v>3.2</v>
      </c>
      <c r="L286" s="3">
        <v>7.2</v>
      </c>
      <c r="M286" t="s">
        <v>1035</v>
      </c>
      <c r="N286">
        <v>72.8</v>
      </c>
    </row>
    <row r="287" spans="1:14" x14ac:dyDescent="0.3">
      <c r="A287" t="s">
        <v>297</v>
      </c>
      <c r="B287" t="s">
        <v>1017</v>
      </c>
      <c r="C287" t="s">
        <v>1030</v>
      </c>
      <c r="D287">
        <v>49</v>
      </c>
      <c r="E287">
        <v>5</v>
      </c>
      <c r="F287" s="3">
        <v>56894</v>
      </c>
      <c r="G287">
        <v>55</v>
      </c>
      <c r="H287">
        <v>9</v>
      </c>
      <c r="I287">
        <v>22</v>
      </c>
      <c r="J287">
        <v>11</v>
      </c>
      <c r="K287">
        <v>3.7</v>
      </c>
      <c r="L287" s="3">
        <v>6.4</v>
      </c>
      <c r="M287" t="s">
        <v>1035</v>
      </c>
      <c r="N287">
        <v>64.5</v>
      </c>
    </row>
    <row r="288" spans="1:14" x14ac:dyDescent="0.3">
      <c r="A288" t="s">
        <v>298</v>
      </c>
      <c r="B288" t="s">
        <v>1018</v>
      </c>
      <c r="C288" t="s">
        <v>1032</v>
      </c>
      <c r="D288">
        <v>42</v>
      </c>
      <c r="E288">
        <v>14</v>
      </c>
      <c r="F288" s="3">
        <v>65593</v>
      </c>
      <c r="G288">
        <v>36</v>
      </c>
      <c r="H288">
        <v>14</v>
      </c>
      <c r="I288">
        <v>11</v>
      </c>
      <c r="J288">
        <v>0</v>
      </c>
      <c r="K288">
        <v>3.5</v>
      </c>
      <c r="L288" s="3">
        <v>4.4000000000000004</v>
      </c>
      <c r="M288" t="s">
        <v>1036</v>
      </c>
      <c r="N288">
        <v>60.23</v>
      </c>
    </row>
    <row r="289" spans="1:14" x14ac:dyDescent="0.3">
      <c r="A289" t="s">
        <v>299</v>
      </c>
      <c r="B289" t="s">
        <v>1015</v>
      </c>
      <c r="C289" t="s">
        <v>1029</v>
      </c>
      <c r="D289">
        <v>54</v>
      </c>
      <c r="E289">
        <v>15</v>
      </c>
      <c r="F289" s="3">
        <v>51813</v>
      </c>
      <c r="G289">
        <v>50</v>
      </c>
      <c r="H289">
        <v>7</v>
      </c>
      <c r="I289">
        <v>22</v>
      </c>
      <c r="J289">
        <v>28</v>
      </c>
      <c r="K289">
        <v>3.5</v>
      </c>
      <c r="L289" s="3">
        <v>3.6</v>
      </c>
      <c r="M289" t="s">
        <v>1036</v>
      </c>
      <c r="N289">
        <v>43.77</v>
      </c>
    </row>
    <row r="290" spans="1:14" x14ac:dyDescent="0.3">
      <c r="A290" t="s">
        <v>300</v>
      </c>
      <c r="B290" t="s">
        <v>1018</v>
      </c>
      <c r="C290" t="s">
        <v>1032</v>
      </c>
      <c r="D290">
        <v>40</v>
      </c>
      <c r="E290">
        <v>1</v>
      </c>
      <c r="F290" s="3">
        <v>43012</v>
      </c>
      <c r="G290">
        <v>42</v>
      </c>
      <c r="H290">
        <v>9</v>
      </c>
      <c r="I290">
        <v>9</v>
      </c>
      <c r="J290">
        <v>10</v>
      </c>
      <c r="K290">
        <v>4.3</v>
      </c>
      <c r="L290" s="3">
        <v>7</v>
      </c>
      <c r="M290" t="s">
        <v>1035</v>
      </c>
      <c r="N290">
        <v>69.900000000000006</v>
      </c>
    </row>
    <row r="291" spans="1:14" x14ac:dyDescent="0.3">
      <c r="A291" t="s">
        <v>301</v>
      </c>
      <c r="B291" t="s">
        <v>1015</v>
      </c>
      <c r="C291" t="s">
        <v>1029</v>
      </c>
      <c r="D291">
        <v>54</v>
      </c>
      <c r="E291">
        <v>3</v>
      </c>
      <c r="F291" s="3">
        <v>62533</v>
      </c>
      <c r="G291">
        <v>38</v>
      </c>
      <c r="H291">
        <v>5</v>
      </c>
      <c r="I291">
        <v>24</v>
      </c>
      <c r="J291">
        <v>34</v>
      </c>
      <c r="K291">
        <v>4.5</v>
      </c>
      <c r="L291" s="3">
        <v>5.6</v>
      </c>
      <c r="M291" t="s">
        <v>1036</v>
      </c>
      <c r="N291">
        <v>55.43</v>
      </c>
    </row>
    <row r="292" spans="1:14" x14ac:dyDescent="0.3">
      <c r="A292" t="s">
        <v>302</v>
      </c>
      <c r="B292" t="s">
        <v>1017</v>
      </c>
      <c r="C292" t="s">
        <v>1026</v>
      </c>
      <c r="D292">
        <v>35</v>
      </c>
      <c r="E292">
        <v>6</v>
      </c>
      <c r="F292" s="3">
        <v>31711</v>
      </c>
      <c r="G292">
        <v>55</v>
      </c>
      <c r="H292">
        <v>13</v>
      </c>
      <c r="I292">
        <v>7</v>
      </c>
      <c r="J292">
        <v>19</v>
      </c>
      <c r="K292">
        <v>4.5999999999999996</v>
      </c>
      <c r="L292" s="3">
        <v>3.2</v>
      </c>
      <c r="M292" t="s">
        <v>1036</v>
      </c>
      <c r="N292">
        <v>54.67</v>
      </c>
    </row>
    <row r="293" spans="1:14" x14ac:dyDescent="0.3">
      <c r="A293" t="s">
        <v>303</v>
      </c>
      <c r="B293" t="s">
        <v>1016</v>
      </c>
      <c r="C293" t="s">
        <v>1022</v>
      </c>
      <c r="D293">
        <v>27</v>
      </c>
      <c r="E293">
        <v>3</v>
      </c>
      <c r="F293" s="3">
        <v>81707</v>
      </c>
      <c r="G293">
        <v>38</v>
      </c>
      <c r="H293">
        <v>13</v>
      </c>
      <c r="I293">
        <v>25</v>
      </c>
      <c r="J293">
        <v>15</v>
      </c>
      <c r="K293">
        <v>2.6</v>
      </c>
      <c r="L293" s="3">
        <v>8.1999999999999993</v>
      </c>
      <c r="M293" t="s">
        <v>1034</v>
      </c>
      <c r="N293">
        <v>78.67</v>
      </c>
    </row>
    <row r="294" spans="1:14" x14ac:dyDescent="0.3">
      <c r="A294" t="s">
        <v>304</v>
      </c>
      <c r="B294" t="s">
        <v>1016</v>
      </c>
      <c r="C294" t="s">
        <v>1022</v>
      </c>
      <c r="D294">
        <v>49</v>
      </c>
      <c r="E294">
        <v>5</v>
      </c>
      <c r="F294" s="3">
        <v>65380</v>
      </c>
      <c r="G294">
        <v>39</v>
      </c>
      <c r="H294">
        <v>13</v>
      </c>
      <c r="I294">
        <v>6</v>
      </c>
      <c r="J294">
        <v>13</v>
      </c>
      <c r="K294">
        <v>4.4000000000000004</v>
      </c>
      <c r="L294" s="3">
        <v>7</v>
      </c>
      <c r="M294" t="s">
        <v>1035</v>
      </c>
      <c r="N294">
        <v>76.87</v>
      </c>
    </row>
    <row r="295" spans="1:14" x14ac:dyDescent="0.3">
      <c r="A295" t="s">
        <v>305</v>
      </c>
      <c r="B295" t="s">
        <v>1016</v>
      </c>
      <c r="C295" t="s">
        <v>1022</v>
      </c>
      <c r="D295">
        <v>32</v>
      </c>
      <c r="E295">
        <v>5</v>
      </c>
      <c r="F295" s="3">
        <v>89159</v>
      </c>
      <c r="G295">
        <v>44</v>
      </c>
      <c r="H295">
        <v>5</v>
      </c>
      <c r="I295">
        <v>18</v>
      </c>
      <c r="J295">
        <v>17</v>
      </c>
      <c r="K295">
        <v>4.9000000000000004</v>
      </c>
      <c r="L295" s="3">
        <v>6.6</v>
      </c>
      <c r="M295" t="s">
        <v>1035</v>
      </c>
      <c r="N295">
        <v>62.63</v>
      </c>
    </row>
    <row r="296" spans="1:14" x14ac:dyDescent="0.3">
      <c r="A296" t="s">
        <v>306</v>
      </c>
      <c r="B296" t="s">
        <v>1014</v>
      </c>
      <c r="C296" t="s">
        <v>1019</v>
      </c>
      <c r="D296">
        <v>30</v>
      </c>
      <c r="E296">
        <v>6</v>
      </c>
      <c r="F296" s="3">
        <v>85212</v>
      </c>
      <c r="G296">
        <v>36</v>
      </c>
      <c r="H296">
        <v>5</v>
      </c>
      <c r="I296">
        <v>20</v>
      </c>
      <c r="J296">
        <v>8</v>
      </c>
      <c r="K296">
        <v>4.0999999999999996</v>
      </c>
      <c r="L296" s="3">
        <v>3.9</v>
      </c>
      <c r="M296" t="s">
        <v>1036</v>
      </c>
      <c r="N296">
        <v>44.03</v>
      </c>
    </row>
    <row r="297" spans="1:14" x14ac:dyDescent="0.3">
      <c r="A297" t="s">
        <v>307</v>
      </c>
      <c r="B297" t="s">
        <v>1016</v>
      </c>
      <c r="C297" t="s">
        <v>1023</v>
      </c>
      <c r="D297">
        <v>37</v>
      </c>
      <c r="E297">
        <v>12</v>
      </c>
      <c r="F297" s="3">
        <v>57077</v>
      </c>
      <c r="G297">
        <v>39</v>
      </c>
      <c r="H297">
        <v>10</v>
      </c>
      <c r="I297">
        <v>20</v>
      </c>
      <c r="J297">
        <v>17</v>
      </c>
      <c r="K297">
        <v>3.9</v>
      </c>
      <c r="L297" s="3">
        <v>5.6</v>
      </c>
      <c r="M297" t="s">
        <v>1036</v>
      </c>
      <c r="N297">
        <v>61.97</v>
      </c>
    </row>
    <row r="298" spans="1:14" x14ac:dyDescent="0.3">
      <c r="A298" t="s">
        <v>308</v>
      </c>
      <c r="B298" t="s">
        <v>1014</v>
      </c>
      <c r="C298" t="s">
        <v>1025</v>
      </c>
      <c r="D298">
        <v>47</v>
      </c>
      <c r="E298">
        <v>8</v>
      </c>
      <c r="F298" s="3">
        <v>70528</v>
      </c>
      <c r="G298">
        <v>46</v>
      </c>
      <c r="H298">
        <v>8</v>
      </c>
      <c r="I298">
        <v>15</v>
      </c>
      <c r="J298">
        <v>20</v>
      </c>
      <c r="K298">
        <v>3.7</v>
      </c>
      <c r="L298" s="3">
        <v>9.1</v>
      </c>
      <c r="M298" t="s">
        <v>1034</v>
      </c>
      <c r="N298">
        <v>79.03</v>
      </c>
    </row>
    <row r="299" spans="1:14" x14ac:dyDescent="0.3">
      <c r="A299" t="s">
        <v>309</v>
      </c>
      <c r="B299" t="s">
        <v>1014</v>
      </c>
      <c r="C299" t="s">
        <v>1019</v>
      </c>
      <c r="D299">
        <v>51</v>
      </c>
      <c r="E299">
        <v>11</v>
      </c>
      <c r="F299" s="3">
        <v>80712</v>
      </c>
      <c r="G299">
        <v>37</v>
      </c>
      <c r="H299">
        <v>13</v>
      </c>
      <c r="I299">
        <v>17</v>
      </c>
      <c r="J299">
        <v>25</v>
      </c>
      <c r="K299">
        <v>2.7</v>
      </c>
      <c r="L299" s="3">
        <v>6</v>
      </c>
      <c r="M299" t="s">
        <v>1035</v>
      </c>
      <c r="N299">
        <v>65.77</v>
      </c>
    </row>
    <row r="300" spans="1:14" x14ac:dyDescent="0.3">
      <c r="A300" t="s">
        <v>310</v>
      </c>
      <c r="B300" t="s">
        <v>1017</v>
      </c>
      <c r="C300" t="s">
        <v>1026</v>
      </c>
      <c r="D300">
        <v>39</v>
      </c>
      <c r="E300">
        <v>10</v>
      </c>
      <c r="F300" s="3">
        <v>79286</v>
      </c>
      <c r="G300">
        <v>44</v>
      </c>
      <c r="H300">
        <v>6</v>
      </c>
      <c r="I300">
        <v>17</v>
      </c>
      <c r="J300">
        <v>36</v>
      </c>
      <c r="K300">
        <v>2.4</v>
      </c>
      <c r="L300" s="3">
        <v>9</v>
      </c>
      <c r="M300" t="s">
        <v>1034</v>
      </c>
      <c r="N300">
        <v>71.2</v>
      </c>
    </row>
    <row r="301" spans="1:14" x14ac:dyDescent="0.3">
      <c r="A301" t="s">
        <v>311</v>
      </c>
      <c r="B301" t="s">
        <v>1014</v>
      </c>
      <c r="C301" t="s">
        <v>1031</v>
      </c>
      <c r="D301">
        <v>24</v>
      </c>
      <c r="E301">
        <v>0</v>
      </c>
      <c r="F301" s="3">
        <v>66037</v>
      </c>
      <c r="G301">
        <v>49</v>
      </c>
      <c r="H301">
        <v>1</v>
      </c>
      <c r="I301">
        <v>3</v>
      </c>
      <c r="J301">
        <v>10</v>
      </c>
      <c r="K301">
        <v>3.3</v>
      </c>
      <c r="L301" s="3">
        <v>3</v>
      </c>
      <c r="M301" t="s">
        <v>1036</v>
      </c>
      <c r="N301">
        <v>29.57</v>
      </c>
    </row>
    <row r="302" spans="1:14" x14ac:dyDescent="0.3">
      <c r="A302" t="s">
        <v>312</v>
      </c>
      <c r="B302" t="s">
        <v>1018</v>
      </c>
      <c r="C302" t="s">
        <v>1027</v>
      </c>
      <c r="D302">
        <v>30</v>
      </c>
      <c r="E302">
        <v>4</v>
      </c>
      <c r="F302" s="3">
        <v>35418</v>
      </c>
      <c r="G302">
        <v>43</v>
      </c>
      <c r="H302">
        <v>2</v>
      </c>
      <c r="I302">
        <v>20</v>
      </c>
      <c r="J302">
        <v>23</v>
      </c>
      <c r="K302">
        <v>2.8</v>
      </c>
      <c r="L302" s="3">
        <v>5.6</v>
      </c>
      <c r="M302" t="s">
        <v>1036</v>
      </c>
      <c r="N302">
        <v>45.33</v>
      </c>
    </row>
    <row r="303" spans="1:14" x14ac:dyDescent="0.3">
      <c r="A303" t="s">
        <v>313</v>
      </c>
      <c r="B303" t="s">
        <v>1018</v>
      </c>
      <c r="C303" t="s">
        <v>1028</v>
      </c>
      <c r="D303">
        <v>25</v>
      </c>
      <c r="E303">
        <v>3</v>
      </c>
      <c r="F303" s="3">
        <v>65999</v>
      </c>
      <c r="G303">
        <v>44</v>
      </c>
      <c r="H303">
        <v>12</v>
      </c>
      <c r="I303">
        <v>22</v>
      </c>
      <c r="J303">
        <v>14</v>
      </c>
      <c r="K303">
        <v>3.3</v>
      </c>
      <c r="L303" s="3">
        <v>3.6</v>
      </c>
      <c r="M303" t="s">
        <v>1036</v>
      </c>
      <c r="N303">
        <v>51.5</v>
      </c>
    </row>
    <row r="304" spans="1:14" x14ac:dyDescent="0.3">
      <c r="A304" t="s">
        <v>314</v>
      </c>
      <c r="B304" t="s">
        <v>1014</v>
      </c>
      <c r="C304" t="s">
        <v>1025</v>
      </c>
      <c r="D304">
        <v>35</v>
      </c>
      <c r="E304">
        <v>7</v>
      </c>
      <c r="F304" s="3">
        <v>30107</v>
      </c>
      <c r="G304">
        <v>39</v>
      </c>
      <c r="H304">
        <v>10</v>
      </c>
      <c r="I304">
        <v>7</v>
      </c>
      <c r="J304">
        <v>33</v>
      </c>
      <c r="K304">
        <v>4</v>
      </c>
      <c r="L304" s="3">
        <v>3.1</v>
      </c>
      <c r="M304" t="s">
        <v>1036</v>
      </c>
      <c r="N304">
        <v>47.27</v>
      </c>
    </row>
    <row r="305" spans="1:14" x14ac:dyDescent="0.3">
      <c r="A305" t="s">
        <v>315</v>
      </c>
      <c r="B305" t="s">
        <v>1016</v>
      </c>
      <c r="C305" t="s">
        <v>1023</v>
      </c>
      <c r="D305">
        <v>29</v>
      </c>
      <c r="E305">
        <v>6</v>
      </c>
      <c r="F305" s="3">
        <v>70484</v>
      </c>
      <c r="G305">
        <v>39</v>
      </c>
      <c r="H305">
        <v>8</v>
      </c>
      <c r="I305">
        <v>2</v>
      </c>
      <c r="J305">
        <v>14</v>
      </c>
      <c r="K305">
        <v>3.1</v>
      </c>
      <c r="L305" s="3">
        <v>8.1</v>
      </c>
      <c r="M305" t="s">
        <v>1034</v>
      </c>
      <c r="N305">
        <v>71.23</v>
      </c>
    </row>
    <row r="306" spans="1:14" x14ac:dyDescent="0.3">
      <c r="A306" t="s">
        <v>316</v>
      </c>
      <c r="B306" t="s">
        <v>1014</v>
      </c>
      <c r="C306" t="s">
        <v>1019</v>
      </c>
      <c r="D306">
        <v>42</v>
      </c>
      <c r="E306">
        <v>11</v>
      </c>
      <c r="F306" s="3">
        <v>82736</v>
      </c>
      <c r="G306">
        <v>44</v>
      </c>
      <c r="H306">
        <v>3</v>
      </c>
      <c r="I306">
        <v>12</v>
      </c>
      <c r="J306">
        <v>8</v>
      </c>
      <c r="K306">
        <v>3.9</v>
      </c>
      <c r="L306" s="3">
        <v>7.7</v>
      </c>
      <c r="M306" t="s">
        <v>1035</v>
      </c>
      <c r="N306">
        <v>62.9</v>
      </c>
    </row>
    <row r="307" spans="1:14" x14ac:dyDescent="0.3">
      <c r="A307" t="s">
        <v>317</v>
      </c>
      <c r="B307" t="s">
        <v>1015</v>
      </c>
      <c r="C307" t="s">
        <v>1020</v>
      </c>
      <c r="D307">
        <v>22</v>
      </c>
      <c r="E307">
        <v>0</v>
      </c>
      <c r="F307" s="3">
        <v>53842</v>
      </c>
      <c r="G307">
        <v>46</v>
      </c>
      <c r="H307">
        <v>12</v>
      </c>
      <c r="I307">
        <v>6</v>
      </c>
      <c r="J307">
        <v>40</v>
      </c>
      <c r="K307">
        <v>4.2</v>
      </c>
      <c r="L307" s="3">
        <v>9.4</v>
      </c>
      <c r="M307" t="s">
        <v>1034</v>
      </c>
      <c r="N307">
        <v>89</v>
      </c>
    </row>
    <row r="308" spans="1:14" x14ac:dyDescent="0.3">
      <c r="A308" t="s">
        <v>318</v>
      </c>
      <c r="B308" t="s">
        <v>1017</v>
      </c>
      <c r="C308" t="s">
        <v>1026</v>
      </c>
      <c r="D308">
        <v>35</v>
      </c>
      <c r="E308">
        <v>1</v>
      </c>
      <c r="F308" s="3">
        <v>83759</v>
      </c>
      <c r="G308">
        <v>38</v>
      </c>
      <c r="H308">
        <v>3</v>
      </c>
      <c r="I308">
        <v>24</v>
      </c>
      <c r="J308">
        <v>7</v>
      </c>
      <c r="K308">
        <v>3.8</v>
      </c>
      <c r="L308" s="3">
        <v>5.7</v>
      </c>
      <c r="M308" t="s">
        <v>1036</v>
      </c>
      <c r="N308">
        <v>50.6</v>
      </c>
    </row>
    <row r="309" spans="1:14" x14ac:dyDescent="0.3">
      <c r="A309" t="s">
        <v>319</v>
      </c>
      <c r="B309" t="s">
        <v>1016</v>
      </c>
      <c r="C309" t="s">
        <v>1033</v>
      </c>
      <c r="D309">
        <v>30</v>
      </c>
      <c r="E309">
        <v>3</v>
      </c>
      <c r="F309" s="3">
        <v>43151</v>
      </c>
      <c r="G309">
        <v>55</v>
      </c>
      <c r="H309">
        <v>2</v>
      </c>
      <c r="I309">
        <v>7</v>
      </c>
      <c r="J309">
        <v>35</v>
      </c>
      <c r="K309">
        <v>3.8</v>
      </c>
      <c r="L309" s="3">
        <v>8</v>
      </c>
      <c r="M309" t="s">
        <v>1034</v>
      </c>
      <c r="N309">
        <v>62.73</v>
      </c>
    </row>
    <row r="310" spans="1:14" x14ac:dyDescent="0.3">
      <c r="A310" t="s">
        <v>320</v>
      </c>
      <c r="B310" t="s">
        <v>1014</v>
      </c>
      <c r="C310" t="s">
        <v>1019</v>
      </c>
      <c r="D310">
        <v>41</v>
      </c>
      <c r="E310">
        <v>6</v>
      </c>
      <c r="F310" s="3">
        <v>58931</v>
      </c>
      <c r="G310">
        <v>54</v>
      </c>
      <c r="H310">
        <v>9</v>
      </c>
      <c r="I310">
        <v>6</v>
      </c>
      <c r="J310">
        <v>25</v>
      </c>
      <c r="K310">
        <v>2.9</v>
      </c>
      <c r="L310" s="3">
        <v>3.4</v>
      </c>
      <c r="M310" t="s">
        <v>1036</v>
      </c>
      <c r="N310">
        <v>44.1</v>
      </c>
    </row>
    <row r="311" spans="1:14" x14ac:dyDescent="0.3">
      <c r="A311" t="s">
        <v>321</v>
      </c>
      <c r="B311" t="s">
        <v>1017</v>
      </c>
      <c r="C311" t="s">
        <v>1026</v>
      </c>
      <c r="D311">
        <v>46</v>
      </c>
      <c r="E311">
        <v>3</v>
      </c>
      <c r="F311" s="3">
        <v>40799</v>
      </c>
      <c r="G311">
        <v>50</v>
      </c>
      <c r="H311">
        <v>11</v>
      </c>
      <c r="I311">
        <v>19</v>
      </c>
      <c r="J311">
        <v>4</v>
      </c>
      <c r="K311">
        <v>3.6</v>
      </c>
      <c r="L311" s="3">
        <v>9.8000000000000007</v>
      </c>
      <c r="M311" t="s">
        <v>1034</v>
      </c>
      <c r="N311">
        <v>87.93</v>
      </c>
    </row>
    <row r="312" spans="1:14" x14ac:dyDescent="0.3">
      <c r="A312" t="s">
        <v>322</v>
      </c>
      <c r="B312" t="s">
        <v>1016</v>
      </c>
      <c r="C312" t="s">
        <v>1023</v>
      </c>
      <c r="D312">
        <v>30</v>
      </c>
      <c r="E312">
        <v>6</v>
      </c>
      <c r="F312" s="3">
        <v>81414</v>
      </c>
      <c r="G312">
        <v>53</v>
      </c>
      <c r="H312">
        <v>7</v>
      </c>
      <c r="I312">
        <v>11</v>
      </c>
      <c r="J312">
        <v>34</v>
      </c>
      <c r="K312">
        <v>4</v>
      </c>
      <c r="L312" s="3">
        <v>8.3000000000000007</v>
      </c>
      <c r="M312" t="s">
        <v>1034</v>
      </c>
      <c r="N312">
        <v>73.47</v>
      </c>
    </row>
    <row r="313" spans="1:14" x14ac:dyDescent="0.3">
      <c r="A313" t="s">
        <v>323</v>
      </c>
      <c r="B313" t="s">
        <v>1014</v>
      </c>
      <c r="C313" t="s">
        <v>1025</v>
      </c>
      <c r="D313">
        <v>26</v>
      </c>
      <c r="E313">
        <v>0</v>
      </c>
      <c r="F313" s="3">
        <v>42182</v>
      </c>
      <c r="G313">
        <v>41</v>
      </c>
      <c r="H313">
        <v>1</v>
      </c>
      <c r="I313">
        <v>1</v>
      </c>
      <c r="J313">
        <v>25</v>
      </c>
      <c r="K313">
        <v>3.5</v>
      </c>
      <c r="L313" s="3">
        <v>7.4</v>
      </c>
      <c r="M313" t="s">
        <v>1035</v>
      </c>
      <c r="N313">
        <v>56.57</v>
      </c>
    </row>
    <row r="314" spans="1:14" x14ac:dyDescent="0.3">
      <c r="A314" t="s">
        <v>324</v>
      </c>
      <c r="B314" t="s">
        <v>1017</v>
      </c>
      <c r="C314" t="s">
        <v>1030</v>
      </c>
      <c r="D314">
        <v>49</v>
      </c>
      <c r="E314">
        <v>12</v>
      </c>
      <c r="F314" s="3">
        <v>30401</v>
      </c>
      <c r="G314">
        <v>55</v>
      </c>
      <c r="H314">
        <v>9</v>
      </c>
      <c r="I314">
        <v>17</v>
      </c>
      <c r="J314">
        <v>39</v>
      </c>
      <c r="K314">
        <v>2.5</v>
      </c>
      <c r="L314" s="3">
        <v>3.6</v>
      </c>
      <c r="M314" t="s">
        <v>1036</v>
      </c>
      <c r="N314">
        <v>44.1</v>
      </c>
    </row>
    <row r="315" spans="1:14" x14ac:dyDescent="0.3">
      <c r="A315" t="s">
        <v>325</v>
      </c>
      <c r="B315" t="s">
        <v>1015</v>
      </c>
      <c r="C315" t="s">
        <v>1020</v>
      </c>
      <c r="D315">
        <v>35</v>
      </c>
      <c r="E315">
        <v>12</v>
      </c>
      <c r="F315" s="3">
        <v>35182</v>
      </c>
      <c r="G315">
        <v>52</v>
      </c>
      <c r="H315">
        <v>6</v>
      </c>
      <c r="I315">
        <v>12</v>
      </c>
      <c r="J315">
        <v>37</v>
      </c>
      <c r="K315">
        <v>3.9</v>
      </c>
      <c r="L315" s="3">
        <v>8.8000000000000007</v>
      </c>
      <c r="M315" t="s">
        <v>1034</v>
      </c>
      <c r="N315">
        <v>74.5</v>
      </c>
    </row>
    <row r="316" spans="1:14" x14ac:dyDescent="0.3">
      <c r="A316" t="s">
        <v>326</v>
      </c>
      <c r="B316" t="s">
        <v>1014</v>
      </c>
      <c r="C316" t="s">
        <v>1025</v>
      </c>
      <c r="D316">
        <v>41</v>
      </c>
      <c r="E316">
        <v>13</v>
      </c>
      <c r="F316" s="3">
        <v>72838</v>
      </c>
      <c r="G316">
        <v>42</v>
      </c>
      <c r="H316">
        <v>1</v>
      </c>
      <c r="I316">
        <v>7</v>
      </c>
      <c r="J316">
        <v>5</v>
      </c>
      <c r="K316">
        <v>4.8</v>
      </c>
      <c r="L316" s="3">
        <v>3.8</v>
      </c>
      <c r="M316" t="s">
        <v>1036</v>
      </c>
      <c r="N316">
        <v>38.869999999999997</v>
      </c>
    </row>
    <row r="317" spans="1:14" x14ac:dyDescent="0.3">
      <c r="A317" t="s">
        <v>327</v>
      </c>
      <c r="B317" t="s">
        <v>1015</v>
      </c>
      <c r="C317" t="s">
        <v>1021</v>
      </c>
      <c r="D317">
        <v>25</v>
      </c>
      <c r="E317">
        <v>2</v>
      </c>
      <c r="F317" s="3">
        <v>68652</v>
      </c>
      <c r="G317">
        <v>40</v>
      </c>
      <c r="H317">
        <v>2</v>
      </c>
      <c r="I317">
        <v>0</v>
      </c>
      <c r="J317">
        <v>8</v>
      </c>
      <c r="K317">
        <v>4.0999999999999996</v>
      </c>
      <c r="L317" s="3">
        <v>4.0999999999999996</v>
      </c>
      <c r="M317" t="s">
        <v>1036</v>
      </c>
      <c r="N317">
        <v>40.229999999999997</v>
      </c>
    </row>
    <row r="318" spans="1:14" x14ac:dyDescent="0.3">
      <c r="A318" t="s">
        <v>328</v>
      </c>
      <c r="B318" t="s">
        <v>1015</v>
      </c>
      <c r="C318" t="s">
        <v>1029</v>
      </c>
      <c r="D318">
        <v>55</v>
      </c>
      <c r="E318">
        <v>8</v>
      </c>
      <c r="F318" s="3">
        <v>35942</v>
      </c>
      <c r="G318">
        <v>46</v>
      </c>
      <c r="H318">
        <v>3</v>
      </c>
      <c r="I318">
        <v>23</v>
      </c>
      <c r="J318">
        <v>17</v>
      </c>
      <c r="K318">
        <v>4.2</v>
      </c>
      <c r="L318" s="3">
        <v>3.8</v>
      </c>
      <c r="M318" t="s">
        <v>1036</v>
      </c>
      <c r="N318">
        <v>40.4</v>
      </c>
    </row>
    <row r="319" spans="1:14" x14ac:dyDescent="0.3">
      <c r="A319" t="s">
        <v>329</v>
      </c>
      <c r="B319" t="s">
        <v>1016</v>
      </c>
      <c r="C319" t="s">
        <v>1022</v>
      </c>
      <c r="D319">
        <v>49</v>
      </c>
      <c r="E319">
        <v>8</v>
      </c>
      <c r="F319" s="3">
        <v>59331</v>
      </c>
      <c r="G319">
        <v>37</v>
      </c>
      <c r="H319">
        <v>5</v>
      </c>
      <c r="I319">
        <v>22</v>
      </c>
      <c r="J319">
        <v>36</v>
      </c>
      <c r="K319">
        <v>3.9</v>
      </c>
      <c r="L319" s="3">
        <v>6.5</v>
      </c>
      <c r="M319" t="s">
        <v>1035</v>
      </c>
      <c r="N319">
        <v>59.03</v>
      </c>
    </row>
    <row r="320" spans="1:14" x14ac:dyDescent="0.3">
      <c r="A320" t="s">
        <v>330</v>
      </c>
      <c r="B320" t="s">
        <v>1016</v>
      </c>
      <c r="C320" t="s">
        <v>1022</v>
      </c>
      <c r="D320">
        <v>25</v>
      </c>
      <c r="E320">
        <v>3</v>
      </c>
      <c r="F320" s="3">
        <v>81319</v>
      </c>
      <c r="G320">
        <v>53</v>
      </c>
      <c r="H320">
        <v>3</v>
      </c>
      <c r="I320">
        <v>11</v>
      </c>
      <c r="J320">
        <v>10</v>
      </c>
      <c r="K320">
        <v>2.8</v>
      </c>
      <c r="L320" s="3">
        <v>3.7</v>
      </c>
      <c r="M320" t="s">
        <v>1036</v>
      </c>
      <c r="N320">
        <v>35.6</v>
      </c>
    </row>
    <row r="321" spans="1:14" x14ac:dyDescent="0.3">
      <c r="A321" t="s">
        <v>331</v>
      </c>
      <c r="B321" t="s">
        <v>1014</v>
      </c>
      <c r="C321" t="s">
        <v>1019</v>
      </c>
      <c r="D321">
        <v>36</v>
      </c>
      <c r="E321">
        <v>0</v>
      </c>
      <c r="F321" s="3">
        <v>27886</v>
      </c>
      <c r="G321">
        <v>35</v>
      </c>
      <c r="H321">
        <v>4</v>
      </c>
      <c r="I321">
        <v>1</v>
      </c>
      <c r="J321">
        <v>30</v>
      </c>
      <c r="K321">
        <v>3.1</v>
      </c>
      <c r="L321" s="3">
        <v>9.4</v>
      </c>
      <c r="M321" t="s">
        <v>1034</v>
      </c>
      <c r="N321">
        <v>72.37</v>
      </c>
    </row>
    <row r="322" spans="1:14" x14ac:dyDescent="0.3">
      <c r="A322" t="s">
        <v>332</v>
      </c>
      <c r="B322" t="s">
        <v>1014</v>
      </c>
      <c r="C322" t="s">
        <v>1031</v>
      </c>
      <c r="D322">
        <v>48</v>
      </c>
      <c r="E322">
        <v>7</v>
      </c>
      <c r="F322" s="3">
        <v>46089</v>
      </c>
      <c r="G322">
        <v>42</v>
      </c>
      <c r="H322">
        <v>7</v>
      </c>
      <c r="I322">
        <v>23</v>
      </c>
      <c r="J322">
        <v>20</v>
      </c>
      <c r="K322">
        <v>2.8</v>
      </c>
      <c r="L322" s="3">
        <v>3.5</v>
      </c>
      <c r="M322" t="s">
        <v>1036</v>
      </c>
      <c r="N322">
        <v>41.07</v>
      </c>
    </row>
    <row r="323" spans="1:14" x14ac:dyDescent="0.3">
      <c r="A323" t="s">
        <v>333</v>
      </c>
      <c r="B323" t="s">
        <v>1014</v>
      </c>
      <c r="C323" t="s">
        <v>1031</v>
      </c>
      <c r="D323">
        <v>54</v>
      </c>
      <c r="E323">
        <v>1</v>
      </c>
      <c r="F323" s="3">
        <v>36753</v>
      </c>
      <c r="G323">
        <v>42</v>
      </c>
      <c r="H323">
        <v>13</v>
      </c>
      <c r="I323">
        <v>16</v>
      </c>
      <c r="J323">
        <v>2</v>
      </c>
      <c r="K323">
        <v>4.9000000000000004</v>
      </c>
      <c r="L323" s="3">
        <v>3.5</v>
      </c>
      <c r="M323" t="s">
        <v>1036</v>
      </c>
      <c r="N323">
        <v>57.37</v>
      </c>
    </row>
    <row r="324" spans="1:14" x14ac:dyDescent="0.3">
      <c r="A324" t="s">
        <v>334</v>
      </c>
      <c r="B324" t="s">
        <v>1016</v>
      </c>
      <c r="C324" t="s">
        <v>1033</v>
      </c>
      <c r="D324">
        <v>41</v>
      </c>
      <c r="E324">
        <v>10</v>
      </c>
      <c r="F324" s="3">
        <v>30661</v>
      </c>
      <c r="G324">
        <v>52</v>
      </c>
      <c r="H324">
        <v>8</v>
      </c>
      <c r="I324">
        <v>0</v>
      </c>
      <c r="J324">
        <v>23</v>
      </c>
      <c r="K324">
        <v>2.6</v>
      </c>
      <c r="L324" s="3">
        <v>6.9</v>
      </c>
      <c r="M324" t="s">
        <v>1035</v>
      </c>
      <c r="N324">
        <v>62.53</v>
      </c>
    </row>
    <row r="325" spans="1:14" x14ac:dyDescent="0.3">
      <c r="A325" t="s">
        <v>335</v>
      </c>
      <c r="B325" t="s">
        <v>1015</v>
      </c>
      <c r="C325" t="s">
        <v>1029</v>
      </c>
      <c r="D325">
        <v>37</v>
      </c>
      <c r="E325">
        <v>14</v>
      </c>
      <c r="F325" s="3">
        <v>49135</v>
      </c>
      <c r="G325">
        <v>53</v>
      </c>
      <c r="H325">
        <v>8</v>
      </c>
      <c r="I325">
        <v>24</v>
      </c>
      <c r="J325">
        <v>12</v>
      </c>
      <c r="K325">
        <v>4.2</v>
      </c>
      <c r="L325" s="3">
        <v>6.8</v>
      </c>
      <c r="M325" t="s">
        <v>1035</v>
      </c>
      <c r="N325">
        <v>66.73</v>
      </c>
    </row>
    <row r="326" spans="1:14" x14ac:dyDescent="0.3">
      <c r="A326" t="s">
        <v>336</v>
      </c>
      <c r="B326" t="s">
        <v>1018</v>
      </c>
      <c r="C326" t="s">
        <v>1032</v>
      </c>
      <c r="D326">
        <v>22</v>
      </c>
      <c r="E326">
        <v>1</v>
      </c>
      <c r="F326" s="3">
        <v>26566</v>
      </c>
      <c r="G326">
        <v>42</v>
      </c>
      <c r="H326">
        <v>9</v>
      </c>
      <c r="I326">
        <v>11</v>
      </c>
      <c r="J326">
        <v>40</v>
      </c>
      <c r="K326">
        <v>4.5</v>
      </c>
      <c r="L326" s="3">
        <v>9.1</v>
      </c>
      <c r="M326" t="s">
        <v>1034</v>
      </c>
      <c r="N326">
        <v>83.1</v>
      </c>
    </row>
    <row r="327" spans="1:14" x14ac:dyDescent="0.3">
      <c r="A327" t="s">
        <v>337</v>
      </c>
      <c r="B327" t="s">
        <v>1014</v>
      </c>
      <c r="C327" t="s">
        <v>1019</v>
      </c>
      <c r="D327">
        <v>46</v>
      </c>
      <c r="E327">
        <v>9</v>
      </c>
      <c r="F327" s="3">
        <v>31812</v>
      </c>
      <c r="G327">
        <v>41</v>
      </c>
      <c r="H327">
        <v>9</v>
      </c>
      <c r="I327">
        <v>7</v>
      </c>
      <c r="J327">
        <v>26</v>
      </c>
      <c r="K327">
        <v>3.5</v>
      </c>
      <c r="L327" s="3">
        <v>3.4</v>
      </c>
      <c r="M327" t="s">
        <v>1036</v>
      </c>
      <c r="N327">
        <v>45.9</v>
      </c>
    </row>
    <row r="328" spans="1:14" x14ac:dyDescent="0.3">
      <c r="A328" t="s">
        <v>338</v>
      </c>
      <c r="B328" t="s">
        <v>1016</v>
      </c>
      <c r="C328" t="s">
        <v>1022</v>
      </c>
      <c r="D328">
        <v>27</v>
      </c>
      <c r="E328">
        <v>0</v>
      </c>
      <c r="F328" s="3">
        <v>85376</v>
      </c>
      <c r="G328">
        <v>42</v>
      </c>
      <c r="H328">
        <v>15</v>
      </c>
      <c r="I328">
        <v>16</v>
      </c>
      <c r="J328">
        <v>26</v>
      </c>
      <c r="K328">
        <v>4.0999999999999996</v>
      </c>
      <c r="L328" s="3">
        <v>5.6</v>
      </c>
      <c r="M328" t="s">
        <v>1036</v>
      </c>
      <c r="N328">
        <v>70.900000000000006</v>
      </c>
    </row>
    <row r="329" spans="1:14" x14ac:dyDescent="0.3">
      <c r="A329" t="s">
        <v>339</v>
      </c>
      <c r="B329" t="s">
        <v>1014</v>
      </c>
      <c r="C329" t="s">
        <v>1019</v>
      </c>
      <c r="D329">
        <v>28</v>
      </c>
      <c r="E329">
        <v>2</v>
      </c>
      <c r="F329" s="3">
        <v>66760</v>
      </c>
      <c r="G329">
        <v>47</v>
      </c>
      <c r="H329">
        <v>2</v>
      </c>
      <c r="I329">
        <v>18</v>
      </c>
      <c r="J329">
        <v>36</v>
      </c>
      <c r="K329">
        <v>2.2000000000000002</v>
      </c>
      <c r="L329" s="3">
        <v>7.6</v>
      </c>
      <c r="M329" t="s">
        <v>1035</v>
      </c>
      <c r="N329">
        <v>55.53</v>
      </c>
    </row>
    <row r="330" spans="1:14" x14ac:dyDescent="0.3">
      <c r="A330" t="s">
        <v>340</v>
      </c>
      <c r="B330" t="s">
        <v>1018</v>
      </c>
      <c r="C330" t="s">
        <v>1032</v>
      </c>
      <c r="D330">
        <v>40</v>
      </c>
      <c r="E330">
        <v>8</v>
      </c>
      <c r="F330" s="3">
        <v>80765</v>
      </c>
      <c r="G330">
        <v>45</v>
      </c>
      <c r="H330">
        <v>15</v>
      </c>
      <c r="I330">
        <v>25</v>
      </c>
      <c r="J330">
        <v>25</v>
      </c>
      <c r="K330">
        <v>4.0999999999999996</v>
      </c>
      <c r="L330" s="3">
        <v>8.1</v>
      </c>
      <c r="M330" t="s">
        <v>1034</v>
      </c>
      <c r="N330">
        <v>85.9</v>
      </c>
    </row>
    <row r="331" spans="1:14" x14ac:dyDescent="0.3">
      <c r="A331" t="s">
        <v>341</v>
      </c>
      <c r="B331" t="s">
        <v>1017</v>
      </c>
      <c r="C331" t="s">
        <v>1026</v>
      </c>
      <c r="D331">
        <v>39</v>
      </c>
      <c r="E331">
        <v>7</v>
      </c>
      <c r="F331" s="3">
        <v>29894</v>
      </c>
      <c r="G331">
        <v>41</v>
      </c>
      <c r="H331">
        <v>3</v>
      </c>
      <c r="I331">
        <v>24</v>
      </c>
      <c r="J331">
        <v>37</v>
      </c>
      <c r="K331">
        <v>2.2999999999999998</v>
      </c>
      <c r="L331" s="3">
        <v>3.7</v>
      </c>
      <c r="M331" t="s">
        <v>1036</v>
      </c>
      <c r="N331">
        <v>34.1</v>
      </c>
    </row>
    <row r="332" spans="1:14" x14ac:dyDescent="0.3">
      <c r="A332" t="s">
        <v>342</v>
      </c>
      <c r="B332" t="s">
        <v>1017</v>
      </c>
      <c r="C332" t="s">
        <v>1030</v>
      </c>
      <c r="D332">
        <v>42</v>
      </c>
      <c r="E332">
        <v>13</v>
      </c>
      <c r="F332" s="3">
        <v>32912</v>
      </c>
      <c r="G332">
        <v>52</v>
      </c>
      <c r="H332">
        <v>6</v>
      </c>
      <c r="I332">
        <v>24</v>
      </c>
      <c r="J332">
        <v>13</v>
      </c>
      <c r="K332">
        <v>3.4</v>
      </c>
      <c r="L332" s="3">
        <v>6.2</v>
      </c>
      <c r="M332" t="s">
        <v>1035</v>
      </c>
      <c r="N332">
        <v>57.4</v>
      </c>
    </row>
    <row r="333" spans="1:14" x14ac:dyDescent="0.3">
      <c r="A333" t="s">
        <v>343</v>
      </c>
      <c r="B333" t="s">
        <v>1014</v>
      </c>
      <c r="C333" t="s">
        <v>1031</v>
      </c>
      <c r="D333">
        <v>32</v>
      </c>
      <c r="E333">
        <v>10</v>
      </c>
      <c r="F333" s="3">
        <v>44937</v>
      </c>
      <c r="G333">
        <v>54</v>
      </c>
      <c r="H333">
        <v>1</v>
      </c>
      <c r="I333">
        <v>6</v>
      </c>
      <c r="J333">
        <v>20</v>
      </c>
      <c r="K333">
        <v>2.4</v>
      </c>
      <c r="L333" s="3">
        <v>8</v>
      </c>
      <c r="M333" t="s">
        <v>1034</v>
      </c>
      <c r="N333">
        <v>56.87</v>
      </c>
    </row>
    <row r="334" spans="1:14" x14ac:dyDescent="0.3">
      <c r="A334" t="s">
        <v>344</v>
      </c>
      <c r="B334" t="s">
        <v>1017</v>
      </c>
      <c r="C334" t="s">
        <v>1024</v>
      </c>
      <c r="D334">
        <v>54</v>
      </c>
      <c r="E334">
        <v>1</v>
      </c>
      <c r="F334" s="3">
        <v>69379</v>
      </c>
      <c r="G334">
        <v>44</v>
      </c>
      <c r="H334">
        <v>5</v>
      </c>
      <c r="I334">
        <v>5</v>
      </c>
      <c r="J334">
        <v>1</v>
      </c>
      <c r="K334">
        <v>4.9000000000000004</v>
      </c>
      <c r="L334" s="3">
        <v>9</v>
      </c>
      <c r="M334" t="s">
        <v>1034</v>
      </c>
      <c r="N334">
        <v>77.03</v>
      </c>
    </row>
    <row r="335" spans="1:14" x14ac:dyDescent="0.3">
      <c r="A335" t="s">
        <v>345</v>
      </c>
      <c r="B335" t="s">
        <v>1015</v>
      </c>
      <c r="C335" t="s">
        <v>1029</v>
      </c>
      <c r="D335">
        <v>37</v>
      </c>
      <c r="E335">
        <v>3</v>
      </c>
      <c r="F335" s="3">
        <v>55280</v>
      </c>
      <c r="G335">
        <v>38</v>
      </c>
      <c r="H335">
        <v>13</v>
      </c>
      <c r="I335">
        <v>25</v>
      </c>
      <c r="J335">
        <v>8</v>
      </c>
      <c r="K335">
        <v>2.4</v>
      </c>
      <c r="L335" s="3">
        <v>3.4</v>
      </c>
      <c r="M335" t="s">
        <v>1036</v>
      </c>
      <c r="N335">
        <v>49.27</v>
      </c>
    </row>
    <row r="336" spans="1:14" x14ac:dyDescent="0.3">
      <c r="A336" t="s">
        <v>346</v>
      </c>
      <c r="B336" t="s">
        <v>1018</v>
      </c>
      <c r="C336" t="s">
        <v>1028</v>
      </c>
      <c r="D336">
        <v>34</v>
      </c>
      <c r="E336">
        <v>13</v>
      </c>
      <c r="F336" s="3">
        <v>51252</v>
      </c>
      <c r="G336">
        <v>46</v>
      </c>
      <c r="H336">
        <v>11</v>
      </c>
      <c r="I336">
        <v>20</v>
      </c>
      <c r="J336">
        <v>5</v>
      </c>
      <c r="K336">
        <v>3.7</v>
      </c>
      <c r="L336" s="3">
        <v>4.8</v>
      </c>
      <c r="M336" t="s">
        <v>1036</v>
      </c>
      <c r="N336">
        <v>58.23</v>
      </c>
    </row>
    <row r="337" spans="1:14" x14ac:dyDescent="0.3">
      <c r="A337" t="s">
        <v>347</v>
      </c>
      <c r="B337" t="s">
        <v>1014</v>
      </c>
      <c r="C337" t="s">
        <v>1031</v>
      </c>
      <c r="D337">
        <v>26</v>
      </c>
      <c r="E337">
        <v>1</v>
      </c>
      <c r="F337" s="3">
        <v>84145</v>
      </c>
      <c r="G337">
        <v>55</v>
      </c>
      <c r="H337">
        <v>8</v>
      </c>
      <c r="I337">
        <v>25</v>
      </c>
      <c r="J337">
        <v>8</v>
      </c>
      <c r="K337">
        <v>2.2999999999999998</v>
      </c>
      <c r="L337" s="3">
        <v>8.9</v>
      </c>
      <c r="M337" t="s">
        <v>1034</v>
      </c>
      <c r="N337">
        <v>73.63</v>
      </c>
    </row>
    <row r="338" spans="1:14" x14ac:dyDescent="0.3">
      <c r="A338" t="s">
        <v>348</v>
      </c>
      <c r="B338" t="s">
        <v>1014</v>
      </c>
      <c r="C338" t="s">
        <v>1019</v>
      </c>
      <c r="D338">
        <v>24</v>
      </c>
      <c r="E338">
        <v>3</v>
      </c>
      <c r="F338" s="3">
        <v>28318</v>
      </c>
      <c r="G338">
        <v>40</v>
      </c>
      <c r="H338">
        <v>15</v>
      </c>
      <c r="I338">
        <v>18</v>
      </c>
      <c r="J338">
        <v>27</v>
      </c>
      <c r="K338">
        <v>4.5</v>
      </c>
      <c r="L338" s="3">
        <v>5.8</v>
      </c>
      <c r="M338" t="s">
        <v>1036</v>
      </c>
      <c r="N338">
        <v>73.3</v>
      </c>
    </row>
    <row r="339" spans="1:14" x14ac:dyDescent="0.3">
      <c r="A339" t="s">
        <v>349</v>
      </c>
      <c r="B339" t="s">
        <v>1017</v>
      </c>
      <c r="C339" t="s">
        <v>1030</v>
      </c>
      <c r="D339">
        <v>49</v>
      </c>
      <c r="E339">
        <v>5</v>
      </c>
      <c r="F339" s="3">
        <v>48196</v>
      </c>
      <c r="G339">
        <v>41</v>
      </c>
      <c r="H339">
        <v>15</v>
      </c>
      <c r="I339">
        <v>5</v>
      </c>
      <c r="J339">
        <v>17</v>
      </c>
      <c r="K339">
        <v>2.8</v>
      </c>
      <c r="L339" s="3">
        <v>9.1999999999999993</v>
      </c>
      <c r="M339" t="s">
        <v>1034</v>
      </c>
      <c r="N339">
        <v>88.6</v>
      </c>
    </row>
    <row r="340" spans="1:14" x14ac:dyDescent="0.3">
      <c r="A340" t="s">
        <v>350</v>
      </c>
      <c r="B340" t="s">
        <v>1015</v>
      </c>
      <c r="C340" t="s">
        <v>1029</v>
      </c>
      <c r="D340">
        <v>37</v>
      </c>
      <c r="E340">
        <v>9</v>
      </c>
      <c r="F340" s="3">
        <v>57695</v>
      </c>
      <c r="G340">
        <v>48</v>
      </c>
      <c r="H340">
        <v>15</v>
      </c>
      <c r="I340">
        <v>17</v>
      </c>
      <c r="J340">
        <v>30</v>
      </c>
      <c r="K340">
        <v>2.2000000000000002</v>
      </c>
      <c r="L340" s="3">
        <v>5</v>
      </c>
      <c r="M340" t="s">
        <v>1036</v>
      </c>
      <c r="N340">
        <v>61.6</v>
      </c>
    </row>
    <row r="341" spans="1:14" x14ac:dyDescent="0.3">
      <c r="A341" t="s">
        <v>351</v>
      </c>
      <c r="B341" t="s">
        <v>1017</v>
      </c>
      <c r="C341" t="s">
        <v>1024</v>
      </c>
      <c r="D341">
        <v>34</v>
      </c>
      <c r="E341">
        <v>10</v>
      </c>
      <c r="F341" s="3">
        <v>82976</v>
      </c>
      <c r="G341">
        <v>51</v>
      </c>
      <c r="H341">
        <v>4</v>
      </c>
      <c r="I341">
        <v>20</v>
      </c>
      <c r="J341">
        <v>34</v>
      </c>
      <c r="K341">
        <v>4.4000000000000004</v>
      </c>
      <c r="L341" s="3">
        <v>9.9</v>
      </c>
      <c r="M341" t="s">
        <v>1034</v>
      </c>
      <c r="N341">
        <v>79.27</v>
      </c>
    </row>
    <row r="342" spans="1:14" x14ac:dyDescent="0.3">
      <c r="A342" t="s">
        <v>352</v>
      </c>
      <c r="B342" t="s">
        <v>1016</v>
      </c>
      <c r="C342" t="s">
        <v>1022</v>
      </c>
      <c r="D342">
        <v>52</v>
      </c>
      <c r="E342">
        <v>15</v>
      </c>
      <c r="F342" s="3">
        <v>47546</v>
      </c>
      <c r="G342">
        <v>53</v>
      </c>
      <c r="H342">
        <v>9</v>
      </c>
      <c r="I342">
        <v>10</v>
      </c>
      <c r="J342">
        <v>24</v>
      </c>
      <c r="K342">
        <v>2.8</v>
      </c>
      <c r="L342" s="3">
        <v>3.2</v>
      </c>
      <c r="M342" t="s">
        <v>1036</v>
      </c>
      <c r="N342">
        <v>42.6</v>
      </c>
    </row>
    <row r="343" spans="1:14" x14ac:dyDescent="0.3">
      <c r="A343" t="s">
        <v>353</v>
      </c>
      <c r="B343" t="s">
        <v>1018</v>
      </c>
      <c r="C343" t="s">
        <v>1028</v>
      </c>
      <c r="D343">
        <v>23</v>
      </c>
      <c r="E343">
        <v>1</v>
      </c>
      <c r="F343" s="3">
        <v>28839</v>
      </c>
      <c r="G343">
        <v>50</v>
      </c>
      <c r="H343">
        <v>9</v>
      </c>
      <c r="I343">
        <v>11</v>
      </c>
      <c r="J343">
        <v>37</v>
      </c>
      <c r="K343">
        <v>5</v>
      </c>
      <c r="L343" s="3">
        <v>9.8000000000000007</v>
      </c>
      <c r="M343" t="s">
        <v>1034</v>
      </c>
      <c r="N343">
        <v>88.8</v>
      </c>
    </row>
    <row r="344" spans="1:14" x14ac:dyDescent="0.3">
      <c r="A344" t="s">
        <v>354</v>
      </c>
      <c r="B344" t="s">
        <v>1018</v>
      </c>
      <c r="C344" t="s">
        <v>1032</v>
      </c>
      <c r="D344">
        <v>37</v>
      </c>
      <c r="E344">
        <v>8</v>
      </c>
      <c r="F344" s="3">
        <v>59975</v>
      </c>
      <c r="G344">
        <v>36</v>
      </c>
      <c r="H344">
        <v>13</v>
      </c>
      <c r="I344">
        <v>7</v>
      </c>
      <c r="J344">
        <v>36</v>
      </c>
      <c r="K344">
        <v>4.5</v>
      </c>
      <c r="L344" s="3">
        <v>8.6</v>
      </c>
      <c r="M344" t="s">
        <v>1034</v>
      </c>
      <c r="N344">
        <v>86.77</v>
      </c>
    </row>
    <row r="345" spans="1:14" x14ac:dyDescent="0.3">
      <c r="A345" t="s">
        <v>355</v>
      </c>
      <c r="B345" t="s">
        <v>1018</v>
      </c>
      <c r="C345" t="s">
        <v>1027</v>
      </c>
      <c r="D345">
        <v>33</v>
      </c>
      <c r="E345">
        <v>3</v>
      </c>
      <c r="F345" s="3">
        <v>63831</v>
      </c>
      <c r="G345">
        <v>45</v>
      </c>
      <c r="H345">
        <v>13</v>
      </c>
      <c r="I345">
        <v>23</v>
      </c>
      <c r="J345">
        <v>22</v>
      </c>
      <c r="K345">
        <v>4.7</v>
      </c>
      <c r="L345" s="3">
        <v>3.2</v>
      </c>
      <c r="M345" t="s">
        <v>1036</v>
      </c>
      <c r="N345">
        <v>54.97</v>
      </c>
    </row>
    <row r="346" spans="1:14" x14ac:dyDescent="0.3">
      <c r="A346" t="s">
        <v>356</v>
      </c>
      <c r="B346" t="s">
        <v>1016</v>
      </c>
      <c r="C346" t="s">
        <v>1023</v>
      </c>
      <c r="D346">
        <v>31</v>
      </c>
      <c r="E346">
        <v>9</v>
      </c>
      <c r="F346" s="3">
        <v>87152</v>
      </c>
      <c r="G346">
        <v>41</v>
      </c>
      <c r="H346">
        <v>14</v>
      </c>
      <c r="I346">
        <v>25</v>
      </c>
      <c r="J346">
        <v>31</v>
      </c>
      <c r="K346">
        <v>3.6</v>
      </c>
      <c r="L346" s="3">
        <v>4.2</v>
      </c>
      <c r="M346" t="s">
        <v>1036</v>
      </c>
      <c r="N346">
        <v>59.33</v>
      </c>
    </row>
    <row r="347" spans="1:14" x14ac:dyDescent="0.3">
      <c r="A347" t="s">
        <v>357</v>
      </c>
      <c r="B347" t="s">
        <v>1014</v>
      </c>
      <c r="C347" t="s">
        <v>1019</v>
      </c>
      <c r="D347">
        <v>25</v>
      </c>
      <c r="E347">
        <v>1</v>
      </c>
      <c r="F347" s="3">
        <v>64430</v>
      </c>
      <c r="G347">
        <v>42</v>
      </c>
      <c r="H347">
        <v>1</v>
      </c>
      <c r="I347">
        <v>16</v>
      </c>
      <c r="J347">
        <v>30</v>
      </c>
      <c r="K347">
        <v>2</v>
      </c>
      <c r="L347" s="3">
        <v>9.4</v>
      </c>
      <c r="M347" t="s">
        <v>1034</v>
      </c>
      <c r="N347">
        <v>64.069999999999993</v>
      </c>
    </row>
    <row r="348" spans="1:14" x14ac:dyDescent="0.3">
      <c r="A348" t="s">
        <v>358</v>
      </c>
      <c r="B348" t="s">
        <v>1018</v>
      </c>
      <c r="C348" t="s">
        <v>1028</v>
      </c>
      <c r="D348">
        <v>43</v>
      </c>
      <c r="E348">
        <v>5</v>
      </c>
      <c r="F348" s="3">
        <v>85213</v>
      </c>
      <c r="G348">
        <v>45</v>
      </c>
      <c r="H348">
        <v>1</v>
      </c>
      <c r="I348">
        <v>0</v>
      </c>
      <c r="J348">
        <v>9</v>
      </c>
      <c r="K348">
        <v>3.8</v>
      </c>
      <c r="L348" s="3">
        <v>9.4</v>
      </c>
      <c r="M348" t="s">
        <v>1034</v>
      </c>
      <c r="N348">
        <v>69.47</v>
      </c>
    </row>
    <row r="349" spans="1:14" x14ac:dyDescent="0.3">
      <c r="A349" t="s">
        <v>359</v>
      </c>
      <c r="B349" t="s">
        <v>1015</v>
      </c>
      <c r="C349" t="s">
        <v>1029</v>
      </c>
      <c r="D349">
        <v>45</v>
      </c>
      <c r="E349">
        <v>2</v>
      </c>
      <c r="F349" s="3">
        <v>49483</v>
      </c>
      <c r="G349">
        <v>47</v>
      </c>
      <c r="H349">
        <v>10</v>
      </c>
      <c r="I349">
        <v>3</v>
      </c>
      <c r="J349">
        <v>21</v>
      </c>
      <c r="K349">
        <v>2.9</v>
      </c>
      <c r="L349" s="3">
        <v>4</v>
      </c>
      <c r="M349" t="s">
        <v>1036</v>
      </c>
      <c r="N349">
        <v>49.37</v>
      </c>
    </row>
    <row r="350" spans="1:14" x14ac:dyDescent="0.3">
      <c r="A350" t="s">
        <v>360</v>
      </c>
      <c r="B350" t="s">
        <v>1017</v>
      </c>
      <c r="C350" t="s">
        <v>1030</v>
      </c>
      <c r="D350">
        <v>53</v>
      </c>
      <c r="E350">
        <v>10</v>
      </c>
      <c r="F350" s="3">
        <v>36416</v>
      </c>
      <c r="G350">
        <v>52</v>
      </c>
      <c r="H350">
        <v>12</v>
      </c>
      <c r="I350">
        <v>19</v>
      </c>
      <c r="J350">
        <v>22</v>
      </c>
      <c r="K350">
        <v>2.7</v>
      </c>
      <c r="L350" s="3">
        <v>7.1</v>
      </c>
      <c r="M350" t="s">
        <v>1035</v>
      </c>
      <c r="N350">
        <v>70.7</v>
      </c>
    </row>
    <row r="351" spans="1:14" x14ac:dyDescent="0.3">
      <c r="A351" t="s">
        <v>361</v>
      </c>
      <c r="B351" t="s">
        <v>1017</v>
      </c>
      <c r="C351" t="s">
        <v>1024</v>
      </c>
      <c r="D351">
        <v>41</v>
      </c>
      <c r="E351">
        <v>9</v>
      </c>
      <c r="F351" s="3">
        <v>33345</v>
      </c>
      <c r="G351">
        <v>40</v>
      </c>
      <c r="H351">
        <v>12</v>
      </c>
      <c r="I351">
        <v>0</v>
      </c>
      <c r="J351">
        <v>36</v>
      </c>
      <c r="K351">
        <v>3.2</v>
      </c>
      <c r="L351" s="3">
        <v>10</v>
      </c>
      <c r="M351" t="s">
        <v>1034</v>
      </c>
      <c r="N351">
        <v>89.6</v>
      </c>
    </row>
    <row r="352" spans="1:14" x14ac:dyDescent="0.3">
      <c r="A352" t="s">
        <v>362</v>
      </c>
      <c r="B352" t="s">
        <v>1014</v>
      </c>
      <c r="C352" t="s">
        <v>1031</v>
      </c>
      <c r="D352">
        <v>33</v>
      </c>
      <c r="E352">
        <v>9</v>
      </c>
      <c r="F352" s="3">
        <v>45854</v>
      </c>
      <c r="G352">
        <v>54</v>
      </c>
      <c r="H352">
        <v>4</v>
      </c>
      <c r="I352">
        <v>20</v>
      </c>
      <c r="J352">
        <v>36</v>
      </c>
      <c r="K352">
        <v>2.2999999999999998</v>
      </c>
      <c r="L352" s="3">
        <v>6.5</v>
      </c>
      <c r="M352" t="s">
        <v>1035</v>
      </c>
      <c r="N352">
        <v>52.57</v>
      </c>
    </row>
    <row r="353" spans="1:14" x14ac:dyDescent="0.3">
      <c r="A353" t="s">
        <v>363</v>
      </c>
      <c r="B353" t="s">
        <v>1014</v>
      </c>
      <c r="C353" t="s">
        <v>1025</v>
      </c>
      <c r="D353">
        <v>37</v>
      </c>
      <c r="E353">
        <v>11</v>
      </c>
      <c r="F353" s="3">
        <v>89381</v>
      </c>
      <c r="G353">
        <v>45</v>
      </c>
      <c r="H353">
        <v>3</v>
      </c>
      <c r="I353">
        <v>20</v>
      </c>
      <c r="J353">
        <v>5</v>
      </c>
      <c r="K353">
        <v>4.5</v>
      </c>
      <c r="L353" s="3">
        <v>7.7</v>
      </c>
      <c r="M353" t="s">
        <v>1035</v>
      </c>
      <c r="N353">
        <v>64.7</v>
      </c>
    </row>
    <row r="354" spans="1:14" x14ac:dyDescent="0.3">
      <c r="A354" t="s">
        <v>364</v>
      </c>
      <c r="B354" t="s">
        <v>1016</v>
      </c>
      <c r="C354" t="s">
        <v>1022</v>
      </c>
      <c r="D354">
        <v>50</v>
      </c>
      <c r="E354">
        <v>0</v>
      </c>
      <c r="F354" s="3">
        <v>42380</v>
      </c>
      <c r="G354">
        <v>41</v>
      </c>
      <c r="H354">
        <v>4</v>
      </c>
      <c r="I354">
        <v>22</v>
      </c>
      <c r="J354">
        <v>4</v>
      </c>
      <c r="K354">
        <v>3.1</v>
      </c>
      <c r="L354" s="3">
        <v>8.5</v>
      </c>
      <c r="M354" t="s">
        <v>1034</v>
      </c>
      <c r="N354">
        <v>66.97</v>
      </c>
    </row>
    <row r="355" spans="1:14" x14ac:dyDescent="0.3">
      <c r="A355" t="s">
        <v>365</v>
      </c>
      <c r="B355" t="s">
        <v>1014</v>
      </c>
      <c r="C355" t="s">
        <v>1031</v>
      </c>
      <c r="D355">
        <v>25</v>
      </c>
      <c r="E355">
        <v>3</v>
      </c>
      <c r="F355" s="3">
        <v>53719</v>
      </c>
      <c r="G355">
        <v>48</v>
      </c>
      <c r="H355">
        <v>3</v>
      </c>
      <c r="I355">
        <v>13</v>
      </c>
      <c r="J355">
        <v>31</v>
      </c>
      <c r="K355">
        <v>4.5999999999999996</v>
      </c>
      <c r="L355" s="3">
        <v>5.5</v>
      </c>
      <c r="M355" t="s">
        <v>1036</v>
      </c>
      <c r="N355">
        <v>51.8</v>
      </c>
    </row>
    <row r="356" spans="1:14" x14ac:dyDescent="0.3">
      <c r="A356" t="s">
        <v>366</v>
      </c>
      <c r="B356" t="s">
        <v>1014</v>
      </c>
      <c r="C356" t="s">
        <v>1019</v>
      </c>
      <c r="D356">
        <v>52</v>
      </c>
      <c r="E356">
        <v>7</v>
      </c>
      <c r="F356" s="3">
        <v>35659</v>
      </c>
      <c r="G356">
        <v>49</v>
      </c>
      <c r="H356">
        <v>2</v>
      </c>
      <c r="I356">
        <v>25</v>
      </c>
      <c r="J356">
        <v>2</v>
      </c>
      <c r="K356">
        <v>2.9</v>
      </c>
      <c r="L356" s="3">
        <v>5.2</v>
      </c>
      <c r="M356" t="s">
        <v>1036</v>
      </c>
      <c r="N356">
        <v>43.23</v>
      </c>
    </row>
    <row r="357" spans="1:14" x14ac:dyDescent="0.3">
      <c r="A357" t="s">
        <v>367</v>
      </c>
      <c r="B357" t="s">
        <v>1014</v>
      </c>
      <c r="C357" t="s">
        <v>1019</v>
      </c>
      <c r="D357">
        <v>43</v>
      </c>
      <c r="E357">
        <v>5</v>
      </c>
      <c r="F357" s="3">
        <v>83191</v>
      </c>
      <c r="G357">
        <v>47</v>
      </c>
      <c r="H357">
        <v>3</v>
      </c>
      <c r="I357">
        <v>23</v>
      </c>
      <c r="J357">
        <v>4</v>
      </c>
      <c r="K357">
        <v>3.6</v>
      </c>
      <c r="L357" s="3">
        <v>9.3000000000000007</v>
      </c>
      <c r="M357" t="s">
        <v>1034</v>
      </c>
      <c r="N357">
        <v>71.599999999999994</v>
      </c>
    </row>
    <row r="358" spans="1:14" x14ac:dyDescent="0.3">
      <c r="A358" t="s">
        <v>368</v>
      </c>
      <c r="B358" t="s">
        <v>1016</v>
      </c>
      <c r="C358" t="s">
        <v>1023</v>
      </c>
      <c r="D358">
        <v>52</v>
      </c>
      <c r="E358">
        <v>0</v>
      </c>
      <c r="F358" s="3">
        <v>53267</v>
      </c>
      <c r="G358">
        <v>55</v>
      </c>
      <c r="H358">
        <v>3</v>
      </c>
      <c r="I358">
        <v>19</v>
      </c>
      <c r="J358">
        <v>27</v>
      </c>
      <c r="K358">
        <v>2.5</v>
      </c>
      <c r="L358" s="3">
        <v>3.7</v>
      </c>
      <c r="M358" t="s">
        <v>1036</v>
      </c>
      <c r="N358">
        <v>34.700000000000003</v>
      </c>
    </row>
    <row r="359" spans="1:14" x14ac:dyDescent="0.3">
      <c r="A359" t="s">
        <v>369</v>
      </c>
      <c r="B359" t="s">
        <v>1018</v>
      </c>
      <c r="C359" t="s">
        <v>1032</v>
      </c>
      <c r="D359">
        <v>48</v>
      </c>
      <c r="E359">
        <v>8</v>
      </c>
      <c r="F359" s="3">
        <v>68292</v>
      </c>
      <c r="G359">
        <v>44</v>
      </c>
      <c r="H359">
        <v>5</v>
      </c>
      <c r="I359">
        <v>7</v>
      </c>
      <c r="J359">
        <v>6</v>
      </c>
      <c r="K359">
        <v>2.1</v>
      </c>
      <c r="L359" s="3">
        <v>7</v>
      </c>
      <c r="M359" t="s">
        <v>1035</v>
      </c>
      <c r="N359">
        <v>56.63</v>
      </c>
    </row>
    <row r="360" spans="1:14" x14ac:dyDescent="0.3">
      <c r="A360" t="s">
        <v>370</v>
      </c>
      <c r="B360" t="s">
        <v>1018</v>
      </c>
      <c r="C360" t="s">
        <v>1028</v>
      </c>
      <c r="D360">
        <v>25</v>
      </c>
      <c r="E360">
        <v>2</v>
      </c>
      <c r="F360" s="3">
        <v>25250</v>
      </c>
      <c r="G360">
        <v>48</v>
      </c>
      <c r="H360">
        <v>2</v>
      </c>
      <c r="I360">
        <v>9</v>
      </c>
      <c r="J360">
        <v>40</v>
      </c>
      <c r="K360">
        <v>3.8</v>
      </c>
      <c r="L360" s="3">
        <v>4.4000000000000004</v>
      </c>
      <c r="M360" t="s">
        <v>1036</v>
      </c>
      <c r="N360">
        <v>41.13</v>
      </c>
    </row>
    <row r="361" spans="1:14" x14ac:dyDescent="0.3">
      <c r="A361" t="s">
        <v>371</v>
      </c>
      <c r="B361" t="s">
        <v>1018</v>
      </c>
      <c r="C361" t="s">
        <v>1027</v>
      </c>
      <c r="D361">
        <v>32</v>
      </c>
      <c r="E361">
        <v>10</v>
      </c>
      <c r="F361" s="3">
        <v>44124</v>
      </c>
      <c r="G361">
        <v>37</v>
      </c>
      <c r="H361">
        <v>8</v>
      </c>
      <c r="I361">
        <v>3</v>
      </c>
      <c r="J361">
        <v>19</v>
      </c>
      <c r="K361">
        <v>4.4000000000000004</v>
      </c>
      <c r="L361" s="3">
        <v>6.3</v>
      </c>
      <c r="M361" t="s">
        <v>1035</v>
      </c>
      <c r="N361">
        <v>64.33</v>
      </c>
    </row>
    <row r="362" spans="1:14" x14ac:dyDescent="0.3">
      <c r="A362" t="s">
        <v>372</v>
      </c>
      <c r="B362" t="s">
        <v>1016</v>
      </c>
      <c r="C362" t="s">
        <v>1033</v>
      </c>
      <c r="D362">
        <v>27</v>
      </c>
      <c r="E362">
        <v>5</v>
      </c>
      <c r="F362" s="3">
        <v>60659</v>
      </c>
      <c r="G362">
        <v>47</v>
      </c>
      <c r="H362">
        <v>3</v>
      </c>
      <c r="I362">
        <v>11</v>
      </c>
      <c r="J362">
        <v>24</v>
      </c>
      <c r="K362">
        <v>3.1</v>
      </c>
      <c r="L362" s="3">
        <v>6.1</v>
      </c>
      <c r="M362" t="s">
        <v>1035</v>
      </c>
      <c r="N362">
        <v>50.9</v>
      </c>
    </row>
    <row r="363" spans="1:14" x14ac:dyDescent="0.3">
      <c r="A363" t="s">
        <v>373</v>
      </c>
      <c r="B363" t="s">
        <v>1017</v>
      </c>
      <c r="C363" t="s">
        <v>1030</v>
      </c>
      <c r="D363">
        <v>51</v>
      </c>
      <c r="E363">
        <v>8</v>
      </c>
      <c r="F363" s="3">
        <v>39827</v>
      </c>
      <c r="G363">
        <v>43</v>
      </c>
      <c r="H363">
        <v>10</v>
      </c>
      <c r="I363">
        <v>1</v>
      </c>
      <c r="J363">
        <v>9</v>
      </c>
      <c r="K363">
        <v>4.3</v>
      </c>
      <c r="L363" s="3">
        <v>7.7</v>
      </c>
      <c r="M363" t="s">
        <v>1035</v>
      </c>
      <c r="N363">
        <v>75.77</v>
      </c>
    </row>
    <row r="364" spans="1:14" x14ac:dyDescent="0.3">
      <c r="A364" t="s">
        <v>374</v>
      </c>
      <c r="B364" t="s">
        <v>1016</v>
      </c>
      <c r="C364" t="s">
        <v>1033</v>
      </c>
      <c r="D364">
        <v>48</v>
      </c>
      <c r="E364">
        <v>7</v>
      </c>
      <c r="F364" s="3">
        <v>61280</v>
      </c>
      <c r="G364">
        <v>36</v>
      </c>
      <c r="H364">
        <v>14</v>
      </c>
      <c r="I364">
        <v>12</v>
      </c>
      <c r="J364">
        <v>33</v>
      </c>
      <c r="K364">
        <v>3.3</v>
      </c>
      <c r="L364" s="3">
        <v>6.7</v>
      </c>
      <c r="M364" t="s">
        <v>1035</v>
      </c>
      <c r="N364">
        <v>73.430000000000007</v>
      </c>
    </row>
    <row r="365" spans="1:14" x14ac:dyDescent="0.3">
      <c r="A365" t="s">
        <v>375</v>
      </c>
      <c r="B365" t="s">
        <v>1015</v>
      </c>
      <c r="C365" t="s">
        <v>1020</v>
      </c>
      <c r="D365">
        <v>37</v>
      </c>
      <c r="E365">
        <v>15</v>
      </c>
      <c r="F365" s="3">
        <v>44585</v>
      </c>
      <c r="G365">
        <v>37</v>
      </c>
      <c r="H365">
        <v>7</v>
      </c>
      <c r="I365">
        <v>22</v>
      </c>
      <c r="J365">
        <v>2</v>
      </c>
      <c r="K365">
        <v>3.5</v>
      </c>
      <c r="L365" s="3">
        <v>9.3000000000000007</v>
      </c>
      <c r="M365" t="s">
        <v>1034</v>
      </c>
      <c r="N365">
        <v>77.97</v>
      </c>
    </row>
    <row r="366" spans="1:14" x14ac:dyDescent="0.3">
      <c r="A366" t="s">
        <v>376</v>
      </c>
      <c r="B366" t="s">
        <v>1015</v>
      </c>
      <c r="C366" t="s">
        <v>1021</v>
      </c>
      <c r="D366">
        <v>31</v>
      </c>
      <c r="E366">
        <v>1</v>
      </c>
      <c r="F366" s="3">
        <v>87210</v>
      </c>
      <c r="G366">
        <v>49</v>
      </c>
      <c r="H366">
        <v>3</v>
      </c>
      <c r="I366">
        <v>5</v>
      </c>
      <c r="J366">
        <v>13</v>
      </c>
      <c r="K366">
        <v>4.4000000000000004</v>
      </c>
      <c r="L366" s="3">
        <v>3.9</v>
      </c>
      <c r="M366" t="s">
        <v>1036</v>
      </c>
      <c r="N366">
        <v>41.6</v>
      </c>
    </row>
    <row r="367" spans="1:14" x14ac:dyDescent="0.3">
      <c r="A367" t="s">
        <v>377</v>
      </c>
      <c r="B367" t="s">
        <v>1014</v>
      </c>
      <c r="C367" t="s">
        <v>1019</v>
      </c>
      <c r="D367">
        <v>49</v>
      </c>
      <c r="E367">
        <v>6</v>
      </c>
      <c r="F367" s="3">
        <v>78907</v>
      </c>
      <c r="G367">
        <v>55</v>
      </c>
      <c r="H367">
        <v>3</v>
      </c>
      <c r="I367">
        <v>19</v>
      </c>
      <c r="J367">
        <v>16</v>
      </c>
      <c r="K367">
        <v>3</v>
      </c>
      <c r="L367" s="3">
        <v>8.1</v>
      </c>
      <c r="M367" t="s">
        <v>1034</v>
      </c>
      <c r="N367">
        <v>62.6</v>
      </c>
    </row>
    <row r="368" spans="1:14" x14ac:dyDescent="0.3">
      <c r="A368" t="s">
        <v>378</v>
      </c>
      <c r="B368" t="s">
        <v>1014</v>
      </c>
      <c r="C368" t="s">
        <v>1025</v>
      </c>
      <c r="D368">
        <v>46</v>
      </c>
      <c r="E368">
        <v>12</v>
      </c>
      <c r="F368" s="3">
        <v>61179</v>
      </c>
      <c r="G368">
        <v>45</v>
      </c>
      <c r="H368">
        <v>14</v>
      </c>
      <c r="I368">
        <v>8</v>
      </c>
      <c r="J368">
        <v>33</v>
      </c>
      <c r="K368">
        <v>3.4</v>
      </c>
      <c r="L368" s="3">
        <v>9.1</v>
      </c>
      <c r="M368" t="s">
        <v>1034</v>
      </c>
      <c r="N368">
        <v>88.13</v>
      </c>
    </row>
    <row r="369" spans="1:14" x14ac:dyDescent="0.3">
      <c r="A369" t="s">
        <v>379</v>
      </c>
      <c r="B369" t="s">
        <v>1015</v>
      </c>
      <c r="C369" t="s">
        <v>1029</v>
      </c>
      <c r="D369">
        <v>55</v>
      </c>
      <c r="E369">
        <v>13</v>
      </c>
      <c r="F369" s="3">
        <v>32374</v>
      </c>
      <c r="G369">
        <v>48</v>
      </c>
      <c r="H369">
        <v>3</v>
      </c>
      <c r="I369">
        <v>4</v>
      </c>
      <c r="J369">
        <v>36</v>
      </c>
      <c r="K369">
        <v>3.8</v>
      </c>
      <c r="L369" s="3">
        <v>8.3000000000000007</v>
      </c>
      <c r="M369" t="s">
        <v>1034</v>
      </c>
      <c r="N369">
        <v>66.2</v>
      </c>
    </row>
    <row r="370" spans="1:14" x14ac:dyDescent="0.3">
      <c r="A370" t="s">
        <v>380</v>
      </c>
      <c r="B370" t="s">
        <v>1014</v>
      </c>
      <c r="C370" t="s">
        <v>1025</v>
      </c>
      <c r="D370">
        <v>28</v>
      </c>
      <c r="E370">
        <v>4</v>
      </c>
      <c r="F370" s="3">
        <v>81850</v>
      </c>
      <c r="G370">
        <v>52</v>
      </c>
      <c r="H370">
        <v>15</v>
      </c>
      <c r="I370">
        <v>11</v>
      </c>
      <c r="J370">
        <v>26</v>
      </c>
      <c r="K370">
        <v>2.8</v>
      </c>
      <c r="L370" s="3">
        <v>7.6</v>
      </c>
      <c r="M370" t="s">
        <v>1035</v>
      </c>
      <c r="N370">
        <v>79</v>
      </c>
    </row>
    <row r="371" spans="1:14" x14ac:dyDescent="0.3">
      <c r="A371" t="s">
        <v>381</v>
      </c>
      <c r="B371" t="s">
        <v>1015</v>
      </c>
      <c r="C371" t="s">
        <v>1029</v>
      </c>
      <c r="D371">
        <v>52</v>
      </c>
      <c r="E371">
        <v>1</v>
      </c>
      <c r="F371" s="3">
        <v>36285</v>
      </c>
      <c r="G371">
        <v>43</v>
      </c>
      <c r="H371">
        <v>7</v>
      </c>
      <c r="I371">
        <v>4</v>
      </c>
      <c r="J371">
        <v>39</v>
      </c>
      <c r="K371">
        <v>3.8</v>
      </c>
      <c r="L371" s="3">
        <v>7.9</v>
      </c>
      <c r="M371" t="s">
        <v>1035</v>
      </c>
      <c r="N371">
        <v>70.47</v>
      </c>
    </row>
    <row r="372" spans="1:14" x14ac:dyDescent="0.3">
      <c r="A372" t="s">
        <v>382</v>
      </c>
      <c r="B372" t="s">
        <v>1017</v>
      </c>
      <c r="C372" t="s">
        <v>1026</v>
      </c>
      <c r="D372">
        <v>43</v>
      </c>
      <c r="E372">
        <v>7</v>
      </c>
      <c r="F372" s="3">
        <v>28230</v>
      </c>
      <c r="G372">
        <v>50</v>
      </c>
      <c r="H372">
        <v>15</v>
      </c>
      <c r="I372">
        <v>8</v>
      </c>
      <c r="J372">
        <v>23</v>
      </c>
      <c r="K372">
        <v>2.1</v>
      </c>
      <c r="L372" s="3">
        <v>8.6999999999999993</v>
      </c>
      <c r="M372" t="s">
        <v>1034</v>
      </c>
      <c r="N372">
        <v>83.5</v>
      </c>
    </row>
    <row r="373" spans="1:14" x14ac:dyDescent="0.3">
      <c r="A373" t="s">
        <v>383</v>
      </c>
      <c r="B373" t="s">
        <v>1016</v>
      </c>
      <c r="C373" t="s">
        <v>1033</v>
      </c>
      <c r="D373">
        <v>39</v>
      </c>
      <c r="E373">
        <v>15</v>
      </c>
      <c r="F373" s="3">
        <v>81245</v>
      </c>
      <c r="G373">
        <v>38</v>
      </c>
      <c r="H373">
        <v>14</v>
      </c>
      <c r="I373">
        <v>7</v>
      </c>
      <c r="J373">
        <v>8</v>
      </c>
      <c r="K373">
        <v>2.9</v>
      </c>
      <c r="L373" s="3">
        <v>8.1999999999999993</v>
      </c>
      <c r="M373" t="s">
        <v>1034</v>
      </c>
      <c r="N373">
        <v>81.23</v>
      </c>
    </row>
    <row r="374" spans="1:14" x14ac:dyDescent="0.3">
      <c r="A374" t="s">
        <v>384</v>
      </c>
      <c r="B374" t="s">
        <v>1016</v>
      </c>
      <c r="C374" t="s">
        <v>1023</v>
      </c>
      <c r="D374">
        <v>48</v>
      </c>
      <c r="E374">
        <v>2</v>
      </c>
      <c r="F374" s="3">
        <v>37316</v>
      </c>
      <c r="G374">
        <v>49</v>
      </c>
      <c r="H374">
        <v>4</v>
      </c>
      <c r="I374">
        <v>13</v>
      </c>
      <c r="J374">
        <v>31</v>
      </c>
      <c r="K374">
        <v>4.3</v>
      </c>
      <c r="L374" s="3">
        <v>9.1</v>
      </c>
      <c r="M374" t="s">
        <v>1034</v>
      </c>
      <c r="N374">
        <v>74.17</v>
      </c>
    </row>
    <row r="375" spans="1:14" x14ac:dyDescent="0.3">
      <c r="A375" t="s">
        <v>385</v>
      </c>
      <c r="B375" t="s">
        <v>1015</v>
      </c>
      <c r="C375" t="s">
        <v>1029</v>
      </c>
      <c r="D375">
        <v>32</v>
      </c>
      <c r="E375">
        <v>1</v>
      </c>
      <c r="F375" s="3">
        <v>45389</v>
      </c>
      <c r="G375">
        <v>51</v>
      </c>
      <c r="H375">
        <v>7</v>
      </c>
      <c r="I375">
        <v>4</v>
      </c>
      <c r="J375">
        <v>33</v>
      </c>
      <c r="K375">
        <v>4.5999999999999996</v>
      </c>
      <c r="L375" s="3">
        <v>3.2</v>
      </c>
      <c r="M375" t="s">
        <v>1036</v>
      </c>
      <c r="N375">
        <v>44.67</v>
      </c>
    </row>
    <row r="376" spans="1:14" x14ac:dyDescent="0.3">
      <c r="A376" t="s">
        <v>386</v>
      </c>
      <c r="B376" t="s">
        <v>1018</v>
      </c>
      <c r="C376" t="s">
        <v>1027</v>
      </c>
      <c r="D376">
        <v>25</v>
      </c>
      <c r="E376">
        <v>1</v>
      </c>
      <c r="F376" s="3">
        <v>27167</v>
      </c>
      <c r="G376">
        <v>49</v>
      </c>
      <c r="H376">
        <v>1</v>
      </c>
      <c r="I376">
        <v>11</v>
      </c>
      <c r="J376">
        <v>12</v>
      </c>
      <c r="K376">
        <v>2.8</v>
      </c>
      <c r="L376" s="3">
        <v>8.8000000000000007</v>
      </c>
      <c r="M376" t="s">
        <v>1034</v>
      </c>
      <c r="N376">
        <v>62.87</v>
      </c>
    </row>
    <row r="377" spans="1:14" x14ac:dyDescent="0.3">
      <c r="A377" t="s">
        <v>387</v>
      </c>
      <c r="B377" t="s">
        <v>1017</v>
      </c>
      <c r="C377" t="s">
        <v>1024</v>
      </c>
      <c r="D377">
        <v>29</v>
      </c>
      <c r="E377">
        <v>0</v>
      </c>
      <c r="F377" s="3">
        <v>40855</v>
      </c>
      <c r="G377">
        <v>46</v>
      </c>
      <c r="H377">
        <v>8</v>
      </c>
      <c r="I377">
        <v>19</v>
      </c>
      <c r="J377">
        <v>28</v>
      </c>
      <c r="K377">
        <v>2.5</v>
      </c>
      <c r="L377" s="3">
        <v>9.1</v>
      </c>
      <c r="M377" t="s">
        <v>1034</v>
      </c>
      <c r="N377">
        <v>75.430000000000007</v>
      </c>
    </row>
    <row r="378" spans="1:14" x14ac:dyDescent="0.3">
      <c r="A378" t="s">
        <v>388</v>
      </c>
      <c r="B378" t="s">
        <v>1015</v>
      </c>
      <c r="C378" t="s">
        <v>1029</v>
      </c>
      <c r="D378">
        <v>44</v>
      </c>
      <c r="E378">
        <v>11</v>
      </c>
      <c r="F378" s="3">
        <v>35716</v>
      </c>
      <c r="G378">
        <v>43</v>
      </c>
      <c r="H378">
        <v>12</v>
      </c>
      <c r="I378">
        <v>22</v>
      </c>
      <c r="J378">
        <v>5</v>
      </c>
      <c r="K378">
        <v>2.9</v>
      </c>
      <c r="L378" s="3">
        <v>5.7</v>
      </c>
      <c r="M378" t="s">
        <v>1036</v>
      </c>
      <c r="N378">
        <v>62.9</v>
      </c>
    </row>
    <row r="379" spans="1:14" x14ac:dyDescent="0.3">
      <c r="A379" t="s">
        <v>389</v>
      </c>
      <c r="B379" t="s">
        <v>1015</v>
      </c>
      <c r="C379" t="s">
        <v>1029</v>
      </c>
      <c r="D379">
        <v>35</v>
      </c>
      <c r="E379">
        <v>13</v>
      </c>
      <c r="F379" s="3">
        <v>39506</v>
      </c>
      <c r="G379">
        <v>55</v>
      </c>
      <c r="H379">
        <v>4</v>
      </c>
      <c r="I379">
        <v>21</v>
      </c>
      <c r="J379">
        <v>13</v>
      </c>
      <c r="K379">
        <v>2.8</v>
      </c>
      <c r="L379" s="3">
        <v>5.9</v>
      </c>
      <c r="M379" t="s">
        <v>1036</v>
      </c>
      <c r="N379">
        <v>50.47</v>
      </c>
    </row>
    <row r="380" spans="1:14" x14ac:dyDescent="0.3">
      <c r="A380" t="s">
        <v>390</v>
      </c>
      <c r="B380" t="s">
        <v>1014</v>
      </c>
      <c r="C380" t="s">
        <v>1031</v>
      </c>
      <c r="D380">
        <v>52</v>
      </c>
      <c r="E380">
        <v>4</v>
      </c>
      <c r="F380" s="3">
        <v>67426</v>
      </c>
      <c r="G380">
        <v>40</v>
      </c>
      <c r="H380">
        <v>10</v>
      </c>
      <c r="I380">
        <v>25</v>
      </c>
      <c r="J380">
        <v>0</v>
      </c>
      <c r="K380">
        <v>2.7</v>
      </c>
      <c r="L380" s="3">
        <v>7.3</v>
      </c>
      <c r="M380" t="s">
        <v>1035</v>
      </c>
      <c r="N380">
        <v>68.569999999999993</v>
      </c>
    </row>
    <row r="381" spans="1:14" x14ac:dyDescent="0.3">
      <c r="A381" t="s">
        <v>391</v>
      </c>
      <c r="B381" t="s">
        <v>1016</v>
      </c>
      <c r="C381" t="s">
        <v>1022</v>
      </c>
      <c r="D381">
        <v>49</v>
      </c>
      <c r="E381">
        <v>12</v>
      </c>
      <c r="F381" s="3">
        <v>80809</v>
      </c>
      <c r="G381">
        <v>46</v>
      </c>
      <c r="H381">
        <v>8</v>
      </c>
      <c r="I381">
        <v>8</v>
      </c>
      <c r="J381">
        <v>13</v>
      </c>
      <c r="K381">
        <v>3.4</v>
      </c>
      <c r="L381" s="3">
        <v>7.7</v>
      </c>
      <c r="M381" t="s">
        <v>1035</v>
      </c>
      <c r="N381">
        <v>69.73</v>
      </c>
    </row>
    <row r="382" spans="1:14" x14ac:dyDescent="0.3">
      <c r="A382" t="s">
        <v>392</v>
      </c>
      <c r="B382" t="s">
        <v>1017</v>
      </c>
      <c r="C382" t="s">
        <v>1030</v>
      </c>
      <c r="D382">
        <v>28</v>
      </c>
      <c r="E382">
        <v>0</v>
      </c>
      <c r="F382" s="3">
        <v>58522</v>
      </c>
      <c r="G382">
        <v>46</v>
      </c>
      <c r="H382">
        <v>9</v>
      </c>
      <c r="I382">
        <v>20</v>
      </c>
      <c r="J382">
        <v>38</v>
      </c>
      <c r="K382">
        <v>3.8</v>
      </c>
      <c r="L382" s="3">
        <v>5.0999999999999996</v>
      </c>
      <c r="M382" t="s">
        <v>1036</v>
      </c>
      <c r="N382">
        <v>57</v>
      </c>
    </row>
    <row r="383" spans="1:14" x14ac:dyDescent="0.3">
      <c r="A383" t="s">
        <v>393</v>
      </c>
      <c r="B383" t="s">
        <v>1017</v>
      </c>
      <c r="C383" t="s">
        <v>1024</v>
      </c>
      <c r="D383">
        <v>26</v>
      </c>
      <c r="E383">
        <v>2</v>
      </c>
      <c r="F383" s="3">
        <v>89773</v>
      </c>
      <c r="G383">
        <v>43</v>
      </c>
      <c r="H383">
        <v>11</v>
      </c>
      <c r="I383">
        <v>10</v>
      </c>
      <c r="J383">
        <v>17</v>
      </c>
      <c r="K383">
        <v>2.8</v>
      </c>
      <c r="L383" s="3">
        <v>8</v>
      </c>
      <c r="M383" t="s">
        <v>1034</v>
      </c>
      <c r="N383">
        <v>74.73</v>
      </c>
    </row>
    <row r="384" spans="1:14" x14ac:dyDescent="0.3">
      <c r="A384" t="s">
        <v>394</v>
      </c>
      <c r="B384" t="s">
        <v>1016</v>
      </c>
      <c r="C384" t="s">
        <v>1023</v>
      </c>
      <c r="D384">
        <v>34</v>
      </c>
      <c r="E384">
        <v>2</v>
      </c>
      <c r="F384" s="3">
        <v>58901</v>
      </c>
      <c r="G384">
        <v>42</v>
      </c>
      <c r="H384">
        <v>15</v>
      </c>
      <c r="I384">
        <v>1</v>
      </c>
      <c r="J384">
        <v>38</v>
      </c>
      <c r="K384">
        <v>3.2</v>
      </c>
      <c r="L384" s="3">
        <v>5.2</v>
      </c>
      <c r="M384" t="s">
        <v>1036</v>
      </c>
      <c r="N384">
        <v>65.8</v>
      </c>
    </row>
    <row r="385" spans="1:14" x14ac:dyDescent="0.3">
      <c r="A385" t="s">
        <v>395</v>
      </c>
      <c r="B385" t="s">
        <v>1014</v>
      </c>
      <c r="C385" t="s">
        <v>1019</v>
      </c>
      <c r="D385">
        <v>53</v>
      </c>
      <c r="E385">
        <v>9</v>
      </c>
      <c r="F385" s="3">
        <v>42001</v>
      </c>
      <c r="G385">
        <v>48</v>
      </c>
      <c r="H385">
        <v>7</v>
      </c>
      <c r="I385">
        <v>12</v>
      </c>
      <c r="J385">
        <v>2</v>
      </c>
      <c r="K385">
        <v>3.7</v>
      </c>
      <c r="L385" s="3">
        <v>10</v>
      </c>
      <c r="M385" t="s">
        <v>1034</v>
      </c>
      <c r="N385">
        <v>82.77</v>
      </c>
    </row>
    <row r="386" spans="1:14" x14ac:dyDescent="0.3">
      <c r="A386" t="s">
        <v>396</v>
      </c>
      <c r="B386" t="s">
        <v>1016</v>
      </c>
      <c r="C386" t="s">
        <v>1023</v>
      </c>
      <c r="D386">
        <v>36</v>
      </c>
      <c r="E386">
        <v>15</v>
      </c>
      <c r="F386" s="3">
        <v>84410</v>
      </c>
      <c r="G386">
        <v>46</v>
      </c>
      <c r="H386">
        <v>9</v>
      </c>
      <c r="I386">
        <v>9</v>
      </c>
      <c r="J386">
        <v>10</v>
      </c>
      <c r="K386">
        <v>4.5</v>
      </c>
      <c r="L386" s="3">
        <v>9.1</v>
      </c>
      <c r="M386" t="s">
        <v>1034</v>
      </c>
      <c r="N386">
        <v>83.1</v>
      </c>
    </row>
    <row r="387" spans="1:14" x14ac:dyDescent="0.3">
      <c r="A387" t="s">
        <v>397</v>
      </c>
      <c r="B387" t="s">
        <v>1016</v>
      </c>
      <c r="C387" t="s">
        <v>1022</v>
      </c>
      <c r="D387">
        <v>28</v>
      </c>
      <c r="E387">
        <v>7</v>
      </c>
      <c r="F387" s="3">
        <v>33384</v>
      </c>
      <c r="G387">
        <v>43</v>
      </c>
      <c r="H387">
        <v>12</v>
      </c>
      <c r="I387">
        <v>25</v>
      </c>
      <c r="J387">
        <v>35</v>
      </c>
      <c r="K387">
        <v>4.3</v>
      </c>
      <c r="L387" s="3">
        <v>4.3</v>
      </c>
      <c r="M387" t="s">
        <v>1036</v>
      </c>
      <c r="N387">
        <v>58.7</v>
      </c>
    </row>
    <row r="388" spans="1:14" x14ac:dyDescent="0.3">
      <c r="A388" t="s">
        <v>398</v>
      </c>
      <c r="B388" t="s">
        <v>1016</v>
      </c>
      <c r="C388" t="s">
        <v>1033</v>
      </c>
      <c r="D388">
        <v>27</v>
      </c>
      <c r="E388">
        <v>1</v>
      </c>
      <c r="F388" s="3">
        <v>48283</v>
      </c>
      <c r="G388">
        <v>42</v>
      </c>
      <c r="H388">
        <v>12</v>
      </c>
      <c r="I388">
        <v>9</v>
      </c>
      <c r="J388">
        <v>26</v>
      </c>
      <c r="K388">
        <v>4.4000000000000004</v>
      </c>
      <c r="L388" s="3">
        <v>5.3</v>
      </c>
      <c r="M388" t="s">
        <v>1036</v>
      </c>
      <c r="N388">
        <v>65</v>
      </c>
    </row>
    <row r="389" spans="1:14" x14ac:dyDescent="0.3">
      <c r="A389" t="s">
        <v>399</v>
      </c>
      <c r="B389" t="s">
        <v>1015</v>
      </c>
      <c r="C389" t="s">
        <v>1029</v>
      </c>
      <c r="D389">
        <v>40</v>
      </c>
      <c r="E389">
        <v>14</v>
      </c>
      <c r="F389" s="3">
        <v>80785</v>
      </c>
      <c r="G389">
        <v>38</v>
      </c>
      <c r="H389">
        <v>8</v>
      </c>
      <c r="I389">
        <v>1</v>
      </c>
      <c r="J389">
        <v>40</v>
      </c>
      <c r="K389">
        <v>3.8</v>
      </c>
      <c r="L389" s="3">
        <v>9.6</v>
      </c>
      <c r="M389" t="s">
        <v>1034</v>
      </c>
      <c r="N389">
        <v>82.33</v>
      </c>
    </row>
    <row r="390" spans="1:14" x14ac:dyDescent="0.3">
      <c r="A390" t="s">
        <v>400</v>
      </c>
      <c r="B390" t="s">
        <v>1017</v>
      </c>
      <c r="C390" t="s">
        <v>1030</v>
      </c>
      <c r="D390">
        <v>34</v>
      </c>
      <c r="E390">
        <v>8</v>
      </c>
      <c r="F390" s="3">
        <v>32852</v>
      </c>
      <c r="G390">
        <v>47</v>
      </c>
      <c r="H390">
        <v>9</v>
      </c>
      <c r="I390">
        <v>9</v>
      </c>
      <c r="J390">
        <v>26</v>
      </c>
      <c r="K390">
        <v>2.2000000000000002</v>
      </c>
      <c r="L390" s="3">
        <v>9</v>
      </c>
      <c r="M390" t="s">
        <v>1034</v>
      </c>
      <c r="N390">
        <v>75.599999999999994</v>
      </c>
    </row>
    <row r="391" spans="1:14" x14ac:dyDescent="0.3">
      <c r="A391" t="s">
        <v>401</v>
      </c>
      <c r="B391" t="s">
        <v>1018</v>
      </c>
      <c r="C391" t="s">
        <v>1028</v>
      </c>
      <c r="D391">
        <v>43</v>
      </c>
      <c r="E391">
        <v>13</v>
      </c>
      <c r="F391" s="3">
        <v>89696</v>
      </c>
      <c r="G391">
        <v>53</v>
      </c>
      <c r="H391">
        <v>15</v>
      </c>
      <c r="I391">
        <v>14</v>
      </c>
      <c r="J391">
        <v>9</v>
      </c>
      <c r="K391">
        <v>2.9</v>
      </c>
      <c r="L391" s="3">
        <v>8</v>
      </c>
      <c r="M391" t="s">
        <v>1034</v>
      </c>
      <c r="N391">
        <v>81.7</v>
      </c>
    </row>
    <row r="392" spans="1:14" x14ac:dyDescent="0.3">
      <c r="A392" t="s">
        <v>402</v>
      </c>
      <c r="B392" t="s">
        <v>1017</v>
      </c>
      <c r="C392" t="s">
        <v>1030</v>
      </c>
      <c r="D392">
        <v>43</v>
      </c>
      <c r="E392">
        <v>5</v>
      </c>
      <c r="F392" s="3">
        <v>45539</v>
      </c>
      <c r="G392">
        <v>55</v>
      </c>
      <c r="H392">
        <v>1</v>
      </c>
      <c r="I392">
        <v>0</v>
      </c>
      <c r="J392">
        <v>28</v>
      </c>
      <c r="K392">
        <v>2.8</v>
      </c>
      <c r="L392" s="3">
        <v>8.3000000000000007</v>
      </c>
      <c r="M392" t="s">
        <v>1034</v>
      </c>
      <c r="N392">
        <v>59.87</v>
      </c>
    </row>
    <row r="393" spans="1:14" x14ac:dyDescent="0.3">
      <c r="A393" t="s">
        <v>403</v>
      </c>
      <c r="B393" t="s">
        <v>1015</v>
      </c>
      <c r="C393" t="s">
        <v>1021</v>
      </c>
      <c r="D393">
        <v>32</v>
      </c>
      <c r="E393">
        <v>7</v>
      </c>
      <c r="F393" s="3">
        <v>76459</v>
      </c>
      <c r="G393">
        <v>37</v>
      </c>
      <c r="H393">
        <v>3</v>
      </c>
      <c r="I393">
        <v>19</v>
      </c>
      <c r="J393">
        <v>27</v>
      </c>
      <c r="K393">
        <v>3.9</v>
      </c>
      <c r="L393" s="3">
        <v>5.8</v>
      </c>
      <c r="M393" t="s">
        <v>1036</v>
      </c>
      <c r="N393">
        <v>51.5</v>
      </c>
    </row>
    <row r="394" spans="1:14" x14ac:dyDescent="0.3">
      <c r="A394" t="s">
        <v>404</v>
      </c>
      <c r="B394" t="s">
        <v>1017</v>
      </c>
      <c r="C394" t="s">
        <v>1024</v>
      </c>
      <c r="D394">
        <v>22</v>
      </c>
      <c r="E394">
        <v>0</v>
      </c>
      <c r="F394" s="3">
        <v>59981</v>
      </c>
      <c r="G394">
        <v>41</v>
      </c>
      <c r="H394">
        <v>12</v>
      </c>
      <c r="I394">
        <v>11</v>
      </c>
      <c r="J394">
        <v>0</v>
      </c>
      <c r="K394">
        <v>4.7</v>
      </c>
      <c r="L394" s="3">
        <v>8.3000000000000007</v>
      </c>
      <c r="M394" t="s">
        <v>1034</v>
      </c>
      <c r="N394">
        <v>83.9</v>
      </c>
    </row>
    <row r="395" spans="1:14" x14ac:dyDescent="0.3">
      <c r="A395" t="s">
        <v>405</v>
      </c>
      <c r="B395" t="s">
        <v>1018</v>
      </c>
      <c r="C395" t="s">
        <v>1028</v>
      </c>
      <c r="D395">
        <v>23</v>
      </c>
      <c r="E395">
        <v>2</v>
      </c>
      <c r="F395" s="3">
        <v>25270</v>
      </c>
      <c r="G395">
        <v>55</v>
      </c>
      <c r="H395">
        <v>12</v>
      </c>
      <c r="I395">
        <v>7</v>
      </c>
      <c r="J395">
        <v>14</v>
      </c>
      <c r="K395">
        <v>4.0999999999999996</v>
      </c>
      <c r="L395" s="3">
        <v>5.4</v>
      </c>
      <c r="M395" t="s">
        <v>1036</v>
      </c>
      <c r="N395">
        <v>64.7</v>
      </c>
    </row>
    <row r="396" spans="1:14" x14ac:dyDescent="0.3">
      <c r="A396" t="s">
        <v>406</v>
      </c>
      <c r="B396" t="s">
        <v>1014</v>
      </c>
      <c r="C396" t="s">
        <v>1025</v>
      </c>
      <c r="D396">
        <v>46</v>
      </c>
      <c r="E396">
        <v>9</v>
      </c>
      <c r="F396" s="3">
        <v>35945</v>
      </c>
      <c r="G396">
        <v>37</v>
      </c>
      <c r="H396">
        <v>14</v>
      </c>
      <c r="I396">
        <v>1</v>
      </c>
      <c r="J396">
        <v>19</v>
      </c>
      <c r="K396">
        <v>4.8</v>
      </c>
      <c r="L396" s="3">
        <v>6.2</v>
      </c>
      <c r="M396" t="s">
        <v>1035</v>
      </c>
      <c r="N396">
        <v>74.930000000000007</v>
      </c>
    </row>
    <row r="397" spans="1:14" x14ac:dyDescent="0.3">
      <c r="A397" t="s">
        <v>407</v>
      </c>
      <c r="B397" t="s">
        <v>1015</v>
      </c>
      <c r="C397" t="s">
        <v>1021</v>
      </c>
      <c r="D397">
        <v>55</v>
      </c>
      <c r="E397">
        <v>10</v>
      </c>
      <c r="F397" s="3">
        <v>53420</v>
      </c>
      <c r="G397">
        <v>39</v>
      </c>
      <c r="H397">
        <v>6</v>
      </c>
      <c r="I397">
        <v>15</v>
      </c>
      <c r="J397">
        <v>22</v>
      </c>
      <c r="K397">
        <v>4.3</v>
      </c>
      <c r="L397" s="3">
        <v>4.2</v>
      </c>
      <c r="M397" t="s">
        <v>1036</v>
      </c>
      <c r="N397">
        <v>48.1</v>
      </c>
    </row>
    <row r="398" spans="1:14" x14ac:dyDescent="0.3">
      <c r="A398" t="s">
        <v>408</v>
      </c>
      <c r="B398" t="s">
        <v>1014</v>
      </c>
      <c r="C398" t="s">
        <v>1031</v>
      </c>
      <c r="D398">
        <v>36</v>
      </c>
      <c r="E398">
        <v>7</v>
      </c>
      <c r="F398" s="3">
        <v>72655</v>
      </c>
      <c r="G398">
        <v>39</v>
      </c>
      <c r="H398">
        <v>4</v>
      </c>
      <c r="I398">
        <v>23</v>
      </c>
      <c r="J398">
        <v>1</v>
      </c>
      <c r="K398">
        <v>3.8</v>
      </c>
      <c r="L398" s="3">
        <v>4.2</v>
      </c>
      <c r="M398" t="s">
        <v>1036</v>
      </c>
      <c r="N398">
        <v>43.27</v>
      </c>
    </row>
    <row r="399" spans="1:14" x14ac:dyDescent="0.3">
      <c r="A399" t="s">
        <v>409</v>
      </c>
      <c r="B399" t="s">
        <v>1014</v>
      </c>
      <c r="C399" t="s">
        <v>1025</v>
      </c>
      <c r="D399">
        <v>46</v>
      </c>
      <c r="E399">
        <v>8</v>
      </c>
      <c r="F399" s="3">
        <v>75544</v>
      </c>
      <c r="G399">
        <v>52</v>
      </c>
      <c r="H399">
        <v>10</v>
      </c>
      <c r="I399">
        <v>1</v>
      </c>
      <c r="J399">
        <v>38</v>
      </c>
      <c r="K399">
        <v>5</v>
      </c>
      <c r="L399" s="3">
        <v>7.6</v>
      </c>
      <c r="M399" t="s">
        <v>1035</v>
      </c>
      <c r="N399">
        <v>77.27</v>
      </c>
    </row>
    <row r="400" spans="1:14" x14ac:dyDescent="0.3">
      <c r="A400" t="s">
        <v>410</v>
      </c>
      <c r="B400" t="s">
        <v>1014</v>
      </c>
      <c r="C400" t="s">
        <v>1019</v>
      </c>
      <c r="D400">
        <v>25</v>
      </c>
      <c r="E400">
        <v>0</v>
      </c>
      <c r="F400" s="3">
        <v>52313</v>
      </c>
      <c r="G400">
        <v>49</v>
      </c>
      <c r="H400">
        <v>7</v>
      </c>
      <c r="I400">
        <v>3</v>
      </c>
      <c r="J400">
        <v>35</v>
      </c>
      <c r="K400">
        <v>2.8</v>
      </c>
      <c r="L400" s="3">
        <v>7.9</v>
      </c>
      <c r="M400" t="s">
        <v>1035</v>
      </c>
      <c r="N400">
        <v>67.47</v>
      </c>
    </row>
    <row r="401" spans="1:14" x14ac:dyDescent="0.3">
      <c r="A401" t="s">
        <v>411</v>
      </c>
      <c r="B401" t="s">
        <v>1014</v>
      </c>
      <c r="C401" t="s">
        <v>1031</v>
      </c>
      <c r="D401">
        <v>41</v>
      </c>
      <c r="E401">
        <v>13</v>
      </c>
      <c r="F401" s="3">
        <v>68362</v>
      </c>
      <c r="G401">
        <v>38</v>
      </c>
      <c r="H401">
        <v>11</v>
      </c>
      <c r="I401">
        <v>16</v>
      </c>
      <c r="J401">
        <v>17</v>
      </c>
      <c r="K401">
        <v>3.9</v>
      </c>
      <c r="L401" s="3">
        <v>7.9</v>
      </c>
      <c r="M401" t="s">
        <v>1035</v>
      </c>
      <c r="N401">
        <v>77.430000000000007</v>
      </c>
    </row>
    <row r="402" spans="1:14" x14ac:dyDescent="0.3">
      <c r="A402" t="s">
        <v>412</v>
      </c>
      <c r="B402" t="s">
        <v>1014</v>
      </c>
      <c r="C402" t="s">
        <v>1031</v>
      </c>
      <c r="D402">
        <v>54</v>
      </c>
      <c r="E402">
        <v>3</v>
      </c>
      <c r="F402" s="3">
        <v>43527</v>
      </c>
      <c r="G402">
        <v>38</v>
      </c>
      <c r="H402">
        <v>13</v>
      </c>
      <c r="I402">
        <v>3</v>
      </c>
      <c r="J402">
        <v>31</v>
      </c>
      <c r="K402">
        <v>2.6</v>
      </c>
      <c r="L402" s="3">
        <v>4.4000000000000004</v>
      </c>
      <c r="M402" t="s">
        <v>1036</v>
      </c>
      <c r="N402">
        <v>55.87</v>
      </c>
    </row>
    <row r="403" spans="1:14" x14ac:dyDescent="0.3">
      <c r="A403" t="s">
        <v>413</v>
      </c>
      <c r="B403" t="s">
        <v>1015</v>
      </c>
      <c r="C403" t="s">
        <v>1020</v>
      </c>
      <c r="D403">
        <v>34</v>
      </c>
      <c r="E403">
        <v>5</v>
      </c>
      <c r="F403" s="3">
        <v>71100</v>
      </c>
      <c r="G403">
        <v>48</v>
      </c>
      <c r="H403">
        <v>5</v>
      </c>
      <c r="I403">
        <v>5</v>
      </c>
      <c r="J403">
        <v>2</v>
      </c>
      <c r="K403">
        <v>3.6</v>
      </c>
      <c r="L403" s="3">
        <v>9.4</v>
      </c>
      <c r="M403" t="s">
        <v>1034</v>
      </c>
      <c r="N403">
        <v>75.53</v>
      </c>
    </row>
    <row r="404" spans="1:14" x14ac:dyDescent="0.3">
      <c r="A404" t="s">
        <v>414</v>
      </c>
      <c r="B404" t="s">
        <v>1017</v>
      </c>
      <c r="C404" t="s">
        <v>1030</v>
      </c>
      <c r="D404">
        <v>43</v>
      </c>
      <c r="E404">
        <v>7</v>
      </c>
      <c r="F404" s="3">
        <v>25179</v>
      </c>
      <c r="G404">
        <v>35</v>
      </c>
      <c r="H404">
        <v>11</v>
      </c>
      <c r="I404">
        <v>2</v>
      </c>
      <c r="J404">
        <v>7</v>
      </c>
      <c r="K404">
        <v>4.5</v>
      </c>
      <c r="L404" s="3">
        <v>7.7</v>
      </c>
      <c r="M404" t="s">
        <v>1035</v>
      </c>
      <c r="N404">
        <v>78.03</v>
      </c>
    </row>
    <row r="405" spans="1:14" x14ac:dyDescent="0.3">
      <c r="A405" t="s">
        <v>415</v>
      </c>
      <c r="B405" t="s">
        <v>1014</v>
      </c>
      <c r="C405" t="s">
        <v>1031</v>
      </c>
      <c r="D405">
        <v>54</v>
      </c>
      <c r="E405">
        <v>2</v>
      </c>
      <c r="F405" s="3">
        <v>72419</v>
      </c>
      <c r="G405">
        <v>38</v>
      </c>
      <c r="H405">
        <v>15</v>
      </c>
      <c r="I405">
        <v>8</v>
      </c>
      <c r="J405">
        <v>14</v>
      </c>
      <c r="K405">
        <v>3.4</v>
      </c>
      <c r="L405" s="3">
        <v>9.8000000000000007</v>
      </c>
      <c r="M405" t="s">
        <v>1034</v>
      </c>
      <c r="N405">
        <v>94</v>
      </c>
    </row>
    <row r="406" spans="1:14" x14ac:dyDescent="0.3">
      <c r="A406" t="s">
        <v>416</v>
      </c>
      <c r="B406" t="s">
        <v>1017</v>
      </c>
      <c r="C406" t="s">
        <v>1026</v>
      </c>
      <c r="D406">
        <v>25</v>
      </c>
      <c r="E406">
        <v>0</v>
      </c>
      <c r="F406" s="3">
        <v>78292</v>
      </c>
      <c r="G406">
        <v>40</v>
      </c>
      <c r="H406">
        <v>14</v>
      </c>
      <c r="I406">
        <v>1</v>
      </c>
      <c r="J406">
        <v>18</v>
      </c>
      <c r="K406">
        <v>3.1</v>
      </c>
      <c r="L406" s="3">
        <v>7.7</v>
      </c>
      <c r="M406" t="s">
        <v>1035</v>
      </c>
      <c r="N406">
        <v>78.83</v>
      </c>
    </row>
    <row r="407" spans="1:14" x14ac:dyDescent="0.3">
      <c r="A407" t="s">
        <v>417</v>
      </c>
      <c r="B407" t="s">
        <v>1014</v>
      </c>
      <c r="C407" t="s">
        <v>1025</v>
      </c>
      <c r="D407">
        <v>28</v>
      </c>
      <c r="E407">
        <v>0</v>
      </c>
      <c r="F407" s="3">
        <v>25633</v>
      </c>
      <c r="G407">
        <v>39</v>
      </c>
      <c r="H407">
        <v>11</v>
      </c>
      <c r="I407">
        <v>20</v>
      </c>
      <c r="J407">
        <v>10</v>
      </c>
      <c r="K407">
        <v>3</v>
      </c>
      <c r="L407" s="3">
        <v>9.3000000000000007</v>
      </c>
      <c r="M407" t="s">
        <v>1034</v>
      </c>
      <c r="N407">
        <v>83.13</v>
      </c>
    </row>
    <row r="408" spans="1:14" x14ac:dyDescent="0.3">
      <c r="A408" t="s">
        <v>418</v>
      </c>
      <c r="B408" t="s">
        <v>1016</v>
      </c>
      <c r="C408" t="s">
        <v>1033</v>
      </c>
      <c r="D408">
        <v>27</v>
      </c>
      <c r="E408">
        <v>2</v>
      </c>
      <c r="F408" s="3">
        <v>78409</v>
      </c>
      <c r="G408">
        <v>45</v>
      </c>
      <c r="H408">
        <v>3</v>
      </c>
      <c r="I408">
        <v>3</v>
      </c>
      <c r="J408">
        <v>25</v>
      </c>
      <c r="K408">
        <v>3.2</v>
      </c>
      <c r="L408" s="3">
        <v>6.2</v>
      </c>
      <c r="M408" t="s">
        <v>1035</v>
      </c>
      <c r="N408">
        <v>51.8</v>
      </c>
    </row>
    <row r="409" spans="1:14" x14ac:dyDescent="0.3">
      <c r="A409" t="s">
        <v>419</v>
      </c>
      <c r="B409" t="s">
        <v>1017</v>
      </c>
      <c r="C409" t="s">
        <v>1030</v>
      </c>
      <c r="D409">
        <v>48</v>
      </c>
      <c r="E409">
        <v>5</v>
      </c>
      <c r="F409" s="3">
        <v>32409</v>
      </c>
      <c r="G409">
        <v>39</v>
      </c>
      <c r="H409">
        <v>12</v>
      </c>
      <c r="I409">
        <v>23</v>
      </c>
      <c r="J409">
        <v>3</v>
      </c>
      <c r="K409">
        <v>4.9000000000000004</v>
      </c>
      <c r="L409" s="3">
        <v>8.9</v>
      </c>
      <c r="M409" t="s">
        <v>1034</v>
      </c>
      <c r="N409">
        <v>88.1</v>
      </c>
    </row>
    <row r="410" spans="1:14" x14ac:dyDescent="0.3">
      <c r="A410" t="s">
        <v>420</v>
      </c>
      <c r="B410" t="s">
        <v>1017</v>
      </c>
      <c r="C410" t="s">
        <v>1024</v>
      </c>
      <c r="D410">
        <v>52</v>
      </c>
      <c r="E410">
        <v>14</v>
      </c>
      <c r="F410" s="3">
        <v>36879</v>
      </c>
      <c r="G410">
        <v>54</v>
      </c>
      <c r="H410">
        <v>7</v>
      </c>
      <c r="I410">
        <v>24</v>
      </c>
      <c r="J410">
        <v>22</v>
      </c>
      <c r="K410">
        <v>3.8</v>
      </c>
      <c r="L410" s="3">
        <v>9</v>
      </c>
      <c r="M410" t="s">
        <v>1034</v>
      </c>
      <c r="N410">
        <v>77.069999999999993</v>
      </c>
    </row>
    <row r="411" spans="1:14" x14ac:dyDescent="0.3">
      <c r="A411" t="s">
        <v>421</v>
      </c>
      <c r="B411" t="s">
        <v>1018</v>
      </c>
      <c r="C411" t="s">
        <v>1027</v>
      </c>
      <c r="D411">
        <v>52</v>
      </c>
      <c r="E411">
        <v>15</v>
      </c>
      <c r="F411" s="3">
        <v>32401</v>
      </c>
      <c r="G411">
        <v>48</v>
      </c>
      <c r="H411">
        <v>8</v>
      </c>
      <c r="I411">
        <v>1</v>
      </c>
      <c r="J411">
        <v>4</v>
      </c>
      <c r="K411">
        <v>2.8</v>
      </c>
      <c r="L411" s="3">
        <v>5.2</v>
      </c>
      <c r="M411" t="s">
        <v>1036</v>
      </c>
      <c r="N411">
        <v>52.93</v>
      </c>
    </row>
    <row r="412" spans="1:14" x14ac:dyDescent="0.3">
      <c r="A412" t="s">
        <v>422</v>
      </c>
      <c r="B412" t="s">
        <v>1015</v>
      </c>
      <c r="C412" t="s">
        <v>1029</v>
      </c>
      <c r="D412">
        <v>36</v>
      </c>
      <c r="E412">
        <v>10</v>
      </c>
      <c r="F412" s="3">
        <v>59019</v>
      </c>
      <c r="G412">
        <v>51</v>
      </c>
      <c r="H412">
        <v>12</v>
      </c>
      <c r="I412">
        <v>22</v>
      </c>
      <c r="J412">
        <v>39</v>
      </c>
      <c r="K412">
        <v>2.2999999999999998</v>
      </c>
      <c r="L412" s="3">
        <v>7.6</v>
      </c>
      <c r="M412" t="s">
        <v>1035</v>
      </c>
      <c r="N412">
        <v>72.5</v>
      </c>
    </row>
    <row r="413" spans="1:14" x14ac:dyDescent="0.3">
      <c r="A413" t="s">
        <v>423</v>
      </c>
      <c r="B413" t="s">
        <v>1017</v>
      </c>
      <c r="C413" t="s">
        <v>1024</v>
      </c>
      <c r="D413">
        <v>44</v>
      </c>
      <c r="E413">
        <v>12</v>
      </c>
      <c r="F413" s="3">
        <v>34742</v>
      </c>
      <c r="G413">
        <v>52</v>
      </c>
      <c r="H413">
        <v>15</v>
      </c>
      <c r="I413">
        <v>19</v>
      </c>
      <c r="J413">
        <v>3</v>
      </c>
      <c r="K413">
        <v>2</v>
      </c>
      <c r="L413" s="3">
        <v>9.5</v>
      </c>
      <c r="M413" t="s">
        <v>1034</v>
      </c>
      <c r="N413">
        <v>88</v>
      </c>
    </row>
    <row r="414" spans="1:14" x14ac:dyDescent="0.3">
      <c r="A414" t="s">
        <v>424</v>
      </c>
      <c r="B414" t="s">
        <v>1017</v>
      </c>
      <c r="C414" t="s">
        <v>1030</v>
      </c>
      <c r="D414">
        <v>53</v>
      </c>
      <c r="E414">
        <v>5</v>
      </c>
      <c r="F414" s="3">
        <v>29906</v>
      </c>
      <c r="G414">
        <v>50</v>
      </c>
      <c r="H414">
        <v>6</v>
      </c>
      <c r="I414">
        <v>7</v>
      </c>
      <c r="J414">
        <v>21</v>
      </c>
      <c r="K414">
        <v>4.9000000000000004</v>
      </c>
      <c r="L414" s="3">
        <v>3.4</v>
      </c>
      <c r="M414" t="s">
        <v>1036</v>
      </c>
      <c r="N414">
        <v>45.1</v>
      </c>
    </row>
    <row r="415" spans="1:14" x14ac:dyDescent="0.3">
      <c r="A415" t="s">
        <v>425</v>
      </c>
      <c r="B415" t="s">
        <v>1015</v>
      </c>
      <c r="C415" t="s">
        <v>1021</v>
      </c>
      <c r="D415">
        <v>46</v>
      </c>
      <c r="E415">
        <v>12</v>
      </c>
      <c r="F415" s="3">
        <v>78549</v>
      </c>
      <c r="G415">
        <v>42</v>
      </c>
      <c r="H415">
        <v>2</v>
      </c>
      <c r="I415">
        <v>14</v>
      </c>
      <c r="J415">
        <v>28</v>
      </c>
      <c r="K415">
        <v>4.4000000000000004</v>
      </c>
      <c r="L415" s="3">
        <v>6.1</v>
      </c>
      <c r="M415" t="s">
        <v>1035</v>
      </c>
      <c r="N415">
        <v>53.13</v>
      </c>
    </row>
    <row r="416" spans="1:14" x14ac:dyDescent="0.3">
      <c r="A416" t="s">
        <v>426</v>
      </c>
      <c r="B416" t="s">
        <v>1017</v>
      </c>
      <c r="C416" t="s">
        <v>1024</v>
      </c>
      <c r="D416">
        <v>42</v>
      </c>
      <c r="E416">
        <v>3</v>
      </c>
      <c r="F416" s="3">
        <v>89269</v>
      </c>
      <c r="G416">
        <v>50</v>
      </c>
      <c r="H416">
        <v>12</v>
      </c>
      <c r="I416">
        <v>20</v>
      </c>
      <c r="J416">
        <v>1</v>
      </c>
      <c r="K416">
        <v>2.2999999999999998</v>
      </c>
      <c r="L416" s="3">
        <v>5.9</v>
      </c>
      <c r="M416" t="s">
        <v>1036</v>
      </c>
      <c r="N416">
        <v>62.3</v>
      </c>
    </row>
    <row r="417" spans="1:14" x14ac:dyDescent="0.3">
      <c r="A417" t="s">
        <v>427</v>
      </c>
      <c r="B417" t="s">
        <v>1015</v>
      </c>
      <c r="C417" t="s">
        <v>1020</v>
      </c>
      <c r="D417">
        <v>22</v>
      </c>
      <c r="E417">
        <v>0</v>
      </c>
      <c r="F417" s="3">
        <v>76890</v>
      </c>
      <c r="G417">
        <v>54</v>
      </c>
      <c r="H417">
        <v>10</v>
      </c>
      <c r="I417">
        <v>20</v>
      </c>
      <c r="J417">
        <v>19</v>
      </c>
      <c r="K417">
        <v>4.7</v>
      </c>
      <c r="L417" s="3">
        <v>6.9</v>
      </c>
      <c r="M417" t="s">
        <v>1035</v>
      </c>
      <c r="N417">
        <v>72.17</v>
      </c>
    </row>
    <row r="418" spans="1:14" x14ac:dyDescent="0.3">
      <c r="A418" t="s">
        <v>428</v>
      </c>
      <c r="B418" t="s">
        <v>1017</v>
      </c>
      <c r="C418" t="s">
        <v>1024</v>
      </c>
      <c r="D418">
        <v>43</v>
      </c>
      <c r="E418">
        <v>11</v>
      </c>
      <c r="F418" s="3">
        <v>79087</v>
      </c>
      <c r="G418">
        <v>36</v>
      </c>
      <c r="H418">
        <v>14</v>
      </c>
      <c r="I418">
        <v>7</v>
      </c>
      <c r="J418">
        <v>29</v>
      </c>
      <c r="K418">
        <v>3</v>
      </c>
      <c r="L418" s="3">
        <v>8.4</v>
      </c>
      <c r="M418" t="s">
        <v>1034</v>
      </c>
      <c r="N418">
        <v>82.73</v>
      </c>
    </row>
    <row r="419" spans="1:14" x14ac:dyDescent="0.3">
      <c r="A419" t="s">
        <v>429</v>
      </c>
      <c r="B419" t="s">
        <v>1017</v>
      </c>
      <c r="C419" t="s">
        <v>1024</v>
      </c>
      <c r="D419">
        <v>45</v>
      </c>
      <c r="E419">
        <v>14</v>
      </c>
      <c r="F419" s="3">
        <v>32472</v>
      </c>
      <c r="G419">
        <v>38</v>
      </c>
      <c r="H419">
        <v>13</v>
      </c>
      <c r="I419">
        <v>21</v>
      </c>
      <c r="J419">
        <v>14</v>
      </c>
      <c r="K419">
        <v>2</v>
      </c>
      <c r="L419" s="3">
        <v>5.5</v>
      </c>
      <c r="M419" t="s">
        <v>1036</v>
      </c>
      <c r="N419">
        <v>60.67</v>
      </c>
    </row>
    <row r="420" spans="1:14" x14ac:dyDescent="0.3">
      <c r="A420" t="s">
        <v>430</v>
      </c>
      <c r="B420" t="s">
        <v>1016</v>
      </c>
      <c r="C420" t="s">
        <v>1022</v>
      </c>
      <c r="D420">
        <v>55</v>
      </c>
      <c r="E420">
        <v>11</v>
      </c>
      <c r="F420" s="3">
        <v>71012</v>
      </c>
      <c r="G420">
        <v>38</v>
      </c>
      <c r="H420">
        <v>1</v>
      </c>
      <c r="I420">
        <v>5</v>
      </c>
      <c r="J420">
        <v>31</v>
      </c>
      <c r="K420">
        <v>2.4</v>
      </c>
      <c r="L420" s="3">
        <v>8</v>
      </c>
      <c r="M420" t="s">
        <v>1034</v>
      </c>
      <c r="N420">
        <v>56.87</v>
      </c>
    </row>
    <row r="421" spans="1:14" x14ac:dyDescent="0.3">
      <c r="A421" t="s">
        <v>431</v>
      </c>
      <c r="B421" t="s">
        <v>1017</v>
      </c>
      <c r="C421" t="s">
        <v>1030</v>
      </c>
      <c r="D421">
        <v>28</v>
      </c>
      <c r="E421">
        <v>4</v>
      </c>
      <c r="F421" s="3">
        <v>65032</v>
      </c>
      <c r="G421">
        <v>41</v>
      </c>
      <c r="H421">
        <v>4</v>
      </c>
      <c r="I421">
        <v>3</v>
      </c>
      <c r="J421">
        <v>25</v>
      </c>
      <c r="K421">
        <v>2.6</v>
      </c>
      <c r="L421" s="3">
        <v>8.8000000000000007</v>
      </c>
      <c r="M421" t="s">
        <v>1034</v>
      </c>
      <c r="N421">
        <v>67.27</v>
      </c>
    </row>
    <row r="422" spans="1:14" x14ac:dyDescent="0.3">
      <c r="A422" t="s">
        <v>432</v>
      </c>
      <c r="B422" t="s">
        <v>1016</v>
      </c>
      <c r="C422" t="s">
        <v>1033</v>
      </c>
      <c r="D422">
        <v>28</v>
      </c>
      <c r="E422">
        <v>6</v>
      </c>
      <c r="F422" s="3">
        <v>28047</v>
      </c>
      <c r="G422">
        <v>55</v>
      </c>
      <c r="H422">
        <v>14</v>
      </c>
      <c r="I422">
        <v>21</v>
      </c>
      <c r="J422">
        <v>37</v>
      </c>
      <c r="K422">
        <v>2.4</v>
      </c>
      <c r="L422" s="3">
        <v>9.1999999999999993</v>
      </c>
      <c r="M422" t="s">
        <v>1034</v>
      </c>
      <c r="N422">
        <v>85.73</v>
      </c>
    </row>
    <row r="423" spans="1:14" x14ac:dyDescent="0.3">
      <c r="A423" t="s">
        <v>433</v>
      </c>
      <c r="B423" t="s">
        <v>1015</v>
      </c>
      <c r="C423" t="s">
        <v>1020</v>
      </c>
      <c r="D423">
        <v>54</v>
      </c>
      <c r="E423">
        <v>4</v>
      </c>
      <c r="F423" s="3">
        <v>88167</v>
      </c>
      <c r="G423">
        <v>50</v>
      </c>
      <c r="H423">
        <v>1</v>
      </c>
      <c r="I423">
        <v>16</v>
      </c>
      <c r="J423">
        <v>3</v>
      </c>
      <c r="K423">
        <v>3.7</v>
      </c>
      <c r="L423" s="3">
        <v>6</v>
      </c>
      <c r="M423" t="s">
        <v>1035</v>
      </c>
      <c r="N423">
        <v>48.77</v>
      </c>
    </row>
    <row r="424" spans="1:14" x14ac:dyDescent="0.3">
      <c r="A424" t="s">
        <v>434</v>
      </c>
      <c r="B424" t="s">
        <v>1017</v>
      </c>
      <c r="C424" t="s">
        <v>1024</v>
      </c>
      <c r="D424">
        <v>54</v>
      </c>
      <c r="E424">
        <v>5</v>
      </c>
      <c r="F424" s="3">
        <v>70338</v>
      </c>
      <c r="G424">
        <v>53</v>
      </c>
      <c r="H424">
        <v>3</v>
      </c>
      <c r="I424">
        <v>23</v>
      </c>
      <c r="J424">
        <v>8</v>
      </c>
      <c r="K424">
        <v>2.2999999999999998</v>
      </c>
      <c r="L424" s="3">
        <v>7.6</v>
      </c>
      <c r="M424" t="s">
        <v>1035</v>
      </c>
      <c r="N424">
        <v>57.5</v>
      </c>
    </row>
    <row r="425" spans="1:14" x14ac:dyDescent="0.3">
      <c r="A425" t="s">
        <v>435</v>
      </c>
      <c r="B425" t="s">
        <v>1016</v>
      </c>
      <c r="C425" t="s">
        <v>1033</v>
      </c>
      <c r="D425">
        <v>54</v>
      </c>
      <c r="E425">
        <v>12</v>
      </c>
      <c r="F425" s="3">
        <v>52437</v>
      </c>
      <c r="G425">
        <v>54</v>
      </c>
      <c r="H425">
        <v>15</v>
      </c>
      <c r="I425">
        <v>22</v>
      </c>
      <c r="J425">
        <v>15</v>
      </c>
      <c r="K425">
        <v>2.8</v>
      </c>
      <c r="L425" s="3">
        <v>9.6999999999999993</v>
      </c>
      <c r="M425" t="s">
        <v>1034</v>
      </c>
      <c r="N425">
        <v>91.6</v>
      </c>
    </row>
    <row r="426" spans="1:14" x14ac:dyDescent="0.3">
      <c r="A426" t="s">
        <v>436</v>
      </c>
      <c r="B426" t="s">
        <v>1017</v>
      </c>
      <c r="C426" t="s">
        <v>1026</v>
      </c>
      <c r="D426">
        <v>30</v>
      </c>
      <c r="E426">
        <v>2</v>
      </c>
      <c r="F426" s="3">
        <v>52049</v>
      </c>
      <c r="G426">
        <v>54</v>
      </c>
      <c r="H426">
        <v>12</v>
      </c>
      <c r="I426">
        <v>23</v>
      </c>
      <c r="J426">
        <v>32</v>
      </c>
      <c r="K426">
        <v>2.9</v>
      </c>
      <c r="L426" s="3">
        <v>7.9</v>
      </c>
      <c r="M426" t="s">
        <v>1035</v>
      </c>
      <c r="N426">
        <v>76.099999999999994</v>
      </c>
    </row>
    <row r="427" spans="1:14" x14ac:dyDescent="0.3">
      <c r="A427" t="s">
        <v>437</v>
      </c>
      <c r="B427" t="s">
        <v>1015</v>
      </c>
      <c r="C427" t="s">
        <v>1020</v>
      </c>
      <c r="D427">
        <v>35</v>
      </c>
      <c r="E427">
        <v>3</v>
      </c>
      <c r="F427" s="3">
        <v>38743</v>
      </c>
      <c r="G427">
        <v>54</v>
      </c>
      <c r="H427">
        <v>12</v>
      </c>
      <c r="I427">
        <v>9</v>
      </c>
      <c r="J427">
        <v>22</v>
      </c>
      <c r="K427">
        <v>4.8</v>
      </c>
      <c r="L427" s="3">
        <v>3.9</v>
      </c>
      <c r="M427" t="s">
        <v>1036</v>
      </c>
      <c r="N427">
        <v>57.8</v>
      </c>
    </row>
    <row r="428" spans="1:14" x14ac:dyDescent="0.3">
      <c r="A428" t="s">
        <v>438</v>
      </c>
      <c r="B428" t="s">
        <v>1018</v>
      </c>
      <c r="C428" t="s">
        <v>1027</v>
      </c>
      <c r="D428">
        <v>54</v>
      </c>
      <c r="E428">
        <v>10</v>
      </c>
      <c r="F428" s="3">
        <v>71553</v>
      </c>
      <c r="G428">
        <v>38</v>
      </c>
      <c r="H428">
        <v>13</v>
      </c>
      <c r="I428">
        <v>11</v>
      </c>
      <c r="J428">
        <v>35</v>
      </c>
      <c r="K428">
        <v>3.4</v>
      </c>
      <c r="L428" s="3">
        <v>7</v>
      </c>
      <c r="M428" t="s">
        <v>1035</v>
      </c>
      <c r="N428">
        <v>73.87</v>
      </c>
    </row>
    <row r="429" spans="1:14" x14ac:dyDescent="0.3">
      <c r="A429" t="s">
        <v>439</v>
      </c>
      <c r="B429" t="s">
        <v>1017</v>
      </c>
      <c r="C429" t="s">
        <v>1030</v>
      </c>
      <c r="D429">
        <v>40</v>
      </c>
      <c r="E429">
        <v>13</v>
      </c>
      <c r="F429" s="3">
        <v>77973</v>
      </c>
      <c r="G429">
        <v>35</v>
      </c>
      <c r="H429">
        <v>9</v>
      </c>
      <c r="I429">
        <v>3</v>
      </c>
      <c r="J429">
        <v>1</v>
      </c>
      <c r="K429">
        <v>3.1</v>
      </c>
      <c r="L429" s="3">
        <v>3.4</v>
      </c>
      <c r="M429" t="s">
        <v>1036</v>
      </c>
      <c r="N429">
        <v>44.7</v>
      </c>
    </row>
    <row r="430" spans="1:14" x14ac:dyDescent="0.3">
      <c r="A430" t="s">
        <v>440</v>
      </c>
      <c r="B430" t="s">
        <v>1018</v>
      </c>
      <c r="C430" t="s">
        <v>1032</v>
      </c>
      <c r="D430">
        <v>39</v>
      </c>
      <c r="E430">
        <v>5</v>
      </c>
      <c r="F430" s="3">
        <v>89456</v>
      </c>
      <c r="G430">
        <v>44</v>
      </c>
      <c r="H430">
        <v>11</v>
      </c>
      <c r="I430">
        <v>8</v>
      </c>
      <c r="J430">
        <v>9</v>
      </c>
      <c r="K430">
        <v>4.5</v>
      </c>
      <c r="L430" s="3">
        <v>7.8</v>
      </c>
      <c r="M430" t="s">
        <v>1035</v>
      </c>
      <c r="N430">
        <v>78.63</v>
      </c>
    </row>
    <row r="431" spans="1:14" x14ac:dyDescent="0.3">
      <c r="A431" t="s">
        <v>441</v>
      </c>
      <c r="B431" t="s">
        <v>1018</v>
      </c>
      <c r="C431" t="s">
        <v>1027</v>
      </c>
      <c r="D431">
        <v>24</v>
      </c>
      <c r="E431">
        <v>2</v>
      </c>
      <c r="F431" s="3">
        <v>78348</v>
      </c>
      <c r="G431">
        <v>49</v>
      </c>
      <c r="H431">
        <v>2</v>
      </c>
      <c r="I431">
        <v>19</v>
      </c>
      <c r="J431">
        <v>35</v>
      </c>
      <c r="K431">
        <v>4.5999999999999996</v>
      </c>
      <c r="L431" s="3">
        <v>8.1999999999999993</v>
      </c>
      <c r="M431" t="s">
        <v>1034</v>
      </c>
      <c r="N431">
        <v>66.33</v>
      </c>
    </row>
    <row r="432" spans="1:14" x14ac:dyDescent="0.3">
      <c r="A432" t="s">
        <v>442</v>
      </c>
      <c r="B432" t="s">
        <v>1017</v>
      </c>
      <c r="C432" t="s">
        <v>1024</v>
      </c>
      <c r="D432">
        <v>37</v>
      </c>
      <c r="E432">
        <v>9</v>
      </c>
      <c r="F432" s="3">
        <v>70412</v>
      </c>
      <c r="G432">
        <v>36</v>
      </c>
      <c r="H432">
        <v>15</v>
      </c>
      <c r="I432">
        <v>12</v>
      </c>
      <c r="J432">
        <v>24</v>
      </c>
      <c r="K432">
        <v>3.2</v>
      </c>
      <c r="L432" s="3">
        <v>8.5</v>
      </c>
      <c r="M432" t="s">
        <v>1034</v>
      </c>
      <c r="N432">
        <v>85.6</v>
      </c>
    </row>
    <row r="433" spans="1:14" x14ac:dyDescent="0.3">
      <c r="A433" t="s">
        <v>443</v>
      </c>
      <c r="B433" t="s">
        <v>1016</v>
      </c>
      <c r="C433" t="s">
        <v>1022</v>
      </c>
      <c r="D433">
        <v>25</v>
      </c>
      <c r="E433">
        <v>0</v>
      </c>
      <c r="F433" s="3">
        <v>73737</v>
      </c>
      <c r="G433">
        <v>43</v>
      </c>
      <c r="H433">
        <v>4</v>
      </c>
      <c r="I433">
        <v>19</v>
      </c>
      <c r="J433">
        <v>28</v>
      </c>
      <c r="K433">
        <v>4.5</v>
      </c>
      <c r="L433" s="3">
        <v>9.4</v>
      </c>
      <c r="M433" t="s">
        <v>1034</v>
      </c>
      <c r="N433">
        <v>76.569999999999993</v>
      </c>
    </row>
    <row r="434" spans="1:14" x14ac:dyDescent="0.3">
      <c r="A434" t="s">
        <v>444</v>
      </c>
      <c r="B434" t="s">
        <v>1016</v>
      </c>
      <c r="C434" t="s">
        <v>1023</v>
      </c>
      <c r="D434">
        <v>34</v>
      </c>
      <c r="E434">
        <v>12</v>
      </c>
      <c r="F434" s="3">
        <v>72507</v>
      </c>
      <c r="G434">
        <v>41</v>
      </c>
      <c r="H434">
        <v>5</v>
      </c>
      <c r="I434">
        <v>14</v>
      </c>
      <c r="J434">
        <v>11</v>
      </c>
      <c r="K434">
        <v>5</v>
      </c>
      <c r="L434" s="3">
        <v>3.5</v>
      </c>
      <c r="M434" t="s">
        <v>1036</v>
      </c>
      <c r="N434">
        <v>44.33</v>
      </c>
    </row>
    <row r="435" spans="1:14" x14ac:dyDescent="0.3">
      <c r="A435" t="s">
        <v>445</v>
      </c>
      <c r="B435" t="s">
        <v>1015</v>
      </c>
      <c r="C435" t="s">
        <v>1021</v>
      </c>
      <c r="D435">
        <v>29</v>
      </c>
      <c r="E435">
        <v>6</v>
      </c>
      <c r="F435" s="3">
        <v>27663</v>
      </c>
      <c r="G435">
        <v>48</v>
      </c>
      <c r="H435">
        <v>5</v>
      </c>
      <c r="I435">
        <v>17</v>
      </c>
      <c r="J435">
        <v>16</v>
      </c>
      <c r="K435">
        <v>2.4</v>
      </c>
      <c r="L435" s="3">
        <v>7.1</v>
      </c>
      <c r="M435" t="s">
        <v>1035</v>
      </c>
      <c r="N435">
        <v>58.13</v>
      </c>
    </row>
    <row r="436" spans="1:14" x14ac:dyDescent="0.3">
      <c r="A436" t="s">
        <v>446</v>
      </c>
      <c r="B436" t="s">
        <v>1014</v>
      </c>
      <c r="C436" t="s">
        <v>1025</v>
      </c>
      <c r="D436">
        <v>43</v>
      </c>
      <c r="E436">
        <v>14</v>
      </c>
      <c r="F436" s="3">
        <v>71510</v>
      </c>
      <c r="G436">
        <v>39</v>
      </c>
      <c r="H436">
        <v>1</v>
      </c>
      <c r="I436">
        <v>4</v>
      </c>
      <c r="J436">
        <v>20</v>
      </c>
      <c r="K436">
        <v>3.8</v>
      </c>
      <c r="L436" s="3">
        <v>8.4</v>
      </c>
      <c r="M436" t="s">
        <v>1034</v>
      </c>
      <c r="N436">
        <v>63.47</v>
      </c>
    </row>
    <row r="437" spans="1:14" x14ac:dyDescent="0.3">
      <c r="A437" t="s">
        <v>447</v>
      </c>
      <c r="B437" t="s">
        <v>1015</v>
      </c>
      <c r="C437" t="s">
        <v>1029</v>
      </c>
      <c r="D437">
        <v>41</v>
      </c>
      <c r="E437">
        <v>15</v>
      </c>
      <c r="F437" s="3">
        <v>76767</v>
      </c>
      <c r="G437">
        <v>53</v>
      </c>
      <c r="H437">
        <v>9</v>
      </c>
      <c r="I437">
        <v>11</v>
      </c>
      <c r="J437">
        <v>4</v>
      </c>
      <c r="K437">
        <v>4.4000000000000004</v>
      </c>
      <c r="L437" s="3">
        <v>5.2</v>
      </c>
      <c r="M437" t="s">
        <v>1036</v>
      </c>
      <c r="N437">
        <v>59.4</v>
      </c>
    </row>
    <row r="438" spans="1:14" x14ac:dyDescent="0.3">
      <c r="A438" t="s">
        <v>448</v>
      </c>
      <c r="B438" t="s">
        <v>1018</v>
      </c>
      <c r="C438" t="s">
        <v>1028</v>
      </c>
      <c r="D438">
        <v>55</v>
      </c>
      <c r="E438">
        <v>2</v>
      </c>
      <c r="F438" s="3">
        <v>76528</v>
      </c>
      <c r="G438">
        <v>51</v>
      </c>
      <c r="H438">
        <v>3</v>
      </c>
      <c r="I438">
        <v>13</v>
      </c>
      <c r="J438">
        <v>34</v>
      </c>
      <c r="K438">
        <v>3.6</v>
      </c>
      <c r="L438" s="3">
        <v>3.6</v>
      </c>
      <c r="M438" t="s">
        <v>1036</v>
      </c>
      <c r="N438">
        <v>37.4</v>
      </c>
    </row>
    <row r="439" spans="1:14" x14ac:dyDescent="0.3">
      <c r="A439" t="s">
        <v>449</v>
      </c>
      <c r="B439" t="s">
        <v>1018</v>
      </c>
      <c r="C439" t="s">
        <v>1027</v>
      </c>
      <c r="D439">
        <v>43</v>
      </c>
      <c r="E439">
        <v>10</v>
      </c>
      <c r="F439" s="3">
        <v>48645</v>
      </c>
      <c r="G439">
        <v>44</v>
      </c>
      <c r="H439">
        <v>4</v>
      </c>
      <c r="I439">
        <v>24</v>
      </c>
      <c r="J439">
        <v>39</v>
      </c>
      <c r="K439">
        <v>3.6</v>
      </c>
      <c r="L439" s="3">
        <v>10</v>
      </c>
      <c r="M439" t="s">
        <v>1034</v>
      </c>
      <c r="N439">
        <v>77.47</v>
      </c>
    </row>
    <row r="440" spans="1:14" x14ac:dyDescent="0.3">
      <c r="A440" t="s">
        <v>450</v>
      </c>
      <c r="B440" t="s">
        <v>1014</v>
      </c>
      <c r="C440" t="s">
        <v>1019</v>
      </c>
      <c r="D440">
        <v>29</v>
      </c>
      <c r="E440">
        <v>5</v>
      </c>
      <c r="F440" s="3">
        <v>54207</v>
      </c>
      <c r="G440">
        <v>42</v>
      </c>
      <c r="H440">
        <v>15</v>
      </c>
      <c r="I440">
        <v>20</v>
      </c>
      <c r="J440">
        <v>39</v>
      </c>
      <c r="K440">
        <v>4.8</v>
      </c>
      <c r="L440" s="3">
        <v>4.7</v>
      </c>
      <c r="M440" t="s">
        <v>1036</v>
      </c>
      <c r="N440">
        <v>67.599999999999994</v>
      </c>
    </row>
    <row r="441" spans="1:14" x14ac:dyDescent="0.3">
      <c r="A441" t="s">
        <v>451</v>
      </c>
      <c r="B441" t="s">
        <v>1016</v>
      </c>
      <c r="C441" t="s">
        <v>1033</v>
      </c>
      <c r="D441">
        <v>46</v>
      </c>
      <c r="E441">
        <v>3</v>
      </c>
      <c r="F441" s="3">
        <v>50288</v>
      </c>
      <c r="G441">
        <v>43</v>
      </c>
      <c r="H441">
        <v>9</v>
      </c>
      <c r="I441">
        <v>23</v>
      </c>
      <c r="J441">
        <v>18</v>
      </c>
      <c r="K441">
        <v>2.1</v>
      </c>
      <c r="L441" s="3">
        <v>6.6</v>
      </c>
      <c r="M441" t="s">
        <v>1035</v>
      </c>
      <c r="N441">
        <v>60.9</v>
      </c>
    </row>
    <row r="442" spans="1:14" x14ac:dyDescent="0.3">
      <c r="A442" t="s">
        <v>452</v>
      </c>
      <c r="B442" t="s">
        <v>1015</v>
      </c>
      <c r="C442" t="s">
        <v>1029</v>
      </c>
      <c r="D442">
        <v>54</v>
      </c>
      <c r="E442">
        <v>14</v>
      </c>
      <c r="F442" s="3">
        <v>56903</v>
      </c>
      <c r="G442">
        <v>36</v>
      </c>
      <c r="H442">
        <v>5</v>
      </c>
      <c r="I442">
        <v>20</v>
      </c>
      <c r="J442">
        <v>12</v>
      </c>
      <c r="K442">
        <v>3</v>
      </c>
      <c r="L442" s="3">
        <v>3.6</v>
      </c>
      <c r="M442" t="s">
        <v>1036</v>
      </c>
      <c r="N442">
        <v>38.93</v>
      </c>
    </row>
    <row r="443" spans="1:14" x14ac:dyDescent="0.3">
      <c r="A443" t="s">
        <v>453</v>
      </c>
      <c r="B443" t="s">
        <v>1018</v>
      </c>
      <c r="C443" t="s">
        <v>1027</v>
      </c>
      <c r="D443">
        <v>22</v>
      </c>
      <c r="E443">
        <v>0</v>
      </c>
      <c r="F443" s="3">
        <v>38813</v>
      </c>
      <c r="G443">
        <v>55</v>
      </c>
      <c r="H443">
        <v>13</v>
      </c>
      <c r="I443">
        <v>6</v>
      </c>
      <c r="J443">
        <v>27</v>
      </c>
      <c r="K443">
        <v>4.5</v>
      </c>
      <c r="L443" s="3">
        <v>4.4000000000000004</v>
      </c>
      <c r="M443" t="s">
        <v>1036</v>
      </c>
      <c r="N443">
        <v>61.57</v>
      </c>
    </row>
    <row r="444" spans="1:14" x14ac:dyDescent="0.3">
      <c r="A444" t="s">
        <v>454</v>
      </c>
      <c r="B444" t="s">
        <v>1017</v>
      </c>
      <c r="C444" t="s">
        <v>1030</v>
      </c>
      <c r="D444">
        <v>26</v>
      </c>
      <c r="E444">
        <v>5</v>
      </c>
      <c r="F444" s="3">
        <v>69960</v>
      </c>
      <c r="G444">
        <v>39</v>
      </c>
      <c r="H444">
        <v>1</v>
      </c>
      <c r="I444">
        <v>14</v>
      </c>
      <c r="J444">
        <v>21</v>
      </c>
      <c r="K444">
        <v>2.1</v>
      </c>
      <c r="L444" s="3">
        <v>3.5</v>
      </c>
      <c r="M444" t="s">
        <v>1036</v>
      </c>
      <c r="N444">
        <v>28.97</v>
      </c>
    </row>
    <row r="445" spans="1:14" x14ac:dyDescent="0.3">
      <c r="A445" t="s">
        <v>455</v>
      </c>
      <c r="B445" t="s">
        <v>1016</v>
      </c>
      <c r="C445" t="s">
        <v>1033</v>
      </c>
      <c r="D445">
        <v>26</v>
      </c>
      <c r="E445">
        <v>4</v>
      </c>
      <c r="F445" s="3">
        <v>78845</v>
      </c>
      <c r="G445">
        <v>42</v>
      </c>
      <c r="H445">
        <v>15</v>
      </c>
      <c r="I445">
        <v>8</v>
      </c>
      <c r="J445">
        <v>26</v>
      </c>
      <c r="K445">
        <v>3.2</v>
      </c>
      <c r="L445" s="3">
        <v>7.4</v>
      </c>
      <c r="M445" t="s">
        <v>1035</v>
      </c>
      <c r="N445">
        <v>79</v>
      </c>
    </row>
    <row r="446" spans="1:14" x14ac:dyDescent="0.3">
      <c r="A446" t="s">
        <v>456</v>
      </c>
      <c r="B446" t="s">
        <v>1016</v>
      </c>
      <c r="C446" t="s">
        <v>1023</v>
      </c>
      <c r="D446">
        <v>23</v>
      </c>
      <c r="E446">
        <v>1</v>
      </c>
      <c r="F446" s="3">
        <v>69125</v>
      </c>
      <c r="G446">
        <v>38</v>
      </c>
      <c r="H446">
        <v>9</v>
      </c>
      <c r="I446">
        <v>0</v>
      </c>
      <c r="J446">
        <v>39</v>
      </c>
      <c r="K446">
        <v>2.2000000000000002</v>
      </c>
      <c r="L446" s="3">
        <v>8.1999999999999993</v>
      </c>
      <c r="M446" t="s">
        <v>1034</v>
      </c>
      <c r="N446">
        <v>70.8</v>
      </c>
    </row>
    <row r="447" spans="1:14" x14ac:dyDescent="0.3">
      <c r="A447" t="s">
        <v>457</v>
      </c>
      <c r="B447" t="s">
        <v>1014</v>
      </c>
      <c r="C447" t="s">
        <v>1031</v>
      </c>
      <c r="D447">
        <v>44</v>
      </c>
      <c r="E447">
        <v>3</v>
      </c>
      <c r="F447" s="3">
        <v>43994</v>
      </c>
      <c r="G447">
        <v>44</v>
      </c>
      <c r="H447">
        <v>10</v>
      </c>
      <c r="I447">
        <v>2</v>
      </c>
      <c r="J447">
        <v>18</v>
      </c>
      <c r="K447">
        <v>4.3</v>
      </c>
      <c r="L447" s="3">
        <v>6.1</v>
      </c>
      <c r="M447" t="s">
        <v>1035</v>
      </c>
      <c r="N447">
        <v>66.17</v>
      </c>
    </row>
    <row r="448" spans="1:14" x14ac:dyDescent="0.3">
      <c r="A448" t="s">
        <v>458</v>
      </c>
      <c r="B448" t="s">
        <v>1014</v>
      </c>
      <c r="C448" t="s">
        <v>1031</v>
      </c>
      <c r="D448">
        <v>52</v>
      </c>
      <c r="E448">
        <v>5</v>
      </c>
      <c r="F448" s="3">
        <v>59961</v>
      </c>
      <c r="G448">
        <v>42</v>
      </c>
      <c r="H448">
        <v>3</v>
      </c>
      <c r="I448">
        <v>23</v>
      </c>
      <c r="J448">
        <v>25</v>
      </c>
      <c r="K448">
        <v>4.4000000000000004</v>
      </c>
      <c r="L448" s="3">
        <v>8.9</v>
      </c>
      <c r="M448" t="s">
        <v>1034</v>
      </c>
      <c r="N448">
        <v>71.599999999999994</v>
      </c>
    </row>
    <row r="449" spans="1:14" x14ac:dyDescent="0.3">
      <c r="A449" t="s">
        <v>459</v>
      </c>
      <c r="B449" t="s">
        <v>1018</v>
      </c>
      <c r="C449" t="s">
        <v>1027</v>
      </c>
      <c r="D449">
        <v>41</v>
      </c>
      <c r="E449">
        <v>11</v>
      </c>
      <c r="F449" s="3">
        <v>87743</v>
      </c>
      <c r="G449">
        <v>35</v>
      </c>
      <c r="H449">
        <v>9</v>
      </c>
      <c r="I449">
        <v>17</v>
      </c>
      <c r="J449">
        <v>9</v>
      </c>
      <c r="K449">
        <v>2.4</v>
      </c>
      <c r="L449" s="3">
        <v>3</v>
      </c>
      <c r="M449" t="s">
        <v>1036</v>
      </c>
      <c r="N449">
        <v>40.200000000000003</v>
      </c>
    </row>
    <row r="450" spans="1:14" x14ac:dyDescent="0.3">
      <c r="A450" t="s">
        <v>460</v>
      </c>
      <c r="B450" t="s">
        <v>1017</v>
      </c>
      <c r="C450" t="s">
        <v>1024</v>
      </c>
      <c r="D450">
        <v>27</v>
      </c>
      <c r="E450">
        <v>2</v>
      </c>
      <c r="F450" s="3">
        <v>38766</v>
      </c>
      <c r="G450">
        <v>46</v>
      </c>
      <c r="H450">
        <v>4</v>
      </c>
      <c r="I450">
        <v>13</v>
      </c>
      <c r="J450">
        <v>32</v>
      </c>
      <c r="K450">
        <v>2.4</v>
      </c>
      <c r="L450" s="3">
        <v>4.3</v>
      </c>
      <c r="M450" t="s">
        <v>1036</v>
      </c>
      <c r="N450">
        <v>39.67</v>
      </c>
    </row>
    <row r="451" spans="1:14" x14ac:dyDescent="0.3">
      <c r="A451" t="s">
        <v>461</v>
      </c>
      <c r="B451" t="s">
        <v>1016</v>
      </c>
      <c r="C451" t="s">
        <v>1033</v>
      </c>
      <c r="D451">
        <v>34</v>
      </c>
      <c r="E451">
        <v>1</v>
      </c>
      <c r="F451" s="3">
        <v>36885</v>
      </c>
      <c r="G451">
        <v>53</v>
      </c>
      <c r="H451">
        <v>14</v>
      </c>
      <c r="I451">
        <v>1</v>
      </c>
      <c r="J451">
        <v>35</v>
      </c>
      <c r="K451">
        <v>3.4</v>
      </c>
      <c r="L451" s="3">
        <v>6.8</v>
      </c>
      <c r="M451" t="s">
        <v>1035</v>
      </c>
      <c r="N451">
        <v>74.33</v>
      </c>
    </row>
    <row r="452" spans="1:14" x14ac:dyDescent="0.3">
      <c r="A452" t="s">
        <v>462</v>
      </c>
      <c r="B452" t="s">
        <v>1014</v>
      </c>
      <c r="C452" t="s">
        <v>1019</v>
      </c>
      <c r="D452">
        <v>38</v>
      </c>
      <c r="E452">
        <v>3</v>
      </c>
      <c r="F452" s="3">
        <v>37937</v>
      </c>
      <c r="G452">
        <v>53</v>
      </c>
      <c r="H452">
        <v>8</v>
      </c>
      <c r="I452">
        <v>10</v>
      </c>
      <c r="J452">
        <v>22</v>
      </c>
      <c r="K452">
        <v>2.4</v>
      </c>
      <c r="L452" s="3">
        <v>7.6</v>
      </c>
      <c r="M452" t="s">
        <v>1035</v>
      </c>
      <c r="N452">
        <v>66.13</v>
      </c>
    </row>
    <row r="453" spans="1:14" x14ac:dyDescent="0.3">
      <c r="A453" t="s">
        <v>463</v>
      </c>
      <c r="B453" t="s">
        <v>1016</v>
      </c>
      <c r="C453" t="s">
        <v>1023</v>
      </c>
      <c r="D453">
        <v>26</v>
      </c>
      <c r="E453">
        <v>1</v>
      </c>
      <c r="F453" s="3">
        <v>45826</v>
      </c>
      <c r="G453">
        <v>50</v>
      </c>
      <c r="H453">
        <v>8</v>
      </c>
      <c r="I453">
        <v>10</v>
      </c>
      <c r="J453">
        <v>39</v>
      </c>
      <c r="K453">
        <v>4</v>
      </c>
      <c r="L453" s="3">
        <v>7.9</v>
      </c>
      <c r="M453" t="s">
        <v>1035</v>
      </c>
      <c r="N453">
        <v>72.73</v>
      </c>
    </row>
    <row r="454" spans="1:14" x14ac:dyDescent="0.3">
      <c r="A454" t="s">
        <v>464</v>
      </c>
      <c r="B454" t="s">
        <v>1015</v>
      </c>
      <c r="C454" t="s">
        <v>1020</v>
      </c>
      <c r="D454">
        <v>45</v>
      </c>
      <c r="E454">
        <v>10</v>
      </c>
      <c r="F454" s="3">
        <v>87826</v>
      </c>
      <c r="G454">
        <v>48</v>
      </c>
      <c r="H454">
        <v>3</v>
      </c>
      <c r="I454">
        <v>0</v>
      </c>
      <c r="J454">
        <v>20</v>
      </c>
      <c r="K454">
        <v>2.7</v>
      </c>
      <c r="L454" s="3">
        <v>4.5999999999999996</v>
      </c>
      <c r="M454" t="s">
        <v>1036</v>
      </c>
      <c r="N454">
        <v>40.700000000000003</v>
      </c>
    </row>
    <row r="455" spans="1:14" x14ac:dyDescent="0.3">
      <c r="A455" t="s">
        <v>465</v>
      </c>
      <c r="B455" t="s">
        <v>1017</v>
      </c>
      <c r="C455" t="s">
        <v>1026</v>
      </c>
      <c r="D455">
        <v>39</v>
      </c>
      <c r="E455">
        <v>11</v>
      </c>
      <c r="F455" s="3">
        <v>33801</v>
      </c>
      <c r="G455">
        <v>45</v>
      </c>
      <c r="H455">
        <v>15</v>
      </c>
      <c r="I455">
        <v>15</v>
      </c>
      <c r="J455">
        <v>29</v>
      </c>
      <c r="K455">
        <v>3.3</v>
      </c>
      <c r="L455" s="3">
        <v>8.4</v>
      </c>
      <c r="M455" t="s">
        <v>1034</v>
      </c>
      <c r="N455">
        <v>85.3</v>
      </c>
    </row>
    <row r="456" spans="1:14" x14ac:dyDescent="0.3">
      <c r="A456" t="s">
        <v>466</v>
      </c>
      <c r="B456" t="s">
        <v>1015</v>
      </c>
      <c r="C456" t="s">
        <v>1020</v>
      </c>
      <c r="D456">
        <v>28</v>
      </c>
      <c r="E456">
        <v>2</v>
      </c>
      <c r="F456" s="3">
        <v>67306</v>
      </c>
      <c r="G456">
        <v>54</v>
      </c>
      <c r="H456">
        <v>2</v>
      </c>
      <c r="I456">
        <v>8</v>
      </c>
      <c r="J456">
        <v>8</v>
      </c>
      <c r="K456">
        <v>4.7</v>
      </c>
      <c r="L456" s="3">
        <v>4.4000000000000004</v>
      </c>
      <c r="M456" t="s">
        <v>1036</v>
      </c>
      <c r="N456">
        <v>43.83</v>
      </c>
    </row>
    <row r="457" spans="1:14" x14ac:dyDescent="0.3">
      <c r="A457" t="s">
        <v>467</v>
      </c>
      <c r="B457" t="s">
        <v>1014</v>
      </c>
      <c r="C457" t="s">
        <v>1019</v>
      </c>
      <c r="D457">
        <v>26</v>
      </c>
      <c r="E457">
        <v>0</v>
      </c>
      <c r="F457" s="3">
        <v>80678</v>
      </c>
      <c r="G457">
        <v>51</v>
      </c>
      <c r="H457">
        <v>11</v>
      </c>
      <c r="I457">
        <v>0</v>
      </c>
      <c r="J457">
        <v>37</v>
      </c>
      <c r="K457">
        <v>3.7</v>
      </c>
      <c r="L457" s="3">
        <v>8.4</v>
      </c>
      <c r="M457" t="s">
        <v>1034</v>
      </c>
      <c r="N457">
        <v>79.83</v>
      </c>
    </row>
    <row r="458" spans="1:14" x14ac:dyDescent="0.3">
      <c r="A458" t="s">
        <v>468</v>
      </c>
      <c r="B458" t="s">
        <v>1014</v>
      </c>
      <c r="C458" t="s">
        <v>1031</v>
      </c>
      <c r="D458">
        <v>38</v>
      </c>
      <c r="E458">
        <v>15</v>
      </c>
      <c r="F458" s="3">
        <v>67854</v>
      </c>
      <c r="G458">
        <v>39</v>
      </c>
      <c r="H458">
        <v>6</v>
      </c>
      <c r="I458">
        <v>12</v>
      </c>
      <c r="J458">
        <v>14</v>
      </c>
      <c r="K458">
        <v>4.7</v>
      </c>
      <c r="L458" s="3">
        <v>7.1</v>
      </c>
      <c r="M458" t="s">
        <v>1035</v>
      </c>
      <c r="N458">
        <v>66.7</v>
      </c>
    </row>
    <row r="459" spans="1:14" x14ac:dyDescent="0.3">
      <c r="A459" t="s">
        <v>469</v>
      </c>
      <c r="B459" t="s">
        <v>1018</v>
      </c>
      <c r="C459" t="s">
        <v>1027</v>
      </c>
      <c r="D459">
        <v>51</v>
      </c>
      <c r="E459">
        <v>2</v>
      </c>
      <c r="F459" s="3">
        <v>51003</v>
      </c>
      <c r="G459">
        <v>46</v>
      </c>
      <c r="H459">
        <v>9</v>
      </c>
      <c r="I459">
        <v>0</v>
      </c>
      <c r="J459">
        <v>15</v>
      </c>
      <c r="K459">
        <v>4.5</v>
      </c>
      <c r="L459" s="3">
        <v>8.6</v>
      </c>
      <c r="M459" t="s">
        <v>1034</v>
      </c>
      <c r="N459">
        <v>80.099999999999994</v>
      </c>
    </row>
    <row r="460" spans="1:14" x14ac:dyDescent="0.3">
      <c r="A460" t="s">
        <v>470</v>
      </c>
      <c r="B460" t="s">
        <v>1018</v>
      </c>
      <c r="C460" t="s">
        <v>1027</v>
      </c>
      <c r="D460">
        <v>54</v>
      </c>
      <c r="E460">
        <v>4</v>
      </c>
      <c r="F460" s="3">
        <v>54243</v>
      </c>
      <c r="G460">
        <v>40</v>
      </c>
      <c r="H460">
        <v>3</v>
      </c>
      <c r="I460">
        <v>18</v>
      </c>
      <c r="J460">
        <v>36</v>
      </c>
      <c r="K460">
        <v>4</v>
      </c>
      <c r="L460" s="3">
        <v>9.8000000000000007</v>
      </c>
      <c r="M460" t="s">
        <v>1034</v>
      </c>
      <c r="N460">
        <v>75.8</v>
      </c>
    </row>
    <row r="461" spans="1:14" x14ac:dyDescent="0.3">
      <c r="A461" t="s">
        <v>471</v>
      </c>
      <c r="B461" t="s">
        <v>1017</v>
      </c>
      <c r="C461" t="s">
        <v>1030</v>
      </c>
      <c r="D461">
        <v>44</v>
      </c>
      <c r="E461">
        <v>1</v>
      </c>
      <c r="F461" s="3">
        <v>39340</v>
      </c>
      <c r="G461">
        <v>50</v>
      </c>
      <c r="H461">
        <v>4</v>
      </c>
      <c r="I461">
        <v>2</v>
      </c>
      <c r="J461">
        <v>16</v>
      </c>
      <c r="K461">
        <v>3.1</v>
      </c>
      <c r="L461" s="3">
        <v>3.3</v>
      </c>
      <c r="M461" t="s">
        <v>1036</v>
      </c>
      <c r="N461">
        <v>35.770000000000003</v>
      </c>
    </row>
    <row r="462" spans="1:14" x14ac:dyDescent="0.3">
      <c r="A462" t="s">
        <v>472</v>
      </c>
      <c r="B462" t="s">
        <v>1015</v>
      </c>
      <c r="C462" t="s">
        <v>1020</v>
      </c>
      <c r="D462">
        <v>45</v>
      </c>
      <c r="E462">
        <v>12</v>
      </c>
      <c r="F462" s="3">
        <v>55780</v>
      </c>
      <c r="G462">
        <v>49</v>
      </c>
      <c r="H462">
        <v>15</v>
      </c>
      <c r="I462">
        <v>1</v>
      </c>
      <c r="J462">
        <v>2</v>
      </c>
      <c r="K462">
        <v>4.9000000000000004</v>
      </c>
      <c r="L462" s="3">
        <v>5.3</v>
      </c>
      <c r="M462" t="s">
        <v>1036</v>
      </c>
      <c r="N462">
        <v>71.5</v>
      </c>
    </row>
    <row r="463" spans="1:14" x14ac:dyDescent="0.3">
      <c r="A463" t="s">
        <v>473</v>
      </c>
      <c r="B463" t="s">
        <v>1015</v>
      </c>
      <c r="C463" t="s">
        <v>1020</v>
      </c>
      <c r="D463">
        <v>39</v>
      </c>
      <c r="E463">
        <v>8</v>
      </c>
      <c r="F463" s="3">
        <v>62921</v>
      </c>
      <c r="G463">
        <v>52</v>
      </c>
      <c r="H463">
        <v>10</v>
      </c>
      <c r="I463">
        <v>5</v>
      </c>
      <c r="J463">
        <v>24</v>
      </c>
      <c r="K463">
        <v>4</v>
      </c>
      <c r="L463" s="3">
        <v>5.6</v>
      </c>
      <c r="M463" t="s">
        <v>1036</v>
      </c>
      <c r="N463">
        <v>62.27</v>
      </c>
    </row>
    <row r="464" spans="1:14" x14ac:dyDescent="0.3">
      <c r="A464" t="s">
        <v>474</v>
      </c>
      <c r="B464" t="s">
        <v>1014</v>
      </c>
      <c r="C464" t="s">
        <v>1031</v>
      </c>
      <c r="D464">
        <v>55</v>
      </c>
      <c r="E464">
        <v>8</v>
      </c>
      <c r="F464" s="3">
        <v>49663</v>
      </c>
      <c r="G464">
        <v>42</v>
      </c>
      <c r="H464">
        <v>9</v>
      </c>
      <c r="I464">
        <v>12</v>
      </c>
      <c r="J464">
        <v>22</v>
      </c>
      <c r="K464">
        <v>4.5</v>
      </c>
      <c r="L464" s="3">
        <v>5.4</v>
      </c>
      <c r="M464" t="s">
        <v>1036</v>
      </c>
      <c r="N464">
        <v>60.9</v>
      </c>
    </row>
    <row r="465" spans="1:14" x14ac:dyDescent="0.3">
      <c r="A465" t="s">
        <v>475</v>
      </c>
      <c r="B465" t="s">
        <v>1015</v>
      </c>
      <c r="C465" t="s">
        <v>1029</v>
      </c>
      <c r="D465">
        <v>22</v>
      </c>
      <c r="E465">
        <v>0</v>
      </c>
      <c r="F465" s="3">
        <v>53829</v>
      </c>
      <c r="G465">
        <v>40</v>
      </c>
      <c r="H465">
        <v>4</v>
      </c>
      <c r="I465">
        <v>2</v>
      </c>
      <c r="J465">
        <v>32</v>
      </c>
      <c r="K465">
        <v>3.9</v>
      </c>
      <c r="L465" s="3">
        <v>4.5</v>
      </c>
      <c r="M465" t="s">
        <v>1036</v>
      </c>
      <c r="N465">
        <v>45.37</v>
      </c>
    </row>
    <row r="466" spans="1:14" x14ac:dyDescent="0.3">
      <c r="A466" t="s">
        <v>476</v>
      </c>
      <c r="B466" t="s">
        <v>1018</v>
      </c>
      <c r="C466" t="s">
        <v>1032</v>
      </c>
      <c r="D466">
        <v>45</v>
      </c>
      <c r="E466">
        <v>3</v>
      </c>
      <c r="F466" s="3">
        <v>68326</v>
      </c>
      <c r="G466">
        <v>42</v>
      </c>
      <c r="H466">
        <v>7</v>
      </c>
      <c r="I466">
        <v>25</v>
      </c>
      <c r="J466">
        <v>21</v>
      </c>
      <c r="K466">
        <v>4.2</v>
      </c>
      <c r="L466" s="3">
        <v>6.4</v>
      </c>
      <c r="M466" t="s">
        <v>1035</v>
      </c>
      <c r="N466">
        <v>62.67</v>
      </c>
    </row>
    <row r="467" spans="1:14" x14ac:dyDescent="0.3">
      <c r="A467" t="s">
        <v>477</v>
      </c>
      <c r="B467" t="s">
        <v>1017</v>
      </c>
      <c r="C467" t="s">
        <v>1024</v>
      </c>
      <c r="D467">
        <v>35</v>
      </c>
      <c r="E467">
        <v>9</v>
      </c>
      <c r="F467" s="3">
        <v>35567</v>
      </c>
      <c r="G467">
        <v>55</v>
      </c>
      <c r="H467">
        <v>14</v>
      </c>
      <c r="I467">
        <v>13</v>
      </c>
      <c r="J467">
        <v>1</v>
      </c>
      <c r="K467">
        <v>2.7</v>
      </c>
      <c r="L467" s="3">
        <v>3.9</v>
      </c>
      <c r="M467" t="s">
        <v>1036</v>
      </c>
      <c r="N467">
        <v>54.83</v>
      </c>
    </row>
    <row r="468" spans="1:14" x14ac:dyDescent="0.3">
      <c r="A468" t="s">
        <v>478</v>
      </c>
      <c r="B468" t="s">
        <v>1018</v>
      </c>
      <c r="C468" t="s">
        <v>1032</v>
      </c>
      <c r="D468">
        <v>30</v>
      </c>
      <c r="E468">
        <v>8</v>
      </c>
      <c r="F468" s="3">
        <v>27568</v>
      </c>
      <c r="G468">
        <v>53</v>
      </c>
      <c r="H468">
        <v>3</v>
      </c>
      <c r="I468">
        <v>1</v>
      </c>
      <c r="J468">
        <v>10</v>
      </c>
      <c r="K468">
        <v>2.8</v>
      </c>
      <c r="L468" s="3">
        <v>4.3</v>
      </c>
      <c r="M468" t="s">
        <v>1036</v>
      </c>
      <c r="N468">
        <v>39.200000000000003</v>
      </c>
    </row>
    <row r="469" spans="1:14" x14ac:dyDescent="0.3">
      <c r="A469" t="s">
        <v>479</v>
      </c>
      <c r="B469" t="s">
        <v>1015</v>
      </c>
      <c r="C469" t="s">
        <v>1021</v>
      </c>
      <c r="D469">
        <v>23</v>
      </c>
      <c r="E469">
        <v>2</v>
      </c>
      <c r="F469" s="3">
        <v>72708</v>
      </c>
      <c r="G469">
        <v>44</v>
      </c>
      <c r="H469">
        <v>2</v>
      </c>
      <c r="I469">
        <v>6</v>
      </c>
      <c r="J469">
        <v>28</v>
      </c>
      <c r="K469">
        <v>3.8</v>
      </c>
      <c r="L469" s="3">
        <v>6.3</v>
      </c>
      <c r="M469" t="s">
        <v>1035</v>
      </c>
      <c r="N469">
        <v>52.53</v>
      </c>
    </row>
    <row r="470" spans="1:14" x14ac:dyDescent="0.3">
      <c r="A470" t="s">
        <v>480</v>
      </c>
      <c r="B470" t="s">
        <v>1018</v>
      </c>
      <c r="C470" t="s">
        <v>1028</v>
      </c>
      <c r="D470">
        <v>36</v>
      </c>
      <c r="E470">
        <v>13</v>
      </c>
      <c r="F470" s="3">
        <v>64376</v>
      </c>
      <c r="G470">
        <v>39</v>
      </c>
      <c r="H470">
        <v>13</v>
      </c>
      <c r="I470">
        <v>18</v>
      </c>
      <c r="J470">
        <v>11</v>
      </c>
      <c r="K470">
        <v>3.9</v>
      </c>
      <c r="L470" s="3">
        <v>6.6</v>
      </c>
      <c r="M470" t="s">
        <v>1035</v>
      </c>
      <c r="N470">
        <v>72.97</v>
      </c>
    </row>
    <row r="471" spans="1:14" x14ac:dyDescent="0.3">
      <c r="A471" t="s">
        <v>481</v>
      </c>
      <c r="B471" t="s">
        <v>1016</v>
      </c>
      <c r="C471" t="s">
        <v>1022</v>
      </c>
      <c r="D471">
        <v>51</v>
      </c>
      <c r="E471">
        <v>2</v>
      </c>
      <c r="F471" s="3">
        <v>40061</v>
      </c>
      <c r="G471">
        <v>47</v>
      </c>
      <c r="H471">
        <v>7</v>
      </c>
      <c r="I471">
        <v>4</v>
      </c>
      <c r="J471">
        <v>6</v>
      </c>
      <c r="K471">
        <v>2</v>
      </c>
      <c r="L471" s="3">
        <v>6.7</v>
      </c>
      <c r="M471" t="s">
        <v>1035</v>
      </c>
      <c r="N471">
        <v>57.87</v>
      </c>
    </row>
    <row r="472" spans="1:14" x14ac:dyDescent="0.3">
      <c r="A472" t="s">
        <v>482</v>
      </c>
      <c r="B472" t="s">
        <v>1017</v>
      </c>
      <c r="C472" t="s">
        <v>1024</v>
      </c>
      <c r="D472">
        <v>31</v>
      </c>
      <c r="E472">
        <v>9</v>
      </c>
      <c r="F472" s="3">
        <v>31311</v>
      </c>
      <c r="G472">
        <v>40</v>
      </c>
      <c r="H472">
        <v>8</v>
      </c>
      <c r="I472">
        <v>19</v>
      </c>
      <c r="J472">
        <v>38</v>
      </c>
      <c r="K472">
        <v>2.1</v>
      </c>
      <c r="L472" s="3">
        <v>8.5</v>
      </c>
      <c r="M472" t="s">
        <v>1034</v>
      </c>
      <c r="N472">
        <v>70.63</v>
      </c>
    </row>
    <row r="473" spans="1:14" x14ac:dyDescent="0.3">
      <c r="A473" t="s">
        <v>483</v>
      </c>
      <c r="B473" t="s">
        <v>1014</v>
      </c>
      <c r="C473" t="s">
        <v>1025</v>
      </c>
      <c r="D473">
        <v>27</v>
      </c>
      <c r="E473">
        <v>3</v>
      </c>
      <c r="F473" s="3">
        <v>68213</v>
      </c>
      <c r="G473">
        <v>39</v>
      </c>
      <c r="H473">
        <v>15</v>
      </c>
      <c r="I473">
        <v>19</v>
      </c>
      <c r="J473">
        <v>34</v>
      </c>
      <c r="K473">
        <v>4.5</v>
      </c>
      <c r="L473" s="3">
        <v>9.3000000000000007</v>
      </c>
      <c r="M473" t="s">
        <v>1034</v>
      </c>
      <c r="N473">
        <v>94.3</v>
      </c>
    </row>
    <row r="474" spans="1:14" x14ac:dyDescent="0.3">
      <c r="A474" t="s">
        <v>484</v>
      </c>
      <c r="B474" t="s">
        <v>1017</v>
      </c>
      <c r="C474" t="s">
        <v>1026</v>
      </c>
      <c r="D474">
        <v>55</v>
      </c>
      <c r="E474">
        <v>13</v>
      </c>
      <c r="F474" s="3">
        <v>49273</v>
      </c>
      <c r="G474">
        <v>36</v>
      </c>
      <c r="H474">
        <v>12</v>
      </c>
      <c r="I474">
        <v>16</v>
      </c>
      <c r="J474">
        <v>27</v>
      </c>
      <c r="K474">
        <v>2.7</v>
      </c>
      <c r="L474" s="3">
        <v>8.6</v>
      </c>
      <c r="M474" t="s">
        <v>1034</v>
      </c>
      <c r="N474">
        <v>79.7</v>
      </c>
    </row>
    <row r="475" spans="1:14" x14ac:dyDescent="0.3">
      <c r="A475" t="s">
        <v>485</v>
      </c>
      <c r="B475" t="s">
        <v>1016</v>
      </c>
      <c r="C475" t="s">
        <v>1022</v>
      </c>
      <c r="D475">
        <v>28</v>
      </c>
      <c r="E475">
        <v>6</v>
      </c>
      <c r="F475" s="3">
        <v>33774</v>
      </c>
      <c r="G475">
        <v>43</v>
      </c>
      <c r="H475">
        <v>8</v>
      </c>
      <c r="I475">
        <v>24</v>
      </c>
      <c r="J475">
        <v>14</v>
      </c>
      <c r="K475">
        <v>4.7</v>
      </c>
      <c r="L475" s="3">
        <v>3.6</v>
      </c>
      <c r="M475" t="s">
        <v>1036</v>
      </c>
      <c r="N475">
        <v>49.03</v>
      </c>
    </row>
    <row r="476" spans="1:14" x14ac:dyDescent="0.3">
      <c r="A476" t="s">
        <v>486</v>
      </c>
      <c r="B476" t="s">
        <v>1015</v>
      </c>
      <c r="C476" t="s">
        <v>1029</v>
      </c>
      <c r="D476">
        <v>48</v>
      </c>
      <c r="E476">
        <v>8</v>
      </c>
      <c r="F476" s="3">
        <v>37387</v>
      </c>
      <c r="G476">
        <v>35</v>
      </c>
      <c r="H476">
        <v>12</v>
      </c>
      <c r="I476">
        <v>23</v>
      </c>
      <c r="J476">
        <v>0</v>
      </c>
      <c r="K476">
        <v>3.7</v>
      </c>
      <c r="L476" s="3">
        <v>3.8</v>
      </c>
      <c r="M476" t="s">
        <v>1036</v>
      </c>
      <c r="N476">
        <v>53.9</v>
      </c>
    </row>
    <row r="477" spans="1:14" x14ac:dyDescent="0.3">
      <c r="A477" t="s">
        <v>487</v>
      </c>
      <c r="B477" t="s">
        <v>1017</v>
      </c>
      <c r="C477" t="s">
        <v>1026</v>
      </c>
      <c r="D477">
        <v>35</v>
      </c>
      <c r="E477">
        <v>11</v>
      </c>
      <c r="F477" s="3">
        <v>77709</v>
      </c>
      <c r="G477">
        <v>45</v>
      </c>
      <c r="H477">
        <v>7</v>
      </c>
      <c r="I477">
        <v>11</v>
      </c>
      <c r="J477">
        <v>6</v>
      </c>
      <c r="K477">
        <v>2.5</v>
      </c>
      <c r="L477" s="3">
        <v>7.6</v>
      </c>
      <c r="M477" t="s">
        <v>1035</v>
      </c>
      <c r="N477">
        <v>64.77</v>
      </c>
    </row>
    <row r="478" spans="1:14" x14ac:dyDescent="0.3">
      <c r="A478" t="s">
        <v>488</v>
      </c>
      <c r="B478" t="s">
        <v>1016</v>
      </c>
      <c r="C478" t="s">
        <v>1033</v>
      </c>
      <c r="D478">
        <v>49</v>
      </c>
      <c r="E478">
        <v>11</v>
      </c>
      <c r="F478" s="3">
        <v>65100</v>
      </c>
      <c r="G478">
        <v>43</v>
      </c>
      <c r="H478">
        <v>11</v>
      </c>
      <c r="I478">
        <v>12</v>
      </c>
      <c r="J478">
        <v>13</v>
      </c>
      <c r="K478">
        <v>3.2</v>
      </c>
      <c r="L478" s="3">
        <v>8.5</v>
      </c>
      <c r="M478" t="s">
        <v>1034</v>
      </c>
      <c r="N478">
        <v>78.930000000000007</v>
      </c>
    </row>
    <row r="479" spans="1:14" x14ac:dyDescent="0.3">
      <c r="A479" t="s">
        <v>489</v>
      </c>
      <c r="B479" t="s">
        <v>1018</v>
      </c>
      <c r="C479" t="s">
        <v>1027</v>
      </c>
      <c r="D479">
        <v>45</v>
      </c>
      <c r="E479">
        <v>15</v>
      </c>
      <c r="F479" s="3">
        <v>41631</v>
      </c>
      <c r="G479">
        <v>44</v>
      </c>
      <c r="H479">
        <v>10</v>
      </c>
      <c r="I479">
        <v>11</v>
      </c>
      <c r="J479">
        <v>25</v>
      </c>
      <c r="K479">
        <v>4.2</v>
      </c>
      <c r="L479" s="3">
        <v>9</v>
      </c>
      <c r="M479" t="s">
        <v>1034</v>
      </c>
      <c r="N479">
        <v>83.27</v>
      </c>
    </row>
    <row r="480" spans="1:14" x14ac:dyDescent="0.3">
      <c r="A480" t="s">
        <v>490</v>
      </c>
      <c r="B480" t="s">
        <v>1014</v>
      </c>
      <c r="C480" t="s">
        <v>1025</v>
      </c>
      <c r="D480">
        <v>36</v>
      </c>
      <c r="E480">
        <v>14</v>
      </c>
      <c r="F480" s="3">
        <v>76321</v>
      </c>
      <c r="G480">
        <v>40</v>
      </c>
      <c r="H480">
        <v>2</v>
      </c>
      <c r="I480">
        <v>6</v>
      </c>
      <c r="J480">
        <v>32</v>
      </c>
      <c r="K480">
        <v>3.2</v>
      </c>
      <c r="L480" s="3">
        <v>5.4</v>
      </c>
      <c r="M480" t="s">
        <v>1036</v>
      </c>
      <c r="N480">
        <v>45.33</v>
      </c>
    </row>
    <row r="481" spans="1:14" x14ac:dyDescent="0.3">
      <c r="A481" t="s">
        <v>491</v>
      </c>
      <c r="B481" t="s">
        <v>1015</v>
      </c>
      <c r="C481" t="s">
        <v>1020</v>
      </c>
      <c r="D481">
        <v>25</v>
      </c>
      <c r="E481">
        <v>1</v>
      </c>
      <c r="F481" s="3">
        <v>50500</v>
      </c>
      <c r="G481">
        <v>55</v>
      </c>
      <c r="H481">
        <v>1</v>
      </c>
      <c r="I481">
        <v>25</v>
      </c>
      <c r="J481">
        <v>5</v>
      </c>
      <c r="K481">
        <v>4.5</v>
      </c>
      <c r="L481" s="3">
        <v>6.3</v>
      </c>
      <c r="M481" t="s">
        <v>1035</v>
      </c>
      <c r="N481">
        <v>52.97</v>
      </c>
    </row>
    <row r="482" spans="1:14" x14ac:dyDescent="0.3">
      <c r="A482" t="s">
        <v>492</v>
      </c>
      <c r="B482" t="s">
        <v>1017</v>
      </c>
      <c r="C482" t="s">
        <v>1026</v>
      </c>
      <c r="D482">
        <v>27</v>
      </c>
      <c r="E482">
        <v>0</v>
      </c>
      <c r="F482" s="3">
        <v>42241</v>
      </c>
      <c r="G482">
        <v>42</v>
      </c>
      <c r="H482">
        <v>6</v>
      </c>
      <c r="I482">
        <v>2</v>
      </c>
      <c r="J482">
        <v>38</v>
      </c>
      <c r="K482">
        <v>2.1</v>
      </c>
      <c r="L482" s="3">
        <v>5.7</v>
      </c>
      <c r="M482" t="s">
        <v>1036</v>
      </c>
      <c r="N482">
        <v>50.5</v>
      </c>
    </row>
    <row r="483" spans="1:14" x14ac:dyDescent="0.3">
      <c r="A483" t="s">
        <v>493</v>
      </c>
      <c r="B483" t="s">
        <v>1015</v>
      </c>
      <c r="C483" t="s">
        <v>1029</v>
      </c>
      <c r="D483">
        <v>55</v>
      </c>
      <c r="E483">
        <v>9</v>
      </c>
      <c r="F483" s="3">
        <v>71635</v>
      </c>
      <c r="G483">
        <v>54</v>
      </c>
      <c r="H483">
        <v>1</v>
      </c>
      <c r="I483">
        <v>24</v>
      </c>
      <c r="J483">
        <v>11</v>
      </c>
      <c r="K483">
        <v>3.9</v>
      </c>
      <c r="L483" s="3">
        <v>6.1</v>
      </c>
      <c r="M483" t="s">
        <v>1035</v>
      </c>
      <c r="N483">
        <v>49.97</v>
      </c>
    </row>
    <row r="484" spans="1:14" x14ac:dyDescent="0.3">
      <c r="A484" t="s">
        <v>494</v>
      </c>
      <c r="B484" t="s">
        <v>1015</v>
      </c>
      <c r="C484" t="s">
        <v>1021</v>
      </c>
      <c r="D484">
        <v>40</v>
      </c>
      <c r="E484">
        <v>6</v>
      </c>
      <c r="F484" s="3">
        <v>27202</v>
      </c>
      <c r="G484">
        <v>54</v>
      </c>
      <c r="H484">
        <v>9</v>
      </c>
      <c r="I484">
        <v>16</v>
      </c>
      <c r="J484">
        <v>14</v>
      </c>
      <c r="K484">
        <v>3.8</v>
      </c>
      <c r="L484" s="3">
        <v>7.7</v>
      </c>
      <c r="M484" t="s">
        <v>1035</v>
      </c>
      <c r="N484">
        <v>72.599999999999994</v>
      </c>
    </row>
    <row r="485" spans="1:14" x14ac:dyDescent="0.3">
      <c r="A485" t="s">
        <v>495</v>
      </c>
      <c r="B485" t="s">
        <v>1018</v>
      </c>
      <c r="C485" t="s">
        <v>1028</v>
      </c>
      <c r="D485">
        <v>22</v>
      </c>
      <c r="E485">
        <v>0</v>
      </c>
      <c r="F485" s="3">
        <v>30691</v>
      </c>
      <c r="G485">
        <v>43</v>
      </c>
      <c r="H485">
        <v>13</v>
      </c>
      <c r="I485">
        <v>12</v>
      </c>
      <c r="J485">
        <v>22</v>
      </c>
      <c r="K485">
        <v>4</v>
      </c>
      <c r="L485" s="3">
        <v>5.8</v>
      </c>
      <c r="M485" t="s">
        <v>1036</v>
      </c>
      <c r="N485">
        <v>68.47</v>
      </c>
    </row>
    <row r="486" spans="1:14" x14ac:dyDescent="0.3">
      <c r="A486" t="s">
        <v>496</v>
      </c>
      <c r="B486" t="s">
        <v>1015</v>
      </c>
      <c r="C486" t="s">
        <v>1021</v>
      </c>
      <c r="D486">
        <v>22</v>
      </c>
      <c r="E486">
        <v>0</v>
      </c>
      <c r="F486" s="3">
        <v>85239</v>
      </c>
      <c r="G486">
        <v>37</v>
      </c>
      <c r="H486">
        <v>9</v>
      </c>
      <c r="I486">
        <v>9</v>
      </c>
      <c r="J486">
        <v>35</v>
      </c>
      <c r="K486">
        <v>4.7</v>
      </c>
      <c r="L486" s="3">
        <v>5.4</v>
      </c>
      <c r="M486" t="s">
        <v>1036</v>
      </c>
      <c r="N486">
        <v>61.5</v>
      </c>
    </row>
    <row r="487" spans="1:14" x14ac:dyDescent="0.3">
      <c r="A487" t="s">
        <v>497</v>
      </c>
      <c r="B487" t="s">
        <v>1018</v>
      </c>
      <c r="C487" t="s">
        <v>1027</v>
      </c>
      <c r="D487">
        <v>34</v>
      </c>
      <c r="E487">
        <v>7</v>
      </c>
      <c r="F487" s="3">
        <v>85929</v>
      </c>
      <c r="G487">
        <v>47</v>
      </c>
      <c r="H487">
        <v>10</v>
      </c>
      <c r="I487">
        <v>0</v>
      </c>
      <c r="J487">
        <v>16</v>
      </c>
      <c r="K487">
        <v>2.5</v>
      </c>
      <c r="L487" s="3">
        <v>6.5</v>
      </c>
      <c r="M487" t="s">
        <v>1035</v>
      </c>
      <c r="N487">
        <v>63.17</v>
      </c>
    </row>
    <row r="488" spans="1:14" x14ac:dyDescent="0.3">
      <c r="A488" t="s">
        <v>498</v>
      </c>
      <c r="B488" t="s">
        <v>1014</v>
      </c>
      <c r="C488" t="s">
        <v>1025</v>
      </c>
      <c r="D488">
        <v>54</v>
      </c>
      <c r="E488">
        <v>9</v>
      </c>
      <c r="F488" s="3">
        <v>47280</v>
      </c>
      <c r="G488">
        <v>38</v>
      </c>
      <c r="H488">
        <v>13</v>
      </c>
      <c r="I488">
        <v>16</v>
      </c>
      <c r="J488">
        <v>16</v>
      </c>
      <c r="K488">
        <v>4.5999999999999996</v>
      </c>
      <c r="L488" s="3">
        <v>8.6999999999999993</v>
      </c>
      <c r="M488" t="s">
        <v>1034</v>
      </c>
      <c r="N488">
        <v>87.67</v>
      </c>
    </row>
    <row r="489" spans="1:14" x14ac:dyDescent="0.3">
      <c r="A489" t="s">
        <v>499</v>
      </c>
      <c r="B489" t="s">
        <v>1016</v>
      </c>
      <c r="C489" t="s">
        <v>1033</v>
      </c>
      <c r="D489">
        <v>50</v>
      </c>
      <c r="E489">
        <v>12</v>
      </c>
      <c r="F489" s="3">
        <v>61907</v>
      </c>
      <c r="G489">
        <v>50</v>
      </c>
      <c r="H489">
        <v>13</v>
      </c>
      <c r="I489">
        <v>7</v>
      </c>
      <c r="J489">
        <v>21</v>
      </c>
      <c r="K489">
        <v>4.9000000000000004</v>
      </c>
      <c r="L489" s="3">
        <v>6.2</v>
      </c>
      <c r="M489" t="s">
        <v>1035</v>
      </c>
      <c r="N489">
        <v>73.569999999999993</v>
      </c>
    </row>
    <row r="490" spans="1:14" x14ac:dyDescent="0.3">
      <c r="A490" t="s">
        <v>500</v>
      </c>
      <c r="B490" t="s">
        <v>1015</v>
      </c>
      <c r="C490" t="s">
        <v>1020</v>
      </c>
      <c r="D490">
        <v>23</v>
      </c>
      <c r="E490">
        <v>1</v>
      </c>
      <c r="F490" s="3">
        <v>32619</v>
      </c>
      <c r="G490">
        <v>43</v>
      </c>
      <c r="H490">
        <v>2</v>
      </c>
      <c r="I490">
        <v>12</v>
      </c>
      <c r="J490">
        <v>40</v>
      </c>
      <c r="K490">
        <v>4.4000000000000004</v>
      </c>
      <c r="L490" s="3">
        <v>4.5</v>
      </c>
      <c r="M490" t="s">
        <v>1036</v>
      </c>
      <c r="N490">
        <v>43.53</v>
      </c>
    </row>
    <row r="491" spans="1:14" x14ac:dyDescent="0.3">
      <c r="A491" t="s">
        <v>501</v>
      </c>
      <c r="B491" t="s">
        <v>1018</v>
      </c>
      <c r="C491" t="s">
        <v>1032</v>
      </c>
      <c r="D491">
        <v>42</v>
      </c>
      <c r="E491">
        <v>13</v>
      </c>
      <c r="F491" s="3">
        <v>87616</v>
      </c>
      <c r="G491">
        <v>46</v>
      </c>
      <c r="H491">
        <v>9</v>
      </c>
      <c r="I491">
        <v>17</v>
      </c>
      <c r="J491">
        <v>0</v>
      </c>
      <c r="K491">
        <v>4.0999999999999996</v>
      </c>
      <c r="L491" s="3">
        <v>4.8</v>
      </c>
      <c r="M491" t="s">
        <v>1036</v>
      </c>
      <c r="N491">
        <v>56.1</v>
      </c>
    </row>
    <row r="492" spans="1:14" x14ac:dyDescent="0.3">
      <c r="A492" t="s">
        <v>502</v>
      </c>
      <c r="B492" t="s">
        <v>1014</v>
      </c>
      <c r="C492" t="s">
        <v>1025</v>
      </c>
      <c r="D492">
        <v>47</v>
      </c>
      <c r="E492">
        <v>10</v>
      </c>
      <c r="F492" s="3">
        <v>29982</v>
      </c>
      <c r="G492">
        <v>52</v>
      </c>
      <c r="H492">
        <v>15</v>
      </c>
      <c r="I492">
        <v>5</v>
      </c>
      <c r="J492">
        <v>30</v>
      </c>
      <c r="K492">
        <v>2.9</v>
      </c>
      <c r="L492" s="3">
        <v>4.5</v>
      </c>
      <c r="M492" t="s">
        <v>1036</v>
      </c>
      <c r="N492">
        <v>60.7</v>
      </c>
    </row>
    <row r="493" spans="1:14" x14ac:dyDescent="0.3">
      <c r="A493" t="s">
        <v>503</v>
      </c>
      <c r="B493" t="s">
        <v>1016</v>
      </c>
      <c r="C493" t="s">
        <v>1033</v>
      </c>
      <c r="D493">
        <v>33</v>
      </c>
      <c r="E493">
        <v>11</v>
      </c>
      <c r="F493" s="3">
        <v>69768</v>
      </c>
      <c r="G493">
        <v>41</v>
      </c>
      <c r="H493">
        <v>8</v>
      </c>
      <c r="I493">
        <v>23</v>
      </c>
      <c r="J493">
        <v>12</v>
      </c>
      <c r="K493">
        <v>2.7</v>
      </c>
      <c r="L493" s="3">
        <v>4.7</v>
      </c>
      <c r="M493" t="s">
        <v>1036</v>
      </c>
      <c r="N493">
        <v>49.63</v>
      </c>
    </row>
    <row r="494" spans="1:14" x14ac:dyDescent="0.3">
      <c r="A494" t="s">
        <v>504</v>
      </c>
      <c r="B494" t="s">
        <v>1018</v>
      </c>
      <c r="C494" t="s">
        <v>1028</v>
      </c>
      <c r="D494">
        <v>36</v>
      </c>
      <c r="E494">
        <v>6</v>
      </c>
      <c r="F494" s="3">
        <v>79718</v>
      </c>
      <c r="G494">
        <v>42</v>
      </c>
      <c r="H494">
        <v>14</v>
      </c>
      <c r="I494">
        <v>19</v>
      </c>
      <c r="J494">
        <v>22</v>
      </c>
      <c r="K494">
        <v>2.5</v>
      </c>
      <c r="L494" s="3">
        <v>3.7</v>
      </c>
      <c r="M494" t="s">
        <v>1036</v>
      </c>
      <c r="N494">
        <v>53.03</v>
      </c>
    </row>
    <row r="495" spans="1:14" x14ac:dyDescent="0.3">
      <c r="A495" t="s">
        <v>505</v>
      </c>
      <c r="B495" t="s">
        <v>1017</v>
      </c>
      <c r="C495" t="s">
        <v>1024</v>
      </c>
      <c r="D495">
        <v>22</v>
      </c>
      <c r="E495">
        <v>0</v>
      </c>
      <c r="F495" s="3">
        <v>80575</v>
      </c>
      <c r="G495">
        <v>50</v>
      </c>
      <c r="H495">
        <v>6</v>
      </c>
      <c r="I495">
        <v>19</v>
      </c>
      <c r="J495">
        <v>20</v>
      </c>
      <c r="K495">
        <v>3.5</v>
      </c>
      <c r="L495" s="3">
        <v>9.9</v>
      </c>
      <c r="M495" t="s">
        <v>1034</v>
      </c>
      <c r="N495">
        <v>79.900000000000006</v>
      </c>
    </row>
    <row r="496" spans="1:14" x14ac:dyDescent="0.3">
      <c r="A496" t="s">
        <v>506</v>
      </c>
      <c r="B496" t="s">
        <v>1016</v>
      </c>
      <c r="C496" t="s">
        <v>1022</v>
      </c>
      <c r="D496">
        <v>53</v>
      </c>
      <c r="E496">
        <v>5</v>
      </c>
      <c r="F496" s="3">
        <v>89513</v>
      </c>
      <c r="G496">
        <v>51</v>
      </c>
      <c r="H496">
        <v>5</v>
      </c>
      <c r="I496">
        <v>12</v>
      </c>
      <c r="J496">
        <v>14</v>
      </c>
      <c r="K496">
        <v>4.3</v>
      </c>
      <c r="L496" s="3">
        <v>3.9</v>
      </c>
      <c r="M496" t="s">
        <v>1036</v>
      </c>
      <c r="N496">
        <v>44.63</v>
      </c>
    </row>
    <row r="497" spans="1:14" x14ac:dyDescent="0.3">
      <c r="A497" t="s">
        <v>507</v>
      </c>
      <c r="B497" t="s">
        <v>1017</v>
      </c>
      <c r="C497" t="s">
        <v>1024</v>
      </c>
      <c r="D497">
        <v>52</v>
      </c>
      <c r="E497">
        <v>1</v>
      </c>
      <c r="F497" s="3">
        <v>57930</v>
      </c>
      <c r="G497">
        <v>46</v>
      </c>
      <c r="H497">
        <v>7</v>
      </c>
      <c r="I497">
        <v>21</v>
      </c>
      <c r="J497">
        <v>11</v>
      </c>
      <c r="K497">
        <v>3.4</v>
      </c>
      <c r="L497" s="3">
        <v>3.8</v>
      </c>
      <c r="M497" t="s">
        <v>1036</v>
      </c>
      <c r="N497">
        <v>44.67</v>
      </c>
    </row>
    <row r="498" spans="1:14" x14ac:dyDescent="0.3">
      <c r="A498" t="s">
        <v>508</v>
      </c>
      <c r="B498" t="s">
        <v>1017</v>
      </c>
      <c r="C498" t="s">
        <v>1026</v>
      </c>
      <c r="D498">
        <v>42</v>
      </c>
      <c r="E498">
        <v>0</v>
      </c>
      <c r="F498" s="3">
        <v>25774</v>
      </c>
      <c r="G498">
        <v>41</v>
      </c>
      <c r="H498">
        <v>7</v>
      </c>
      <c r="I498">
        <v>18</v>
      </c>
      <c r="J498">
        <v>6</v>
      </c>
      <c r="K498">
        <v>3</v>
      </c>
      <c r="L498" s="3">
        <v>7.3</v>
      </c>
      <c r="M498" t="s">
        <v>1035</v>
      </c>
      <c r="N498">
        <v>64.47</v>
      </c>
    </row>
    <row r="499" spans="1:14" x14ac:dyDescent="0.3">
      <c r="A499" t="s">
        <v>509</v>
      </c>
      <c r="B499" t="s">
        <v>1018</v>
      </c>
      <c r="C499" t="s">
        <v>1032</v>
      </c>
      <c r="D499">
        <v>38</v>
      </c>
      <c r="E499">
        <v>7</v>
      </c>
      <c r="F499" s="3">
        <v>42655</v>
      </c>
      <c r="G499">
        <v>50</v>
      </c>
      <c r="H499">
        <v>10</v>
      </c>
      <c r="I499">
        <v>10</v>
      </c>
      <c r="J499">
        <v>23</v>
      </c>
      <c r="K499">
        <v>2.6</v>
      </c>
      <c r="L499" s="3">
        <v>6</v>
      </c>
      <c r="M499" t="s">
        <v>1035</v>
      </c>
      <c r="N499">
        <v>60.47</v>
      </c>
    </row>
    <row r="500" spans="1:14" x14ac:dyDescent="0.3">
      <c r="A500" t="s">
        <v>510</v>
      </c>
      <c r="B500" t="s">
        <v>1016</v>
      </c>
      <c r="C500" t="s">
        <v>1023</v>
      </c>
      <c r="D500">
        <v>45</v>
      </c>
      <c r="E500">
        <v>12</v>
      </c>
      <c r="F500" s="3">
        <v>43325</v>
      </c>
      <c r="G500">
        <v>49</v>
      </c>
      <c r="H500">
        <v>3</v>
      </c>
      <c r="I500">
        <v>18</v>
      </c>
      <c r="J500">
        <v>8</v>
      </c>
      <c r="K500">
        <v>4.9000000000000004</v>
      </c>
      <c r="L500" s="3">
        <v>7.8</v>
      </c>
      <c r="M500" t="s">
        <v>1035</v>
      </c>
      <c r="N500">
        <v>66.5</v>
      </c>
    </row>
    <row r="501" spans="1:14" x14ac:dyDescent="0.3">
      <c r="A501" t="s">
        <v>511</v>
      </c>
      <c r="B501" t="s">
        <v>1016</v>
      </c>
      <c r="C501" t="s">
        <v>1033</v>
      </c>
      <c r="D501">
        <v>37</v>
      </c>
      <c r="E501">
        <v>13</v>
      </c>
      <c r="F501" s="3">
        <v>81119</v>
      </c>
      <c r="G501">
        <v>47</v>
      </c>
      <c r="H501">
        <v>4</v>
      </c>
      <c r="I501">
        <v>4</v>
      </c>
      <c r="J501">
        <v>9</v>
      </c>
      <c r="K501">
        <v>3.4</v>
      </c>
      <c r="L501" s="3">
        <v>3.1</v>
      </c>
      <c r="M501" t="s">
        <v>1036</v>
      </c>
      <c r="N501">
        <v>35.47</v>
      </c>
    </row>
    <row r="502" spans="1:14" x14ac:dyDescent="0.3">
      <c r="A502" t="s">
        <v>512</v>
      </c>
      <c r="B502" t="s">
        <v>1017</v>
      </c>
      <c r="C502" t="s">
        <v>1030</v>
      </c>
      <c r="D502">
        <v>30</v>
      </c>
      <c r="E502">
        <v>8</v>
      </c>
      <c r="F502" s="3">
        <v>59995</v>
      </c>
      <c r="G502">
        <v>45</v>
      </c>
      <c r="H502">
        <v>13</v>
      </c>
      <c r="I502">
        <v>15</v>
      </c>
      <c r="J502">
        <v>19</v>
      </c>
      <c r="K502">
        <v>2.8</v>
      </c>
      <c r="L502" s="3">
        <v>9</v>
      </c>
      <c r="M502" t="s">
        <v>1034</v>
      </c>
      <c r="N502">
        <v>84.07</v>
      </c>
    </row>
    <row r="503" spans="1:14" x14ac:dyDescent="0.3">
      <c r="A503" t="s">
        <v>513</v>
      </c>
      <c r="B503" t="s">
        <v>1017</v>
      </c>
      <c r="C503" t="s">
        <v>1024</v>
      </c>
      <c r="D503">
        <v>28</v>
      </c>
      <c r="E503">
        <v>2</v>
      </c>
      <c r="F503" s="3">
        <v>28934</v>
      </c>
      <c r="G503">
        <v>41</v>
      </c>
      <c r="H503">
        <v>14</v>
      </c>
      <c r="I503">
        <v>8</v>
      </c>
      <c r="J503">
        <v>30</v>
      </c>
      <c r="K503">
        <v>4.5</v>
      </c>
      <c r="L503" s="3">
        <v>3.7</v>
      </c>
      <c r="M503" t="s">
        <v>1036</v>
      </c>
      <c r="N503">
        <v>59.03</v>
      </c>
    </row>
    <row r="504" spans="1:14" x14ac:dyDescent="0.3">
      <c r="A504" t="s">
        <v>514</v>
      </c>
      <c r="B504" t="s">
        <v>1016</v>
      </c>
      <c r="C504" t="s">
        <v>1033</v>
      </c>
      <c r="D504">
        <v>38</v>
      </c>
      <c r="E504">
        <v>11</v>
      </c>
      <c r="F504" s="3">
        <v>48613</v>
      </c>
      <c r="G504">
        <v>52</v>
      </c>
      <c r="H504">
        <v>9</v>
      </c>
      <c r="I504">
        <v>25</v>
      </c>
      <c r="J504">
        <v>16</v>
      </c>
      <c r="K504">
        <v>3</v>
      </c>
      <c r="L504" s="3">
        <v>5.9</v>
      </c>
      <c r="M504" t="s">
        <v>1036</v>
      </c>
      <c r="N504">
        <v>59.4</v>
      </c>
    </row>
    <row r="505" spans="1:14" x14ac:dyDescent="0.3">
      <c r="A505" t="s">
        <v>515</v>
      </c>
      <c r="B505" t="s">
        <v>1015</v>
      </c>
      <c r="C505" t="s">
        <v>1021</v>
      </c>
      <c r="D505">
        <v>34</v>
      </c>
      <c r="E505">
        <v>9</v>
      </c>
      <c r="F505" s="3">
        <v>62741</v>
      </c>
      <c r="G505">
        <v>55</v>
      </c>
      <c r="H505">
        <v>11</v>
      </c>
      <c r="I505">
        <v>17</v>
      </c>
      <c r="J505">
        <v>11</v>
      </c>
      <c r="K505">
        <v>4.9000000000000004</v>
      </c>
      <c r="L505" s="3">
        <v>5</v>
      </c>
      <c r="M505" t="s">
        <v>1036</v>
      </c>
      <c r="N505">
        <v>63.03</v>
      </c>
    </row>
    <row r="506" spans="1:14" x14ac:dyDescent="0.3">
      <c r="A506" t="s">
        <v>516</v>
      </c>
      <c r="B506" t="s">
        <v>1015</v>
      </c>
      <c r="C506" t="s">
        <v>1029</v>
      </c>
      <c r="D506">
        <v>53</v>
      </c>
      <c r="E506">
        <v>14</v>
      </c>
      <c r="F506" s="3">
        <v>83302</v>
      </c>
      <c r="G506">
        <v>37</v>
      </c>
      <c r="H506">
        <v>7</v>
      </c>
      <c r="I506">
        <v>19</v>
      </c>
      <c r="J506">
        <v>18</v>
      </c>
      <c r="K506">
        <v>3.4</v>
      </c>
      <c r="L506" s="3">
        <v>9.6999999999999993</v>
      </c>
      <c r="M506" t="s">
        <v>1034</v>
      </c>
      <c r="N506">
        <v>80.069999999999993</v>
      </c>
    </row>
    <row r="507" spans="1:14" x14ac:dyDescent="0.3">
      <c r="A507" t="s">
        <v>517</v>
      </c>
      <c r="B507" t="s">
        <v>1016</v>
      </c>
      <c r="C507" t="s">
        <v>1033</v>
      </c>
      <c r="D507">
        <v>48</v>
      </c>
      <c r="E507">
        <v>12</v>
      </c>
      <c r="F507" s="3">
        <v>80633</v>
      </c>
      <c r="G507">
        <v>37</v>
      </c>
      <c r="H507">
        <v>2</v>
      </c>
      <c r="I507">
        <v>5</v>
      </c>
      <c r="J507">
        <v>21</v>
      </c>
      <c r="K507">
        <v>2.7</v>
      </c>
      <c r="L507" s="3">
        <v>5.2</v>
      </c>
      <c r="M507" t="s">
        <v>1036</v>
      </c>
      <c r="N507">
        <v>42.63</v>
      </c>
    </row>
    <row r="508" spans="1:14" x14ac:dyDescent="0.3">
      <c r="A508" t="s">
        <v>518</v>
      </c>
      <c r="B508" t="s">
        <v>1016</v>
      </c>
      <c r="C508" t="s">
        <v>1023</v>
      </c>
      <c r="D508">
        <v>47</v>
      </c>
      <c r="E508">
        <v>8</v>
      </c>
      <c r="F508" s="3">
        <v>83175</v>
      </c>
      <c r="G508">
        <v>49</v>
      </c>
      <c r="H508">
        <v>13</v>
      </c>
      <c r="I508">
        <v>11</v>
      </c>
      <c r="J508">
        <v>37</v>
      </c>
      <c r="K508">
        <v>3.6</v>
      </c>
      <c r="L508" s="3">
        <v>6.2</v>
      </c>
      <c r="M508" t="s">
        <v>1035</v>
      </c>
      <c r="N508">
        <v>69.67</v>
      </c>
    </row>
    <row r="509" spans="1:14" x14ac:dyDescent="0.3">
      <c r="A509" t="s">
        <v>519</v>
      </c>
      <c r="B509" t="s">
        <v>1018</v>
      </c>
      <c r="C509" t="s">
        <v>1028</v>
      </c>
      <c r="D509">
        <v>23</v>
      </c>
      <c r="E509">
        <v>0</v>
      </c>
      <c r="F509" s="3">
        <v>72695</v>
      </c>
      <c r="G509">
        <v>42</v>
      </c>
      <c r="H509">
        <v>11</v>
      </c>
      <c r="I509">
        <v>8</v>
      </c>
      <c r="J509">
        <v>5</v>
      </c>
      <c r="K509">
        <v>2.6</v>
      </c>
      <c r="L509" s="3">
        <v>5.8</v>
      </c>
      <c r="M509" t="s">
        <v>1036</v>
      </c>
      <c r="N509">
        <v>60.93</v>
      </c>
    </row>
    <row r="510" spans="1:14" x14ac:dyDescent="0.3">
      <c r="A510" t="s">
        <v>520</v>
      </c>
      <c r="B510" t="s">
        <v>1014</v>
      </c>
      <c r="C510" t="s">
        <v>1019</v>
      </c>
      <c r="D510">
        <v>52</v>
      </c>
      <c r="E510">
        <v>1</v>
      </c>
      <c r="F510" s="3">
        <v>26727</v>
      </c>
      <c r="G510">
        <v>47</v>
      </c>
      <c r="H510">
        <v>9</v>
      </c>
      <c r="I510">
        <v>24</v>
      </c>
      <c r="J510">
        <v>5</v>
      </c>
      <c r="K510">
        <v>2.2999999999999998</v>
      </c>
      <c r="L510" s="3">
        <v>7.3</v>
      </c>
      <c r="M510" t="s">
        <v>1035</v>
      </c>
      <c r="N510">
        <v>65.7</v>
      </c>
    </row>
    <row r="511" spans="1:14" x14ac:dyDescent="0.3">
      <c r="A511" t="s">
        <v>521</v>
      </c>
      <c r="B511" t="s">
        <v>1017</v>
      </c>
      <c r="C511" t="s">
        <v>1030</v>
      </c>
      <c r="D511">
        <v>41</v>
      </c>
      <c r="E511">
        <v>7</v>
      </c>
      <c r="F511" s="3">
        <v>41213</v>
      </c>
      <c r="G511">
        <v>44</v>
      </c>
      <c r="H511">
        <v>8</v>
      </c>
      <c r="I511">
        <v>20</v>
      </c>
      <c r="J511">
        <v>8</v>
      </c>
      <c r="K511">
        <v>2.4</v>
      </c>
      <c r="L511" s="3">
        <v>8.9</v>
      </c>
      <c r="M511" t="s">
        <v>1034</v>
      </c>
      <c r="N511">
        <v>73.930000000000007</v>
      </c>
    </row>
    <row r="512" spans="1:14" x14ac:dyDescent="0.3">
      <c r="A512" t="s">
        <v>522</v>
      </c>
      <c r="B512" t="s">
        <v>1014</v>
      </c>
      <c r="C512" t="s">
        <v>1025</v>
      </c>
      <c r="D512">
        <v>44</v>
      </c>
      <c r="E512">
        <v>10</v>
      </c>
      <c r="F512" s="3">
        <v>81638</v>
      </c>
      <c r="G512">
        <v>50</v>
      </c>
      <c r="H512">
        <v>8</v>
      </c>
      <c r="I512">
        <v>17</v>
      </c>
      <c r="J512">
        <v>17</v>
      </c>
      <c r="K512">
        <v>3.6</v>
      </c>
      <c r="L512" s="3">
        <v>3.9</v>
      </c>
      <c r="M512" t="s">
        <v>1036</v>
      </c>
      <c r="N512">
        <v>47.53</v>
      </c>
    </row>
    <row r="513" spans="1:14" x14ac:dyDescent="0.3">
      <c r="A513" t="s">
        <v>523</v>
      </c>
      <c r="B513" t="s">
        <v>1015</v>
      </c>
      <c r="C513" t="s">
        <v>1020</v>
      </c>
      <c r="D513">
        <v>33</v>
      </c>
      <c r="E513">
        <v>9</v>
      </c>
      <c r="F513" s="3">
        <v>64163</v>
      </c>
      <c r="G513">
        <v>49</v>
      </c>
      <c r="H513">
        <v>11</v>
      </c>
      <c r="I513">
        <v>23</v>
      </c>
      <c r="J513">
        <v>40</v>
      </c>
      <c r="K513">
        <v>4.5999999999999996</v>
      </c>
      <c r="L513" s="3">
        <v>6</v>
      </c>
      <c r="M513" t="s">
        <v>1035</v>
      </c>
      <c r="N513">
        <v>68.13</v>
      </c>
    </row>
    <row r="514" spans="1:14" x14ac:dyDescent="0.3">
      <c r="A514" t="s">
        <v>524</v>
      </c>
      <c r="B514" t="s">
        <v>1015</v>
      </c>
      <c r="C514" t="s">
        <v>1021</v>
      </c>
      <c r="D514">
        <v>41</v>
      </c>
      <c r="E514">
        <v>11</v>
      </c>
      <c r="F514" s="3">
        <v>56565</v>
      </c>
      <c r="G514">
        <v>52</v>
      </c>
      <c r="H514">
        <v>4</v>
      </c>
      <c r="I514">
        <v>25</v>
      </c>
      <c r="J514">
        <v>5</v>
      </c>
      <c r="K514">
        <v>3.3</v>
      </c>
      <c r="L514" s="3">
        <v>5.6</v>
      </c>
      <c r="M514" t="s">
        <v>1036</v>
      </c>
      <c r="N514">
        <v>50.17</v>
      </c>
    </row>
    <row r="515" spans="1:14" x14ac:dyDescent="0.3">
      <c r="A515" t="s">
        <v>525</v>
      </c>
      <c r="B515" t="s">
        <v>1018</v>
      </c>
      <c r="C515" t="s">
        <v>1028</v>
      </c>
      <c r="D515">
        <v>41</v>
      </c>
      <c r="E515">
        <v>0</v>
      </c>
      <c r="F515" s="3">
        <v>25006</v>
      </c>
      <c r="G515">
        <v>51</v>
      </c>
      <c r="H515">
        <v>14</v>
      </c>
      <c r="I515">
        <v>24</v>
      </c>
      <c r="J515">
        <v>8</v>
      </c>
      <c r="K515">
        <v>3</v>
      </c>
      <c r="L515" s="3">
        <v>6.3</v>
      </c>
      <c r="M515" t="s">
        <v>1035</v>
      </c>
      <c r="N515">
        <v>70.13</v>
      </c>
    </row>
    <row r="516" spans="1:14" x14ac:dyDescent="0.3">
      <c r="A516" t="s">
        <v>526</v>
      </c>
      <c r="B516" t="s">
        <v>1017</v>
      </c>
      <c r="C516" t="s">
        <v>1026</v>
      </c>
      <c r="D516">
        <v>52</v>
      </c>
      <c r="E516">
        <v>9</v>
      </c>
      <c r="F516" s="3">
        <v>25598</v>
      </c>
      <c r="G516">
        <v>48</v>
      </c>
      <c r="H516">
        <v>13</v>
      </c>
      <c r="I516">
        <v>9</v>
      </c>
      <c r="J516">
        <v>38</v>
      </c>
      <c r="K516">
        <v>2.7</v>
      </c>
      <c r="L516" s="3">
        <v>3.1</v>
      </c>
      <c r="M516" t="s">
        <v>1036</v>
      </c>
      <c r="N516">
        <v>48.37</v>
      </c>
    </row>
    <row r="517" spans="1:14" x14ac:dyDescent="0.3">
      <c r="A517" t="s">
        <v>527</v>
      </c>
      <c r="B517" t="s">
        <v>1018</v>
      </c>
      <c r="C517" t="s">
        <v>1028</v>
      </c>
      <c r="D517">
        <v>48</v>
      </c>
      <c r="E517">
        <v>13</v>
      </c>
      <c r="F517" s="3">
        <v>50870</v>
      </c>
      <c r="G517">
        <v>42</v>
      </c>
      <c r="H517">
        <v>3</v>
      </c>
      <c r="I517">
        <v>22</v>
      </c>
      <c r="J517">
        <v>24</v>
      </c>
      <c r="K517">
        <v>4.5</v>
      </c>
      <c r="L517" s="3">
        <v>4.5</v>
      </c>
      <c r="M517" t="s">
        <v>1036</v>
      </c>
      <c r="N517">
        <v>45.5</v>
      </c>
    </row>
    <row r="518" spans="1:14" x14ac:dyDescent="0.3">
      <c r="A518" t="s">
        <v>528</v>
      </c>
      <c r="B518" t="s">
        <v>1017</v>
      </c>
      <c r="C518" t="s">
        <v>1030</v>
      </c>
      <c r="D518">
        <v>37</v>
      </c>
      <c r="E518">
        <v>8</v>
      </c>
      <c r="F518" s="3">
        <v>43656</v>
      </c>
      <c r="G518">
        <v>55</v>
      </c>
      <c r="H518">
        <v>12</v>
      </c>
      <c r="I518">
        <v>17</v>
      </c>
      <c r="J518">
        <v>17</v>
      </c>
      <c r="K518">
        <v>3.2</v>
      </c>
      <c r="L518" s="3">
        <v>9</v>
      </c>
      <c r="M518" t="s">
        <v>1034</v>
      </c>
      <c r="N518">
        <v>83.6</v>
      </c>
    </row>
    <row r="519" spans="1:14" x14ac:dyDescent="0.3">
      <c r="A519" t="s">
        <v>529</v>
      </c>
      <c r="B519" t="s">
        <v>1018</v>
      </c>
      <c r="C519" t="s">
        <v>1032</v>
      </c>
      <c r="D519">
        <v>40</v>
      </c>
      <c r="E519">
        <v>3</v>
      </c>
      <c r="F519" s="3">
        <v>66739</v>
      </c>
      <c r="G519">
        <v>49</v>
      </c>
      <c r="H519">
        <v>10</v>
      </c>
      <c r="I519">
        <v>14</v>
      </c>
      <c r="J519">
        <v>17</v>
      </c>
      <c r="K519">
        <v>4.0999999999999996</v>
      </c>
      <c r="L519" s="3">
        <v>6.4</v>
      </c>
      <c r="M519" t="s">
        <v>1035</v>
      </c>
      <c r="N519">
        <v>67.37</v>
      </c>
    </row>
    <row r="520" spans="1:14" x14ac:dyDescent="0.3">
      <c r="A520" t="s">
        <v>530</v>
      </c>
      <c r="B520" t="s">
        <v>1014</v>
      </c>
      <c r="C520" t="s">
        <v>1031</v>
      </c>
      <c r="D520">
        <v>31</v>
      </c>
      <c r="E520">
        <v>0</v>
      </c>
      <c r="F520" s="3">
        <v>88551</v>
      </c>
      <c r="G520">
        <v>52</v>
      </c>
      <c r="H520">
        <v>1</v>
      </c>
      <c r="I520">
        <v>5</v>
      </c>
      <c r="J520">
        <v>6</v>
      </c>
      <c r="K520">
        <v>2.8</v>
      </c>
      <c r="L520" s="3">
        <v>3.9</v>
      </c>
      <c r="M520" t="s">
        <v>1036</v>
      </c>
      <c r="N520">
        <v>33.47</v>
      </c>
    </row>
    <row r="521" spans="1:14" x14ac:dyDescent="0.3">
      <c r="A521" t="s">
        <v>531</v>
      </c>
      <c r="B521" t="s">
        <v>1014</v>
      </c>
      <c r="C521" t="s">
        <v>1031</v>
      </c>
      <c r="D521">
        <v>36</v>
      </c>
      <c r="E521">
        <v>2</v>
      </c>
      <c r="F521" s="3">
        <v>34875</v>
      </c>
      <c r="G521">
        <v>35</v>
      </c>
      <c r="H521">
        <v>8</v>
      </c>
      <c r="I521">
        <v>6</v>
      </c>
      <c r="J521">
        <v>21</v>
      </c>
      <c r="K521">
        <v>3.3</v>
      </c>
      <c r="L521" s="3">
        <v>8.5</v>
      </c>
      <c r="M521" t="s">
        <v>1034</v>
      </c>
      <c r="N521">
        <v>74.23</v>
      </c>
    </row>
    <row r="522" spans="1:14" x14ac:dyDescent="0.3">
      <c r="A522" t="s">
        <v>532</v>
      </c>
      <c r="B522" t="s">
        <v>1016</v>
      </c>
      <c r="C522" t="s">
        <v>1023</v>
      </c>
      <c r="D522">
        <v>51</v>
      </c>
      <c r="E522">
        <v>1</v>
      </c>
      <c r="F522" s="3">
        <v>46643</v>
      </c>
      <c r="G522">
        <v>37</v>
      </c>
      <c r="H522">
        <v>14</v>
      </c>
      <c r="I522">
        <v>24</v>
      </c>
      <c r="J522">
        <v>9</v>
      </c>
      <c r="K522">
        <v>2.2000000000000002</v>
      </c>
      <c r="L522" s="3">
        <v>8.4</v>
      </c>
      <c r="M522" t="s">
        <v>1034</v>
      </c>
      <c r="N522">
        <v>80.33</v>
      </c>
    </row>
    <row r="523" spans="1:14" x14ac:dyDescent="0.3">
      <c r="A523" t="s">
        <v>533</v>
      </c>
      <c r="B523" t="s">
        <v>1015</v>
      </c>
      <c r="C523" t="s">
        <v>1029</v>
      </c>
      <c r="D523">
        <v>52</v>
      </c>
      <c r="E523">
        <v>5</v>
      </c>
      <c r="F523" s="3">
        <v>37595</v>
      </c>
      <c r="G523">
        <v>43</v>
      </c>
      <c r="H523">
        <v>14</v>
      </c>
      <c r="I523">
        <v>12</v>
      </c>
      <c r="J523">
        <v>0</v>
      </c>
      <c r="K523">
        <v>2.4</v>
      </c>
      <c r="L523" s="3">
        <v>8.4</v>
      </c>
      <c r="M523" t="s">
        <v>1034</v>
      </c>
      <c r="N523">
        <v>80.930000000000007</v>
      </c>
    </row>
    <row r="524" spans="1:14" x14ac:dyDescent="0.3">
      <c r="A524" t="s">
        <v>534</v>
      </c>
      <c r="B524" t="s">
        <v>1017</v>
      </c>
      <c r="C524" t="s">
        <v>1026</v>
      </c>
      <c r="D524">
        <v>50</v>
      </c>
      <c r="E524">
        <v>7</v>
      </c>
      <c r="F524" s="3">
        <v>73340</v>
      </c>
      <c r="G524">
        <v>36</v>
      </c>
      <c r="H524">
        <v>4</v>
      </c>
      <c r="I524">
        <v>14</v>
      </c>
      <c r="J524">
        <v>6</v>
      </c>
      <c r="K524">
        <v>3.6</v>
      </c>
      <c r="L524" s="3">
        <v>9.9</v>
      </c>
      <c r="M524" t="s">
        <v>1034</v>
      </c>
      <c r="N524">
        <v>76.87</v>
      </c>
    </row>
    <row r="525" spans="1:14" x14ac:dyDescent="0.3">
      <c r="A525" t="s">
        <v>535</v>
      </c>
      <c r="B525" t="s">
        <v>1017</v>
      </c>
      <c r="C525" t="s">
        <v>1024</v>
      </c>
      <c r="D525">
        <v>41</v>
      </c>
      <c r="E525">
        <v>10</v>
      </c>
      <c r="F525" s="3">
        <v>35394</v>
      </c>
      <c r="G525">
        <v>55</v>
      </c>
      <c r="H525">
        <v>12</v>
      </c>
      <c r="I525">
        <v>1</v>
      </c>
      <c r="J525">
        <v>35</v>
      </c>
      <c r="K525">
        <v>3.6</v>
      </c>
      <c r="L525" s="3">
        <v>4.8</v>
      </c>
      <c r="M525" t="s">
        <v>1036</v>
      </c>
      <c r="N525">
        <v>59.6</v>
      </c>
    </row>
    <row r="526" spans="1:14" x14ac:dyDescent="0.3">
      <c r="A526" t="s">
        <v>536</v>
      </c>
      <c r="B526" t="s">
        <v>1016</v>
      </c>
      <c r="C526" t="s">
        <v>1033</v>
      </c>
      <c r="D526">
        <v>34</v>
      </c>
      <c r="E526">
        <v>5</v>
      </c>
      <c r="F526" s="3">
        <v>83164</v>
      </c>
      <c r="G526">
        <v>36</v>
      </c>
      <c r="H526">
        <v>14</v>
      </c>
      <c r="I526">
        <v>21</v>
      </c>
      <c r="J526">
        <v>13</v>
      </c>
      <c r="K526">
        <v>4.9000000000000004</v>
      </c>
      <c r="L526" s="3">
        <v>4.7</v>
      </c>
      <c r="M526" t="s">
        <v>1036</v>
      </c>
      <c r="N526">
        <v>66.23</v>
      </c>
    </row>
    <row r="527" spans="1:14" x14ac:dyDescent="0.3">
      <c r="A527" t="s">
        <v>537</v>
      </c>
      <c r="B527" t="s">
        <v>1016</v>
      </c>
      <c r="C527" t="s">
        <v>1023</v>
      </c>
      <c r="D527">
        <v>22</v>
      </c>
      <c r="E527">
        <v>0</v>
      </c>
      <c r="F527" s="3">
        <v>77061</v>
      </c>
      <c r="G527">
        <v>43</v>
      </c>
      <c r="H527">
        <v>10</v>
      </c>
      <c r="I527">
        <v>3</v>
      </c>
      <c r="J527">
        <v>25</v>
      </c>
      <c r="K527">
        <v>4.4000000000000004</v>
      </c>
      <c r="L527" s="3">
        <v>3.1</v>
      </c>
      <c r="M527" t="s">
        <v>1036</v>
      </c>
      <c r="N527">
        <v>48.47</v>
      </c>
    </row>
    <row r="528" spans="1:14" x14ac:dyDescent="0.3">
      <c r="A528" t="s">
        <v>538</v>
      </c>
      <c r="B528" t="s">
        <v>1015</v>
      </c>
      <c r="C528" t="s">
        <v>1020</v>
      </c>
      <c r="D528">
        <v>52</v>
      </c>
      <c r="E528">
        <v>4</v>
      </c>
      <c r="F528" s="3">
        <v>49339</v>
      </c>
      <c r="G528">
        <v>37</v>
      </c>
      <c r="H528">
        <v>4</v>
      </c>
      <c r="I528">
        <v>5</v>
      </c>
      <c r="J528">
        <v>31</v>
      </c>
      <c r="K528">
        <v>2.2999999999999998</v>
      </c>
      <c r="L528" s="3">
        <v>7.3</v>
      </c>
      <c r="M528" t="s">
        <v>1035</v>
      </c>
      <c r="N528">
        <v>57.37</v>
      </c>
    </row>
    <row r="529" spans="1:14" x14ac:dyDescent="0.3">
      <c r="A529" t="s">
        <v>539</v>
      </c>
      <c r="B529" t="s">
        <v>1014</v>
      </c>
      <c r="C529" t="s">
        <v>1025</v>
      </c>
      <c r="D529">
        <v>25</v>
      </c>
      <c r="E529">
        <v>2</v>
      </c>
      <c r="F529" s="3">
        <v>67242</v>
      </c>
      <c r="G529">
        <v>39</v>
      </c>
      <c r="H529">
        <v>12</v>
      </c>
      <c r="I529">
        <v>17</v>
      </c>
      <c r="J529">
        <v>6</v>
      </c>
      <c r="K529">
        <v>2.4</v>
      </c>
      <c r="L529" s="3">
        <v>4.5999999999999996</v>
      </c>
      <c r="M529" t="s">
        <v>1036</v>
      </c>
      <c r="N529">
        <v>54.8</v>
      </c>
    </row>
    <row r="530" spans="1:14" x14ac:dyDescent="0.3">
      <c r="A530" t="s">
        <v>540</v>
      </c>
      <c r="B530" t="s">
        <v>1016</v>
      </c>
      <c r="C530" t="s">
        <v>1022</v>
      </c>
      <c r="D530">
        <v>50</v>
      </c>
      <c r="E530">
        <v>6</v>
      </c>
      <c r="F530" s="3">
        <v>26399</v>
      </c>
      <c r="G530">
        <v>47</v>
      </c>
      <c r="H530">
        <v>6</v>
      </c>
      <c r="I530">
        <v>23</v>
      </c>
      <c r="J530">
        <v>8</v>
      </c>
      <c r="K530">
        <v>2.8</v>
      </c>
      <c r="L530" s="3">
        <v>3.3</v>
      </c>
      <c r="M530" t="s">
        <v>1036</v>
      </c>
      <c r="N530">
        <v>38.200000000000003</v>
      </c>
    </row>
    <row r="531" spans="1:14" x14ac:dyDescent="0.3">
      <c r="A531" t="s">
        <v>541</v>
      </c>
      <c r="B531" t="s">
        <v>1017</v>
      </c>
      <c r="C531" t="s">
        <v>1024</v>
      </c>
      <c r="D531">
        <v>40</v>
      </c>
      <c r="E531">
        <v>15</v>
      </c>
      <c r="F531" s="3">
        <v>37437</v>
      </c>
      <c r="G531">
        <v>53</v>
      </c>
      <c r="H531">
        <v>3</v>
      </c>
      <c r="I531">
        <v>17</v>
      </c>
      <c r="J531">
        <v>22</v>
      </c>
      <c r="K531">
        <v>3</v>
      </c>
      <c r="L531" s="3">
        <v>6.3</v>
      </c>
      <c r="M531" t="s">
        <v>1035</v>
      </c>
      <c r="N531">
        <v>51.8</v>
      </c>
    </row>
    <row r="532" spans="1:14" x14ac:dyDescent="0.3">
      <c r="A532" t="s">
        <v>542</v>
      </c>
      <c r="B532" t="s">
        <v>1015</v>
      </c>
      <c r="C532" t="s">
        <v>1020</v>
      </c>
      <c r="D532">
        <v>32</v>
      </c>
      <c r="E532">
        <v>1</v>
      </c>
      <c r="F532" s="3">
        <v>59808</v>
      </c>
      <c r="G532">
        <v>39</v>
      </c>
      <c r="H532">
        <v>8</v>
      </c>
      <c r="I532">
        <v>9</v>
      </c>
      <c r="J532">
        <v>16</v>
      </c>
      <c r="K532">
        <v>3.6</v>
      </c>
      <c r="L532" s="3">
        <v>6.2</v>
      </c>
      <c r="M532" t="s">
        <v>1035</v>
      </c>
      <c r="N532">
        <v>61.33</v>
      </c>
    </row>
    <row r="533" spans="1:14" x14ac:dyDescent="0.3">
      <c r="A533" t="s">
        <v>543</v>
      </c>
      <c r="B533" t="s">
        <v>1015</v>
      </c>
      <c r="C533" t="s">
        <v>1020</v>
      </c>
      <c r="D533">
        <v>46</v>
      </c>
      <c r="E533">
        <v>5</v>
      </c>
      <c r="F533" s="3">
        <v>82863</v>
      </c>
      <c r="G533">
        <v>35</v>
      </c>
      <c r="H533">
        <v>10</v>
      </c>
      <c r="I533">
        <v>11</v>
      </c>
      <c r="J533">
        <v>39</v>
      </c>
      <c r="K533">
        <v>2.7</v>
      </c>
      <c r="L533" s="3">
        <v>8</v>
      </c>
      <c r="M533" t="s">
        <v>1034</v>
      </c>
      <c r="N533">
        <v>72.77</v>
      </c>
    </row>
    <row r="534" spans="1:14" x14ac:dyDescent="0.3">
      <c r="A534" t="s">
        <v>544</v>
      </c>
      <c r="B534" t="s">
        <v>1015</v>
      </c>
      <c r="C534" t="s">
        <v>1020</v>
      </c>
      <c r="D534">
        <v>46</v>
      </c>
      <c r="E534">
        <v>6</v>
      </c>
      <c r="F534" s="3">
        <v>59345</v>
      </c>
      <c r="G534">
        <v>50</v>
      </c>
      <c r="H534">
        <v>13</v>
      </c>
      <c r="I534">
        <v>17</v>
      </c>
      <c r="J534">
        <v>9</v>
      </c>
      <c r="K534">
        <v>3.8</v>
      </c>
      <c r="L534" s="3">
        <v>5.3</v>
      </c>
      <c r="M534" t="s">
        <v>1036</v>
      </c>
      <c r="N534">
        <v>64.87</v>
      </c>
    </row>
    <row r="535" spans="1:14" x14ac:dyDescent="0.3">
      <c r="A535" t="s">
        <v>545</v>
      </c>
      <c r="B535" t="s">
        <v>1016</v>
      </c>
      <c r="C535" t="s">
        <v>1033</v>
      </c>
      <c r="D535">
        <v>29</v>
      </c>
      <c r="E535">
        <v>1</v>
      </c>
      <c r="F535" s="3">
        <v>59288</v>
      </c>
      <c r="G535">
        <v>37</v>
      </c>
      <c r="H535">
        <v>1</v>
      </c>
      <c r="I535">
        <v>4</v>
      </c>
      <c r="J535">
        <v>11</v>
      </c>
      <c r="K535">
        <v>4.5999999999999996</v>
      </c>
      <c r="L535" s="3">
        <v>4.4000000000000004</v>
      </c>
      <c r="M535" t="s">
        <v>1036</v>
      </c>
      <c r="N535">
        <v>41.87</v>
      </c>
    </row>
    <row r="536" spans="1:14" x14ac:dyDescent="0.3">
      <c r="A536" t="s">
        <v>546</v>
      </c>
      <c r="B536" t="s">
        <v>1018</v>
      </c>
      <c r="C536" t="s">
        <v>1032</v>
      </c>
      <c r="D536">
        <v>28</v>
      </c>
      <c r="E536">
        <v>0</v>
      </c>
      <c r="F536" s="3">
        <v>62421</v>
      </c>
      <c r="G536">
        <v>55</v>
      </c>
      <c r="H536">
        <v>14</v>
      </c>
      <c r="I536">
        <v>12</v>
      </c>
      <c r="J536">
        <v>31</v>
      </c>
      <c r="K536">
        <v>3.6</v>
      </c>
      <c r="L536" s="3">
        <v>7.9</v>
      </c>
      <c r="M536" t="s">
        <v>1035</v>
      </c>
      <c r="N536">
        <v>81.53</v>
      </c>
    </row>
    <row r="537" spans="1:14" x14ac:dyDescent="0.3">
      <c r="A537" t="s">
        <v>547</v>
      </c>
      <c r="B537" t="s">
        <v>1014</v>
      </c>
      <c r="C537" t="s">
        <v>1031</v>
      </c>
      <c r="D537">
        <v>45</v>
      </c>
      <c r="E537">
        <v>7</v>
      </c>
      <c r="F537" s="3">
        <v>64711</v>
      </c>
      <c r="G537">
        <v>37</v>
      </c>
      <c r="H537">
        <v>1</v>
      </c>
      <c r="I537">
        <v>6</v>
      </c>
      <c r="J537">
        <v>31</v>
      </c>
      <c r="K537">
        <v>4.8</v>
      </c>
      <c r="L537" s="3">
        <v>8.8000000000000007</v>
      </c>
      <c r="M537" t="s">
        <v>1034</v>
      </c>
      <c r="N537">
        <v>68.87</v>
      </c>
    </row>
    <row r="538" spans="1:14" x14ac:dyDescent="0.3">
      <c r="A538" t="s">
        <v>548</v>
      </c>
      <c r="B538" t="s">
        <v>1014</v>
      </c>
      <c r="C538" t="s">
        <v>1019</v>
      </c>
      <c r="D538">
        <v>45</v>
      </c>
      <c r="E538">
        <v>13</v>
      </c>
      <c r="F538" s="3">
        <v>78872</v>
      </c>
      <c r="G538">
        <v>46</v>
      </c>
      <c r="H538">
        <v>13</v>
      </c>
      <c r="I538">
        <v>22</v>
      </c>
      <c r="J538">
        <v>3</v>
      </c>
      <c r="K538">
        <v>4.5</v>
      </c>
      <c r="L538" s="3">
        <v>4.9000000000000004</v>
      </c>
      <c r="M538" t="s">
        <v>1036</v>
      </c>
      <c r="N538">
        <v>64.569999999999993</v>
      </c>
    </row>
    <row r="539" spans="1:14" x14ac:dyDescent="0.3">
      <c r="A539" t="s">
        <v>549</v>
      </c>
      <c r="B539" t="s">
        <v>1014</v>
      </c>
      <c r="C539" t="s">
        <v>1019</v>
      </c>
      <c r="D539">
        <v>41</v>
      </c>
      <c r="E539">
        <v>2</v>
      </c>
      <c r="F539" s="3">
        <v>86905</v>
      </c>
      <c r="G539">
        <v>41</v>
      </c>
      <c r="H539">
        <v>9</v>
      </c>
      <c r="I539">
        <v>3</v>
      </c>
      <c r="J539">
        <v>6</v>
      </c>
      <c r="K539">
        <v>4.2</v>
      </c>
      <c r="L539" s="3">
        <v>6.7</v>
      </c>
      <c r="M539" t="s">
        <v>1035</v>
      </c>
      <c r="N539">
        <v>67.8</v>
      </c>
    </row>
    <row r="540" spans="1:14" x14ac:dyDescent="0.3">
      <c r="A540" t="s">
        <v>550</v>
      </c>
      <c r="B540" t="s">
        <v>1018</v>
      </c>
      <c r="C540" t="s">
        <v>1027</v>
      </c>
      <c r="D540">
        <v>55</v>
      </c>
      <c r="E540">
        <v>7</v>
      </c>
      <c r="F540" s="3">
        <v>62357</v>
      </c>
      <c r="G540">
        <v>55</v>
      </c>
      <c r="H540">
        <v>3</v>
      </c>
      <c r="I540">
        <v>17</v>
      </c>
      <c r="J540">
        <v>35</v>
      </c>
      <c r="K540">
        <v>3.2</v>
      </c>
      <c r="L540" s="3">
        <v>3.7</v>
      </c>
      <c r="M540" t="s">
        <v>1036</v>
      </c>
      <c r="N540">
        <v>36.799999999999997</v>
      </c>
    </row>
    <row r="541" spans="1:14" x14ac:dyDescent="0.3">
      <c r="A541" t="s">
        <v>551</v>
      </c>
      <c r="B541" t="s">
        <v>1015</v>
      </c>
      <c r="C541" t="s">
        <v>1020</v>
      </c>
      <c r="D541">
        <v>44</v>
      </c>
      <c r="E541">
        <v>14</v>
      </c>
      <c r="F541" s="3">
        <v>71042</v>
      </c>
      <c r="G541">
        <v>48</v>
      </c>
      <c r="H541">
        <v>15</v>
      </c>
      <c r="I541">
        <v>3</v>
      </c>
      <c r="J541">
        <v>10</v>
      </c>
      <c r="K541">
        <v>4.4000000000000004</v>
      </c>
      <c r="L541" s="3">
        <v>6.8</v>
      </c>
      <c r="M541" t="s">
        <v>1035</v>
      </c>
      <c r="N541">
        <v>79</v>
      </c>
    </row>
    <row r="542" spans="1:14" x14ac:dyDescent="0.3">
      <c r="A542" t="s">
        <v>552</v>
      </c>
      <c r="B542" t="s">
        <v>1016</v>
      </c>
      <c r="C542" t="s">
        <v>1033</v>
      </c>
      <c r="D542">
        <v>32</v>
      </c>
      <c r="E542">
        <v>8</v>
      </c>
      <c r="F542" s="3">
        <v>64316</v>
      </c>
      <c r="G542">
        <v>49</v>
      </c>
      <c r="H542">
        <v>15</v>
      </c>
      <c r="I542">
        <v>11</v>
      </c>
      <c r="J542">
        <v>20</v>
      </c>
      <c r="K542">
        <v>3.7</v>
      </c>
      <c r="L542" s="3">
        <v>10</v>
      </c>
      <c r="M542" t="s">
        <v>1034</v>
      </c>
      <c r="N542">
        <v>96.1</v>
      </c>
    </row>
    <row r="543" spans="1:14" x14ac:dyDescent="0.3">
      <c r="A543" t="s">
        <v>553</v>
      </c>
      <c r="B543" t="s">
        <v>1017</v>
      </c>
      <c r="C543" t="s">
        <v>1024</v>
      </c>
      <c r="D543">
        <v>49</v>
      </c>
      <c r="E543">
        <v>10</v>
      </c>
      <c r="F543" s="3">
        <v>64872</v>
      </c>
      <c r="G543">
        <v>42</v>
      </c>
      <c r="H543">
        <v>10</v>
      </c>
      <c r="I543">
        <v>17</v>
      </c>
      <c r="J543">
        <v>13</v>
      </c>
      <c r="K543">
        <v>3.1</v>
      </c>
      <c r="L543" s="3">
        <v>6.9</v>
      </c>
      <c r="M543" t="s">
        <v>1035</v>
      </c>
      <c r="N543">
        <v>67.37</v>
      </c>
    </row>
    <row r="544" spans="1:14" x14ac:dyDescent="0.3">
      <c r="A544" t="s">
        <v>554</v>
      </c>
      <c r="B544" t="s">
        <v>1016</v>
      </c>
      <c r="C544" t="s">
        <v>1022</v>
      </c>
      <c r="D544">
        <v>45</v>
      </c>
      <c r="E544">
        <v>14</v>
      </c>
      <c r="F544" s="3">
        <v>54327</v>
      </c>
      <c r="G544">
        <v>47</v>
      </c>
      <c r="H544">
        <v>1</v>
      </c>
      <c r="I544">
        <v>23</v>
      </c>
      <c r="J544">
        <v>2</v>
      </c>
      <c r="K544">
        <v>4.9000000000000004</v>
      </c>
      <c r="L544" s="3">
        <v>7.2</v>
      </c>
      <c r="M544" t="s">
        <v>1035</v>
      </c>
      <c r="N544">
        <v>59.57</v>
      </c>
    </row>
    <row r="545" spans="1:14" x14ac:dyDescent="0.3">
      <c r="A545" t="s">
        <v>555</v>
      </c>
      <c r="B545" t="s">
        <v>1018</v>
      </c>
      <c r="C545" t="s">
        <v>1032</v>
      </c>
      <c r="D545">
        <v>41</v>
      </c>
      <c r="E545">
        <v>0</v>
      </c>
      <c r="F545" s="3">
        <v>44682</v>
      </c>
      <c r="G545">
        <v>42</v>
      </c>
      <c r="H545">
        <v>4</v>
      </c>
      <c r="I545">
        <v>10</v>
      </c>
      <c r="J545">
        <v>1</v>
      </c>
      <c r="K545">
        <v>4.3</v>
      </c>
      <c r="L545" s="3">
        <v>9.6</v>
      </c>
      <c r="M545" t="s">
        <v>1034</v>
      </c>
      <c r="N545">
        <v>77.17</v>
      </c>
    </row>
    <row r="546" spans="1:14" x14ac:dyDescent="0.3">
      <c r="A546" t="s">
        <v>556</v>
      </c>
      <c r="B546" t="s">
        <v>1015</v>
      </c>
      <c r="C546" t="s">
        <v>1020</v>
      </c>
      <c r="D546">
        <v>54</v>
      </c>
      <c r="E546">
        <v>4</v>
      </c>
      <c r="F546" s="3">
        <v>31179</v>
      </c>
      <c r="G546">
        <v>36</v>
      </c>
      <c r="H546">
        <v>8</v>
      </c>
      <c r="I546">
        <v>11</v>
      </c>
      <c r="J546">
        <v>9</v>
      </c>
      <c r="K546">
        <v>2.4</v>
      </c>
      <c r="L546" s="3">
        <v>5.6</v>
      </c>
      <c r="M546" t="s">
        <v>1036</v>
      </c>
      <c r="N546">
        <v>54.13</v>
      </c>
    </row>
    <row r="547" spans="1:14" x14ac:dyDescent="0.3">
      <c r="A547" t="s">
        <v>557</v>
      </c>
      <c r="B547" t="s">
        <v>1018</v>
      </c>
      <c r="C547" t="s">
        <v>1028</v>
      </c>
      <c r="D547">
        <v>36</v>
      </c>
      <c r="E547">
        <v>8</v>
      </c>
      <c r="F547" s="3">
        <v>78154</v>
      </c>
      <c r="G547">
        <v>44</v>
      </c>
      <c r="H547">
        <v>2</v>
      </c>
      <c r="I547">
        <v>18</v>
      </c>
      <c r="J547">
        <v>25</v>
      </c>
      <c r="K547">
        <v>3.7</v>
      </c>
      <c r="L547" s="3">
        <v>4.5</v>
      </c>
      <c r="M547" t="s">
        <v>1036</v>
      </c>
      <c r="N547">
        <v>41.43</v>
      </c>
    </row>
    <row r="548" spans="1:14" x14ac:dyDescent="0.3">
      <c r="A548" t="s">
        <v>558</v>
      </c>
      <c r="B548" t="s">
        <v>1016</v>
      </c>
      <c r="C548" t="s">
        <v>1022</v>
      </c>
      <c r="D548">
        <v>52</v>
      </c>
      <c r="E548">
        <v>5</v>
      </c>
      <c r="F548" s="3">
        <v>56999</v>
      </c>
      <c r="G548">
        <v>53</v>
      </c>
      <c r="H548">
        <v>14</v>
      </c>
      <c r="I548">
        <v>3</v>
      </c>
      <c r="J548">
        <v>38</v>
      </c>
      <c r="K548">
        <v>3.9</v>
      </c>
      <c r="L548" s="3">
        <v>3.3</v>
      </c>
      <c r="M548" t="s">
        <v>1036</v>
      </c>
      <c r="N548">
        <v>54.83</v>
      </c>
    </row>
    <row r="549" spans="1:14" x14ac:dyDescent="0.3">
      <c r="A549" t="s">
        <v>559</v>
      </c>
      <c r="B549" t="s">
        <v>1017</v>
      </c>
      <c r="C549" t="s">
        <v>1030</v>
      </c>
      <c r="D549">
        <v>27</v>
      </c>
      <c r="E549">
        <v>6</v>
      </c>
      <c r="F549" s="3">
        <v>28664</v>
      </c>
      <c r="G549">
        <v>45</v>
      </c>
      <c r="H549">
        <v>6</v>
      </c>
      <c r="I549">
        <v>13</v>
      </c>
      <c r="J549">
        <v>26</v>
      </c>
      <c r="K549">
        <v>4.8</v>
      </c>
      <c r="L549" s="3">
        <v>3.8</v>
      </c>
      <c r="M549" t="s">
        <v>1036</v>
      </c>
      <c r="N549">
        <v>47.2</v>
      </c>
    </row>
    <row r="550" spans="1:14" x14ac:dyDescent="0.3">
      <c r="A550" t="s">
        <v>560</v>
      </c>
      <c r="B550" t="s">
        <v>1015</v>
      </c>
      <c r="C550" t="s">
        <v>1020</v>
      </c>
      <c r="D550">
        <v>22</v>
      </c>
      <c r="E550">
        <v>1</v>
      </c>
      <c r="F550" s="3">
        <v>28547</v>
      </c>
      <c r="G550">
        <v>44</v>
      </c>
      <c r="H550">
        <v>9</v>
      </c>
      <c r="I550">
        <v>1</v>
      </c>
      <c r="J550">
        <v>20</v>
      </c>
      <c r="K550">
        <v>3.6</v>
      </c>
      <c r="L550" s="3">
        <v>4</v>
      </c>
      <c r="M550" t="s">
        <v>1036</v>
      </c>
      <c r="N550">
        <v>49.8</v>
      </c>
    </row>
    <row r="551" spans="1:14" x14ac:dyDescent="0.3">
      <c r="A551" t="s">
        <v>561</v>
      </c>
      <c r="B551" t="s">
        <v>1018</v>
      </c>
      <c r="C551" t="s">
        <v>1032</v>
      </c>
      <c r="D551">
        <v>31</v>
      </c>
      <c r="E551">
        <v>0</v>
      </c>
      <c r="F551" s="3">
        <v>69147</v>
      </c>
      <c r="G551">
        <v>47</v>
      </c>
      <c r="H551">
        <v>8</v>
      </c>
      <c r="I551">
        <v>24</v>
      </c>
      <c r="J551">
        <v>38</v>
      </c>
      <c r="K551">
        <v>3.7</v>
      </c>
      <c r="L551" s="3">
        <v>3.6</v>
      </c>
      <c r="M551" t="s">
        <v>1036</v>
      </c>
      <c r="N551">
        <v>46.03</v>
      </c>
    </row>
    <row r="552" spans="1:14" x14ac:dyDescent="0.3">
      <c r="A552" t="s">
        <v>562</v>
      </c>
      <c r="B552" t="s">
        <v>1016</v>
      </c>
      <c r="C552" t="s">
        <v>1033</v>
      </c>
      <c r="D552">
        <v>47</v>
      </c>
      <c r="E552">
        <v>4</v>
      </c>
      <c r="F552" s="3">
        <v>33663</v>
      </c>
      <c r="G552">
        <v>45</v>
      </c>
      <c r="H552">
        <v>2</v>
      </c>
      <c r="I552">
        <v>15</v>
      </c>
      <c r="J552">
        <v>36</v>
      </c>
      <c r="K552">
        <v>4.2</v>
      </c>
      <c r="L552" s="3">
        <v>6.8</v>
      </c>
      <c r="M552" t="s">
        <v>1035</v>
      </c>
      <c r="N552">
        <v>56.73</v>
      </c>
    </row>
    <row r="553" spans="1:14" x14ac:dyDescent="0.3">
      <c r="A553" t="s">
        <v>563</v>
      </c>
      <c r="B553" t="s">
        <v>1014</v>
      </c>
      <c r="C553" t="s">
        <v>1025</v>
      </c>
      <c r="D553">
        <v>47</v>
      </c>
      <c r="E553">
        <v>13</v>
      </c>
      <c r="F553" s="3">
        <v>75713</v>
      </c>
      <c r="G553">
        <v>39</v>
      </c>
      <c r="H553">
        <v>13</v>
      </c>
      <c r="I553">
        <v>4</v>
      </c>
      <c r="J553">
        <v>30</v>
      </c>
      <c r="K553">
        <v>3.7</v>
      </c>
      <c r="L553" s="3">
        <v>6.4</v>
      </c>
      <c r="M553" t="s">
        <v>1035</v>
      </c>
      <c r="N553">
        <v>71.17</v>
      </c>
    </row>
    <row r="554" spans="1:14" x14ac:dyDescent="0.3">
      <c r="A554" t="s">
        <v>564</v>
      </c>
      <c r="B554" t="s">
        <v>1015</v>
      </c>
      <c r="C554" t="s">
        <v>1020</v>
      </c>
      <c r="D554">
        <v>34</v>
      </c>
      <c r="E554">
        <v>8</v>
      </c>
      <c r="F554" s="3">
        <v>65369</v>
      </c>
      <c r="G554">
        <v>51</v>
      </c>
      <c r="H554">
        <v>4</v>
      </c>
      <c r="I554">
        <v>7</v>
      </c>
      <c r="J554">
        <v>4</v>
      </c>
      <c r="K554">
        <v>2.8</v>
      </c>
      <c r="L554" s="3">
        <v>6</v>
      </c>
      <c r="M554" t="s">
        <v>1035</v>
      </c>
      <c r="N554">
        <v>51.07</v>
      </c>
    </row>
    <row r="555" spans="1:14" x14ac:dyDescent="0.3">
      <c r="A555" t="s">
        <v>565</v>
      </c>
      <c r="B555" t="s">
        <v>1015</v>
      </c>
      <c r="C555" t="s">
        <v>1020</v>
      </c>
      <c r="D555">
        <v>27</v>
      </c>
      <c r="E555">
        <v>0</v>
      </c>
      <c r="F555" s="3">
        <v>69023</v>
      </c>
      <c r="G555">
        <v>48</v>
      </c>
      <c r="H555">
        <v>7</v>
      </c>
      <c r="I555">
        <v>11</v>
      </c>
      <c r="J555">
        <v>22</v>
      </c>
      <c r="K555">
        <v>2.6</v>
      </c>
      <c r="L555" s="3">
        <v>5.4</v>
      </c>
      <c r="M555" t="s">
        <v>1036</v>
      </c>
      <c r="N555">
        <v>51.87</v>
      </c>
    </row>
    <row r="556" spans="1:14" x14ac:dyDescent="0.3">
      <c r="A556" t="s">
        <v>566</v>
      </c>
      <c r="B556" t="s">
        <v>1014</v>
      </c>
      <c r="C556" t="s">
        <v>1019</v>
      </c>
      <c r="D556">
        <v>41</v>
      </c>
      <c r="E556">
        <v>5</v>
      </c>
      <c r="F556" s="3">
        <v>89726</v>
      </c>
      <c r="G556">
        <v>46</v>
      </c>
      <c r="H556">
        <v>10</v>
      </c>
      <c r="I556">
        <v>25</v>
      </c>
      <c r="J556">
        <v>28</v>
      </c>
      <c r="K556">
        <v>3.9</v>
      </c>
      <c r="L556" s="3">
        <v>6.1</v>
      </c>
      <c r="M556" t="s">
        <v>1035</v>
      </c>
      <c r="N556">
        <v>64.97</v>
      </c>
    </row>
    <row r="557" spans="1:14" x14ac:dyDescent="0.3">
      <c r="A557" t="s">
        <v>567</v>
      </c>
      <c r="B557" t="s">
        <v>1018</v>
      </c>
      <c r="C557" t="s">
        <v>1028</v>
      </c>
      <c r="D557">
        <v>45</v>
      </c>
      <c r="E557">
        <v>4</v>
      </c>
      <c r="F557" s="3">
        <v>74658</v>
      </c>
      <c r="G557">
        <v>37</v>
      </c>
      <c r="H557">
        <v>2</v>
      </c>
      <c r="I557">
        <v>23</v>
      </c>
      <c r="J557">
        <v>3</v>
      </c>
      <c r="K557">
        <v>2.7</v>
      </c>
      <c r="L557" s="3">
        <v>7.3</v>
      </c>
      <c r="M557" t="s">
        <v>1035</v>
      </c>
      <c r="N557">
        <v>55.23</v>
      </c>
    </row>
    <row r="558" spans="1:14" x14ac:dyDescent="0.3">
      <c r="A558" t="s">
        <v>568</v>
      </c>
      <c r="B558" t="s">
        <v>1016</v>
      </c>
      <c r="C558" t="s">
        <v>1022</v>
      </c>
      <c r="D558">
        <v>22</v>
      </c>
      <c r="E558">
        <v>1</v>
      </c>
      <c r="F558" s="3">
        <v>70468</v>
      </c>
      <c r="G558">
        <v>38</v>
      </c>
      <c r="H558">
        <v>5</v>
      </c>
      <c r="I558">
        <v>14</v>
      </c>
      <c r="J558">
        <v>30</v>
      </c>
      <c r="K558">
        <v>2.1</v>
      </c>
      <c r="L558" s="3">
        <v>4.5</v>
      </c>
      <c r="M558" t="s">
        <v>1036</v>
      </c>
      <c r="N558">
        <v>41.63</v>
      </c>
    </row>
    <row r="559" spans="1:14" x14ac:dyDescent="0.3">
      <c r="A559" t="s">
        <v>569</v>
      </c>
      <c r="B559" t="s">
        <v>1018</v>
      </c>
      <c r="C559" t="s">
        <v>1027</v>
      </c>
      <c r="D559">
        <v>35</v>
      </c>
      <c r="E559">
        <v>8</v>
      </c>
      <c r="F559" s="3">
        <v>59292</v>
      </c>
      <c r="G559">
        <v>43</v>
      </c>
      <c r="H559">
        <v>9</v>
      </c>
      <c r="I559">
        <v>15</v>
      </c>
      <c r="J559">
        <v>39</v>
      </c>
      <c r="K559">
        <v>4.2</v>
      </c>
      <c r="L559" s="3">
        <v>4</v>
      </c>
      <c r="M559" t="s">
        <v>1036</v>
      </c>
      <c r="N559">
        <v>51.6</v>
      </c>
    </row>
    <row r="560" spans="1:14" x14ac:dyDescent="0.3">
      <c r="A560" t="s">
        <v>570</v>
      </c>
      <c r="B560" t="s">
        <v>1014</v>
      </c>
      <c r="C560" t="s">
        <v>1019</v>
      </c>
      <c r="D560">
        <v>46</v>
      </c>
      <c r="E560">
        <v>1</v>
      </c>
      <c r="F560" s="3">
        <v>41741</v>
      </c>
      <c r="G560">
        <v>40</v>
      </c>
      <c r="H560">
        <v>1</v>
      </c>
      <c r="I560">
        <v>9</v>
      </c>
      <c r="J560">
        <v>12</v>
      </c>
      <c r="K560">
        <v>4.4000000000000004</v>
      </c>
      <c r="L560" s="3">
        <v>7.3</v>
      </c>
      <c r="M560" t="s">
        <v>1035</v>
      </c>
      <c r="N560">
        <v>58.67</v>
      </c>
    </row>
    <row r="561" spans="1:14" x14ac:dyDescent="0.3">
      <c r="A561" t="s">
        <v>571</v>
      </c>
      <c r="B561" t="s">
        <v>1017</v>
      </c>
      <c r="C561" t="s">
        <v>1024</v>
      </c>
      <c r="D561">
        <v>22</v>
      </c>
      <c r="E561">
        <v>0</v>
      </c>
      <c r="F561" s="3">
        <v>50470</v>
      </c>
      <c r="G561">
        <v>43</v>
      </c>
      <c r="H561">
        <v>11</v>
      </c>
      <c r="I561">
        <v>21</v>
      </c>
      <c r="J561">
        <v>23</v>
      </c>
      <c r="K561">
        <v>4.5999999999999996</v>
      </c>
      <c r="L561" s="3">
        <v>3.1</v>
      </c>
      <c r="M561" t="s">
        <v>1036</v>
      </c>
      <c r="N561">
        <v>50.73</v>
      </c>
    </row>
    <row r="562" spans="1:14" x14ac:dyDescent="0.3">
      <c r="A562" t="s">
        <v>572</v>
      </c>
      <c r="B562" t="s">
        <v>1017</v>
      </c>
      <c r="C562" t="s">
        <v>1030</v>
      </c>
      <c r="D562">
        <v>36</v>
      </c>
      <c r="E562">
        <v>12</v>
      </c>
      <c r="F562" s="3">
        <v>58327</v>
      </c>
      <c r="G562">
        <v>38</v>
      </c>
      <c r="H562">
        <v>15</v>
      </c>
      <c r="I562">
        <v>10</v>
      </c>
      <c r="J562">
        <v>31</v>
      </c>
      <c r="K562">
        <v>4.5999999999999996</v>
      </c>
      <c r="L562" s="3">
        <v>6.7</v>
      </c>
      <c r="M562" t="s">
        <v>1035</v>
      </c>
      <c r="N562">
        <v>79</v>
      </c>
    </row>
    <row r="563" spans="1:14" x14ac:dyDescent="0.3">
      <c r="A563" t="s">
        <v>573</v>
      </c>
      <c r="B563" t="s">
        <v>1018</v>
      </c>
      <c r="C563" t="s">
        <v>1027</v>
      </c>
      <c r="D563">
        <v>54</v>
      </c>
      <c r="E563">
        <v>14</v>
      </c>
      <c r="F563" s="3">
        <v>61745</v>
      </c>
      <c r="G563">
        <v>35</v>
      </c>
      <c r="H563">
        <v>1</v>
      </c>
      <c r="I563">
        <v>7</v>
      </c>
      <c r="J563">
        <v>33</v>
      </c>
      <c r="K563">
        <v>2.9</v>
      </c>
      <c r="L563" s="3">
        <v>6.4</v>
      </c>
      <c r="M563" t="s">
        <v>1035</v>
      </c>
      <c r="N563">
        <v>48.77</v>
      </c>
    </row>
    <row r="564" spans="1:14" x14ac:dyDescent="0.3">
      <c r="A564" t="s">
        <v>574</v>
      </c>
      <c r="B564" t="s">
        <v>1018</v>
      </c>
      <c r="C564" t="s">
        <v>1027</v>
      </c>
      <c r="D564">
        <v>23</v>
      </c>
      <c r="E564">
        <v>1</v>
      </c>
      <c r="F564" s="3">
        <v>69847</v>
      </c>
      <c r="G564">
        <v>46</v>
      </c>
      <c r="H564">
        <v>6</v>
      </c>
      <c r="I564">
        <v>20</v>
      </c>
      <c r="J564">
        <v>19</v>
      </c>
      <c r="K564">
        <v>2.7</v>
      </c>
      <c r="L564" s="3">
        <v>9.8000000000000007</v>
      </c>
      <c r="M564" t="s">
        <v>1034</v>
      </c>
      <c r="N564">
        <v>76.900000000000006</v>
      </c>
    </row>
    <row r="565" spans="1:14" x14ac:dyDescent="0.3">
      <c r="A565" t="s">
        <v>575</v>
      </c>
      <c r="B565" t="s">
        <v>1016</v>
      </c>
      <c r="C565" t="s">
        <v>1033</v>
      </c>
      <c r="D565">
        <v>25</v>
      </c>
      <c r="E565">
        <v>2</v>
      </c>
      <c r="F565" s="3">
        <v>82584</v>
      </c>
      <c r="G565">
        <v>47</v>
      </c>
      <c r="H565">
        <v>15</v>
      </c>
      <c r="I565">
        <v>0</v>
      </c>
      <c r="J565">
        <v>35</v>
      </c>
      <c r="K565">
        <v>4.8</v>
      </c>
      <c r="L565" s="3">
        <v>4.5999999999999996</v>
      </c>
      <c r="M565" t="s">
        <v>1036</v>
      </c>
      <c r="N565">
        <v>67</v>
      </c>
    </row>
    <row r="566" spans="1:14" x14ac:dyDescent="0.3">
      <c r="A566" t="s">
        <v>576</v>
      </c>
      <c r="B566" t="s">
        <v>1017</v>
      </c>
      <c r="C566" t="s">
        <v>1026</v>
      </c>
      <c r="D566">
        <v>30</v>
      </c>
      <c r="E566">
        <v>1</v>
      </c>
      <c r="F566" s="3">
        <v>72834</v>
      </c>
      <c r="G566">
        <v>47</v>
      </c>
      <c r="H566">
        <v>9</v>
      </c>
      <c r="I566">
        <v>21</v>
      </c>
      <c r="J566">
        <v>39</v>
      </c>
      <c r="K566">
        <v>4.5999999999999996</v>
      </c>
      <c r="L566" s="3">
        <v>7.8</v>
      </c>
      <c r="M566" t="s">
        <v>1035</v>
      </c>
      <c r="N566">
        <v>75.599999999999994</v>
      </c>
    </row>
    <row r="567" spans="1:14" x14ac:dyDescent="0.3">
      <c r="A567" t="s">
        <v>577</v>
      </c>
      <c r="B567" t="s">
        <v>1018</v>
      </c>
      <c r="C567" t="s">
        <v>1027</v>
      </c>
      <c r="D567">
        <v>31</v>
      </c>
      <c r="E567">
        <v>6</v>
      </c>
      <c r="F567" s="3">
        <v>88605</v>
      </c>
      <c r="G567">
        <v>44</v>
      </c>
      <c r="H567">
        <v>15</v>
      </c>
      <c r="I567">
        <v>19</v>
      </c>
      <c r="J567">
        <v>21</v>
      </c>
      <c r="K567">
        <v>3.3</v>
      </c>
      <c r="L567" s="3">
        <v>3.9</v>
      </c>
      <c r="M567" t="s">
        <v>1036</v>
      </c>
      <c r="N567">
        <v>58.3</v>
      </c>
    </row>
    <row r="568" spans="1:14" x14ac:dyDescent="0.3">
      <c r="A568" t="s">
        <v>578</v>
      </c>
      <c r="B568" t="s">
        <v>1018</v>
      </c>
      <c r="C568" t="s">
        <v>1028</v>
      </c>
      <c r="D568">
        <v>34</v>
      </c>
      <c r="E568">
        <v>13</v>
      </c>
      <c r="F568" s="3">
        <v>34051</v>
      </c>
      <c r="G568">
        <v>44</v>
      </c>
      <c r="H568">
        <v>12</v>
      </c>
      <c r="I568">
        <v>22</v>
      </c>
      <c r="J568">
        <v>33</v>
      </c>
      <c r="K568">
        <v>4.7</v>
      </c>
      <c r="L568" s="3">
        <v>6</v>
      </c>
      <c r="M568" t="s">
        <v>1035</v>
      </c>
      <c r="N568">
        <v>70.099999999999994</v>
      </c>
    </row>
    <row r="569" spans="1:14" x14ac:dyDescent="0.3">
      <c r="A569" t="s">
        <v>579</v>
      </c>
      <c r="B569" t="s">
        <v>1015</v>
      </c>
      <c r="C569" t="s">
        <v>1029</v>
      </c>
      <c r="D569">
        <v>32</v>
      </c>
      <c r="E569">
        <v>5</v>
      </c>
      <c r="F569" s="3">
        <v>29444</v>
      </c>
      <c r="G569">
        <v>52</v>
      </c>
      <c r="H569">
        <v>9</v>
      </c>
      <c r="I569">
        <v>23</v>
      </c>
      <c r="J569">
        <v>7</v>
      </c>
      <c r="K569">
        <v>2.6</v>
      </c>
      <c r="L569" s="3">
        <v>8.9</v>
      </c>
      <c r="M569" t="s">
        <v>1034</v>
      </c>
      <c r="N569">
        <v>76.2</v>
      </c>
    </row>
    <row r="570" spans="1:14" x14ac:dyDescent="0.3">
      <c r="A570" t="s">
        <v>580</v>
      </c>
      <c r="B570" t="s">
        <v>1014</v>
      </c>
      <c r="C570" t="s">
        <v>1019</v>
      </c>
      <c r="D570">
        <v>42</v>
      </c>
      <c r="E570">
        <v>13</v>
      </c>
      <c r="F570" s="3">
        <v>87992</v>
      </c>
      <c r="G570">
        <v>48</v>
      </c>
      <c r="H570">
        <v>5</v>
      </c>
      <c r="I570">
        <v>14</v>
      </c>
      <c r="J570">
        <v>40</v>
      </c>
      <c r="K570">
        <v>4.8</v>
      </c>
      <c r="L570" s="3">
        <v>4.9000000000000004</v>
      </c>
      <c r="M570" t="s">
        <v>1036</v>
      </c>
      <c r="N570">
        <v>52.13</v>
      </c>
    </row>
    <row r="571" spans="1:14" x14ac:dyDescent="0.3">
      <c r="A571" t="s">
        <v>581</v>
      </c>
      <c r="B571" t="s">
        <v>1014</v>
      </c>
      <c r="C571" t="s">
        <v>1019</v>
      </c>
      <c r="D571">
        <v>30</v>
      </c>
      <c r="E571">
        <v>2</v>
      </c>
      <c r="F571" s="3">
        <v>26716</v>
      </c>
      <c r="G571">
        <v>54</v>
      </c>
      <c r="H571">
        <v>10</v>
      </c>
      <c r="I571">
        <v>8</v>
      </c>
      <c r="J571">
        <v>38</v>
      </c>
      <c r="K571">
        <v>3.7</v>
      </c>
      <c r="L571" s="3">
        <v>4.5999999999999996</v>
      </c>
      <c r="M571" t="s">
        <v>1036</v>
      </c>
      <c r="N571">
        <v>55.37</v>
      </c>
    </row>
    <row r="572" spans="1:14" x14ac:dyDescent="0.3">
      <c r="A572" t="s">
        <v>582</v>
      </c>
      <c r="B572" t="s">
        <v>1018</v>
      </c>
      <c r="C572" t="s">
        <v>1028</v>
      </c>
      <c r="D572">
        <v>23</v>
      </c>
      <c r="E572">
        <v>1</v>
      </c>
      <c r="F572" s="3">
        <v>30208</v>
      </c>
      <c r="G572">
        <v>50</v>
      </c>
      <c r="H572">
        <v>3</v>
      </c>
      <c r="I572">
        <v>16</v>
      </c>
      <c r="J572">
        <v>38</v>
      </c>
      <c r="K572">
        <v>3.4</v>
      </c>
      <c r="L572" s="3">
        <v>7.5</v>
      </c>
      <c r="M572" t="s">
        <v>1035</v>
      </c>
      <c r="N572">
        <v>60.2</v>
      </c>
    </row>
    <row r="573" spans="1:14" x14ac:dyDescent="0.3">
      <c r="A573" t="s">
        <v>583</v>
      </c>
      <c r="B573" t="s">
        <v>1017</v>
      </c>
      <c r="C573" t="s">
        <v>1026</v>
      </c>
      <c r="D573">
        <v>53</v>
      </c>
      <c r="E573">
        <v>15</v>
      </c>
      <c r="F573" s="3">
        <v>34012</v>
      </c>
      <c r="G573">
        <v>40</v>
      </c>
      <c r="H573">
        <v>4</v>
      </c>
      <c r="I573">
        <v>7</v>
      </c>
      <c r="J573">
        <v>2</v>
      </c>
      <c r="K573">
        <v>3.2</v>
      </c>
      <c r="L573" s="3">
        <v>9.8000000000000007</v>
      </c>
      <c r="M573" t="s">
        <v>1034</v>
      </c>
      <c r="N573">
        <v>75.069999999999993</v>
      </c>
    </row>
    <row r="574" spans="1:14" x14ac:dyDescent="0.3">
      <c r="A574" t="s">
        <v>584</v>
      </c>
      <c r="B574" t="s">
        <v>1017</v>
      </c>
      <c r="C574" t="s">
        <v>1026</v>
      </c>
      <c r="D574">
        <v>36</v>
      </c>
      <c r="E574">
        <v>6</v>
      </c>
      <c r="F574" s="3">
        <v>74661</v>
      </c>
      <c r="G574">
        <v>41</v>
      </c>
      <c r="H574">
        <v>2</v>
      </c>
      <c r="I574">
        <v>5</v>
      </c>
      <c r="J574">
        <v>28</v>
      </c>
      <c r="K574">
        <v>4.5999999999999996</v>
      </c>
      <c r="L574" s="3">
        <v>6.4</v>
      </c>
      <c r="M574" t="s">
        <v>1035</v>
      </c>
      <c r="N574">
        <v>55.53</v>
      </c>
    </row>
    <row r="575" spans="1:14" x14ac:dyDescent="0.3">
      <c r="A575" t="s">
        <v>585</v>
      </c>
      <c r="B575" t="s">
        <v>1017</v>
      </c>
      <c r="C575" t="s">
        <v>1024</v>
      </c>
      <c r="D575">
        <v>37</v>
      </c>
      <c r="E575">
        <v>13</v>
      </c>
      <c r="F575" s="3">
        <v>51533</v>
      </c>
      <c r="G575">
        <v>36</v>
      </c>
      <c r="H575">
        <v>10</v>
      </c>
      <c r="I575">
        <v>23</v>
      </c>
      <c r="J575">
        <v>24</v>
      </c>
      <c r="K575">
        <v>4.2</v>
      </c>
      <c r="L575" s="3">
        <v>5.8</v>
      </c>
      <c r="M575" t="s">
        <v>1036</v>
      </c>
      <c r="N575">
        <v>64.069999999999993</v>
      </c>
    </row>
    <row r="576" spans="1:14" x14ac:dyDescent="0.3">
      <c r="A576" t="s">
        <v>586</v>
      </c>
      <c r="B576" t="s">
        <v>1015</v>
      </c>
      <c r="C576" t="s">
        <v>1020</v>
      </c>
      <c r="D576">
        <v>55</v>
      </c>
      <c r="E576">
        <v>1</v>
      </c>
      <c r="F576" s="3">
        <v>59121</v>
      </c>
      <c r="G576">
        <v>38</v>
      </c>
      <c r="H576">
        <v>8</v>
      </c>
      <c r="I576">
        <v>14</v>
      </c>
      <c r="J576">
        <v>2</v>
      </c>
      <c r="K576">
        <v>4.5999999999999996</v>
      </c>
      <c r="L576" s="3">
        <v>4.7</v>
      </c>
      <c r="M576" t="s">
        <v>1036</v>
      </c>
      <c r="N576">
        <v>55.33</v>
      </c>
    </row>
    <row r="577" spans="1:14" x14ac:dyDescent="0.3">
      <c r="A577" t="s">
        <v>587</v>
      </c>
      <c r="B577" t="s">
        <v>1017</v>
      </c>
      <c r="C577" t="s">
        <v>1026</v>
      </c>
      <c r="D577">
        <v>24</v>
      </c>
      <c r="E577">
        <v>3</v>
      </c>
      <c r="F577" s="3">
        <v>58824</v>
      </c>
      <c r="G577">
        <v>55</v>
      </c>
      <c r="H577">
        <v>1</v>
      </c>
      <c r="I577">
        <v>6</v>
      </c>
      <c r="J577">
        <v>18</v>
      </c>
      <c r="K577">
        <v>3.3</v>
      </c>
      <c r="L577" s="3">
        <v>9.1999999999999993</v>
      </c>
      <c r="M577" t="s">
        <v>1034</v>
      </c>
      <c r="N577">
        <v>66.77</v>
      </c>
    </row>
    <row r="578" spans="1:14" x14ac:dyDescent="0.3">
      <c r="A578" t="s">
        <v>588</v>
      </c>
      <c r="B578" t="s">
        <v>1017</v>
      </c>
      <c r="C578" t="s">
        <v>1024</v>
      </c>
      <c r="D578">
        <v>32</v>
      </c>
      <c r="E578">
        <v>6</v>
      </c>
      <c r="F578" s="3">
        <v>44295</v>
      </c>
      <c r="G578">
        <v>54</v>
      </c>
      <c r="H578">
        <v>15</v>
      </c>
      <c r="I578">
        <v>1</v>
      </c>
      <c r="J578">
        <v>33</v>
      </c>
      <c r="K578">
        <v>4.7</v>
      </c>
      <c r="L578" s="3">
        <v>6.2</v>
      </c>
      <c r="M578" t="s">
        <v>1035</v>
      </c>
      <c r="N578">
        <v>76.3</v>
      </c>
    </row>
    <row r="579" spans="1:14" x14ac:dyDescent="0.3">
      <c r="A579" t="s">
        <v>589</v>
      </c>
      <c r="B579" t="s">
        <v>1017</v>
      </c>
      <c r="C579" t="s">
        <v>1030</v>
      </c>
      <c r="D579">
        <v>27</v>
      </c>
      <c r="E579">
        <v>5</v>
      </c>
      <c r="F579" s="3">
        <v>57811</v>
      </c>
      <c r="G579">
        <v>38</v>
      </c>
      <c r="H579">
        <v>3</v>
      </c>
      <c r="I579">
        <v>24</v>
      </c>
      <c r="J579">
        <v>37</v>
      </c>
      <c r="K579">
        <v>4.8</v>
      </c>
      <c r="L579" s="3">
        <v>7.9</v>
      </c>
      <c r="M579" t="s">
        <v>1035</v>
      </c>
      <c r="N579">
        <v>66.8</v>
      </c>
    </row>
    <row r="580" spans="1:14" x14ac:dyDescent="0.3">
      <c r="A580" t="s">
        <v>590</v>
      </c>
      <c r="B580" t="s">
        <v>1017</v>
      </c>
      <c r="C580" t="s">
        <v>1026</v>
      </c>
      <c r="D580">
        <v>48</v>
      </c>
      <c r="E580">
        <v>10</v>
      </c>
      <c r="F580" s="3">
        <v>54549</v>
      </c>
      <c r="G580">
        <v>35</v>
      </c>
      <c r="H580">
        <v>3</v>
      </c>
      <c r="I580">
        <v>14</v>
      </c>
      <c r="J580">
        <v>37</v>
      </c>
      <c r="K580">
        <v>4.7</v>
      </c>
      <c r="L580" s="3">
        <v>9.3000000000000007</v>
      </c>
      <c r="M580" t="s">
        <v>1034</v>
      </c>
      <c r="N580">
        <v>74.900000000000006</v>
      </c>
    </row>
    <row r="581" spans="1:14" x14ac:dyDescent="0.3">
      <c r="A581" t="s">
        <v>591</v>
      </c>
      <c r="B581" t="s">
        <v>1014</v>
      </c>
      <c r="C581" t="s">
        <v>1019</v>
      </c>
      <c r="D581">
        <v>38</v>
      </c>
      <c r="E581">
        <v>10</v>
      </c>
      <c r="F581" s="3">
        <v>70332</v>
      </c>
      <c r="G581">
        <v>55</v>
      </c>
      <c r="H581">
        <v>15</v>
      </c>
      <c r="I581">
        <v>22</v>
      </c>
      <c r="J581">
        <v>10</v>
      </c>
      <c r="K581">
        <v>4.2</v>
      </c>
      <c r="L581" s="3">
        <v>3.9</v>
      </c>
      <c r="M581" t="s">
        <v>1036</v>
      </c>
      <c r="N581">
        <v>61</v>
      </c>
    </row>
    <row r="582" spans="1:14" x14ac:dyDescent="0.3">
      <c r="A582" t="s">
        <v>592</v>
      </c>
      <c r="B582" t="s">
        <v>1017</v>
      </c>
      <c r="C582" t="s">
        <v>1024</v>
      </c>
      <c r="D582">
        <v>45</v>
      </c>
      <c r="E582">
        <v>2</v>
      </c>
      <c r="F582" s="3">
        <v>59328</v>
      </c>
      <c r="G582">
        <v>47</v>
      </c>
      <c r="H582">
        <v>12</v>
      </c>
      <c r="I582">
        <v>25</v>
      </c>
      <c r="J582">
        <v>32</v>
      </c>
      <c r="K582">
        <v>3.8</v>
      </c>
      <c r="L582" s="3">
        <v>4.0999999999999996</v>
      </c>
      <c r="M582" t="s">
        <v>1036</v>
      </c>
      <c r="N582">
        <v>56</v>
      </c>
    </row>
    <row r="583" spans="1:14" x14ac:dyDescent="0.3">
      <c r="A583" t="s">
        <v>593</v>
      </c>
      <c r="B583" t="s">
        <v>1017</v>
      </c>
      <c r="C583" t="s">
        <v>1024</v>
      </c>
      <c r="D583">
        <v>24</v>
      </c>
      <c r="E583">
        <v>1</v>
      </c>
      <c r="F583" s="3">
        <v>84785</v>
      </c>
      <c r="G583">
        <v>45</v>
      </c>
      <c r="H583">
        <v>10</v>
      </c>
      <c r="I583">
        <v>21</v>
      </c>
      <c r="J583">
        <v>9</v>
      </c>
      <c r="K583">
        <v>2.5</v>
      </c>
      <c r="L583" s="3">
        <v>4</v>
      </c>
      <c r="M583" t="s">
        <v>1036</v>
      </c>
      <c r="N583">
        <v>48.17</v>
      </c>
    </row>
    <row r="584" spans="1:14" x14ac:dyDescent="0.3">
      <c r="A584" t="s">
        <v>594</v>
      </c>
      <c r="B584" t="s">
        <v>1014</v>
      </c>
      <c r="C584" t="s">
        <v>1019</v>
      </c>
      <c r="D584">
        <v>48</v>
      </c>
      <c r="E584">
        <v>9</v>
      </c>
      <c r="F584" s="3">
        <v>45284</v>
      </c>
      <c r="G584">
        <v>49</v>
      </c>
      <c r="H584">
        <v>5</v>
      </c>
      <c r="I584">
        <v>20</v>
      </c>
      <c r="J584">
        <v>11</v>
      </c>
      <c r="K584">
        <v>2.4</v>
      </c>
      <c r="L584" s="3">
        <v>3.9</v>
      </c>
      <c r="M584" t="s">
        <v>1036</v>
      </c>
      <c r="N584">
        <v>38.93</v>
      </c>
    </row>
    <row r="585" spans="1:14" x14ac:dyDescent="0.3">
      <c r="A585" t="s">
        <v>595</v>
      </c>
      <c r="B585" t="s">
        <v>1014</v>
      </c>
      <c r="C585" t="s">
        <v>1031</v>
      </c>
      <c r="D585">
        <v>38</v>
      </c>
      <c r="E585">
        <v>0</v>
      </c>
      <c r="F585" s="3">
        <v>55057</v>
      </c>
      <c r="G585">
        <v>50</v>
      </c>
      <c r="H585">
        <v>14</v>
      </c>
      <c r="I585">
        <v>15</v>
      </c>
      <c r="J585">
        <v>34</v>
      </c>
      <c r="K585">
        <v>4.4000000000000004</v>
      </c>
      <c r="L585" s="3">
        <v>7.3</v>
      </c>
      <c r="M585" t="s">
        <v>1035</v>
      </c>
      <c r="N585">
        <v>80.33</v>
      </c>
    </row>
    <row r="586" spans="1:14" x14ac:dyDescent="0.3">
      <c r="A586" t="s">
        <v>596</v>
      </c>
      <c r="B586" t="s">
        <v>1018</v>
      </c>
      <c r="C586" t="s">
        <v>1028</v>
      </c>
      <c r="D586">
        <v>35</v>
      </c>
      <c r="E586">
        <v>9</v>
      </c>
      <c r="F586" s="3">
        <v>68219</v>
      </c>
      <c r="G586">
        <v>50</v>
      </c>
      <c r="H586">
        <v>8</v>
      </c>
      <c r="I586">
        <v>13</v>
      </c>
      <c r="J586">
        <v>28</v>
      </c>
      <c r="K586">
        <v>2.2000000000000002</v>
      </c>
      <c r="L586" s="3">
        <v>7.2</v>
      </c>
      <c r="M586" t="s">
        <v>1035</v>
      </c>
      <c r="N586">
        <v>63.13</v>
      </c>
    </row>
    <row r="587" spans="1:14" x14ac:dyDescent="0.3">
      <c r="A587" t="s">
        <v>597</v>
      </c>
      <c r="B587" t="s">
        <v>1015</v>
      </c>
      <c r="C587" t="s">
        <v>1020</v>
      </c>
      <c r="D587">
        <v>39</v>
      </c>
      <c r="E587">
        <v>6</v>
      </c>
      <c r="F587" s="3">
        <v>28205</v>
      </c>
      <c r="G587">
        <v>40</v>
      </c>
      <c r="H587">
        <v>3</v>
      </c>
      <c r="I587">
        <v>1</v>
      </c>
      <c r="J587">
        <v>22</v>
      </c>
      <c r="K587">
        <v>2.1</v>
      </c>
      <c r="L587" s="3">
        <v>9</v>
      </c>
      <c r="M587" t="s">
        <v>1034</v>
      </c>
      <c r="N587">
        <v>65.3</v>
      </c>
    </row>
    <row r="588" spans="1:14" x14ac:dyDescent="0.3">
      <c r="A588" t="s">
        <v>598</v>
      </c>
      <c r="B588" t="s">
        <v>1015</v>
      </c>
      <c r="C588" t="s">
        <v>1021</v>
      </c>
      <c r="D588">
        <v>41</v>
      </c>
      <c r="E588">
        <v>10</v>
      </c>
      <c r="F588" s="3">
        <v>85318</v>
      </c>
      <c r="G588">
        <v>37</v>
      </c>
      <c r="H588">
        <v>1</v>
      </c>
      <c r="I588">
        <v>3</v>
      </c>
      <c r="J588">
        <v>26</v>
      </c>
      <c r="K588">
        <v>5</v>
      </c>
      <c r="L588" s="3">
        <v>4.0999999999999996</v>
      </c>
      <c r="M588" t="s">
        <v>1036</v>
      </c>
      <c r="N588">
        <v>41.27</v>
      </c>
    </row>
    <row r="589" spans="1:14" x14ac:dyDescent="0.3">
      <c r="A589" t="s">
        <v>599</v>
      </c>
      <c r="B589" t="s">
        <v>1015</v>
      </c>
      <c r="C589" t="s">
        <v>1021</v>
      </c>
      <c r="D589">
        <v>33</v>
      </c>
      <c r="E589">
        <v>7</v>
      </c>
      <c r="F589" s="3">
        <v>74108</v>
      </c>
      <c r="G589">
        <v>53</v>
      </c>
      <c r="H589">
        <v>6</v>
      </c>
      <c r="I589">
        <v>1</v>
      </c>
      <c r="J589">
        <v>5</v>
      </c>
      <c r="K589">
        <v>4.3</v>
      </c>
      <c r="L589" s="3">
        <v>5.3</v>
      </c>
      <c r="M589" t="s">
        <v>1036</v>
      </c>
      <c r="N589">
        <v>54.7</v>
      </c>
    </row>
    <row r="590" spans="1:14" x14ac:dyDescent="0.3">
      <c r="A590" t="s">
        <v>600</v>
      </c>
      <c r="B590" t="s">
        <v>1014</v>
      </c>
      <c r="C590" t="s">
        <v>1019</v>
      </c>
      <c r="D590">
        <v>49</v>
      </c>
      <c r="E590">
        <v>2</v>
      </c>
      <c r="F590" s="3">
        <v>44191</v>
      </c>
      <c r="G590">
        <v>50</v>
      </c>
      <c r="H590">
        <v>3</v>
      </c>
      <c r="I590">
        <v>3</v>
      </c>
      <c r="J590">
        <v>17</v>
      </c>
      <c r="K590">
        <v>3</v>
      </c>
      <c r="L590" s="3">
        <v>5.9</v>
      </c>
      <c r="M590" t="s">
        <v>1036</v>
      </c>
      <c r="N590">
        <v>49.4</v>
      </c>
    </row>
    <row r="591" spans="1:14" x14ac:dyDescent="0.3">
      <c r="A591" t="s">
        <v>601</v>
      </c>
      <c r="B591" t="s">
        <v>1018</v>
      </c>
      <c r="C591" t="s">
        <v>1027</v>
      </c>
      <c r="D591">
        <v>25</v>
      </c>
      <c r="E591">
        <v>0</v>
      </c>
      <c r="F591" s="3">
        <v>62445</v>
      </c>
      <c r="G591">
        <v>55</v>
      </c>
      <c r="H591">
        <v>9</v>
      </c>
      <c r="I591">
        <v>2</v>
      </c>
      <c r="J591">
        <v>30</v>
      </c>
      <c r="K591">
        <v>4.2</v>
      </c>
      <c r="L591" s="3">
        <v>7.2</v>
      </c>
      <c r="M591" t="s">
        <v>1035</v>
      </c>
      <c r="N591">
        <v>70.8</v>
      </c>
    </row>
    <row r="592" spans="1:14" x14ac:dyDescent="0.3">
      <c r="A592" t="s">
        <v>602</v>
      </c>
      <c r="B592" t="s">
        <v>1016</v>
      </c>
      <c r="C592" t="s">
        <v>1033</v>
      </c>
      <c r="D592">
        <v>49</v>
      </c>
      <c r="E592">
        <v>10</v>
      </c>
      <c r="F592" s="3">
        <v>42017</v>
      </c>
      <c r="G592">
        <v>51</v>
      </c>
      <c r="H592">
        <v>10</v>
      </c>
      <c r="I592">
        <v>19</v>
      </c>
      <c r="J592">
        <v>22</v>
      </c>
      <c r="K592">
        <v>4.8</v>
      </c>
      <c r="L592" s="3">
        <v>7.3</v>
      </c>
      <c r="M592" t="s">
        <v>1035</v>
      </c>
      <c r="N592">
        <v>74.87</v>
      </c>
    </row>
    <row r="593" spans="1:14" x14ac:dyDescent="0.3">
      <c r="A593" t="s">
        <v>603</v>
      </c>
      <c r="B593" t="s">
        <v>1015</v>
      </c>
      <c r="C593" t="s">
        <v>1029</v>
      </c>
      <c r="D593">
        <v>53</v>
      </c>
      <c r="E593">
        <v>15</v>
      </c>
      <c r="F593" s="3">
        <v>77951</v>
      </c>
      <c r="G593">
        <v>40</v>
      </c>
      <c r="H593">
        <v>15</v>
      </c>
      <c r="I593">
        <v>19</v>
      </c>
      <c r="J593">
        <v>14</v>
      </c>
      <c r="K593">
        <v>4.0999999999999996</v>
      </c>
      <c r="L593" s="3">
        <v>9.9</v>
      </c>
      <c r="M593" t="s">
        <v>1034</v>
      </c>
      <c r="N593">
        <v>96.7</v>
      </c>
    </row>
    <row r="594" spans="1:14" x14ac:dyDescent="0.3">
      <c r="A594" t="s">
        <v>604</v>
      </c>
      <c r="B594" t="s">
        <v>1014</v>
      </c>
      <c r="C594" t="s">
        <v>1031</v>
      </c>
      <c r="D594">
        <v>23</v>
      </c>
      <c r="E594">
        <v>1</v>
      </c>
      <c r="F594" s="3">
        <v>65990</v>
      </c>
      <c r="G594">
        <v>38</v>
      </c>
      <c r="H594">
        <v>12</v>
      </c>
      <c r="I594">
        <v>6</v>
      </c>
      <c r="J594">
        <v>39</v>
      </c>
      <c r="K594">
        <v>5</v>
      </c>
      <c r="L594" s="3">
        <v>5.9</v>
      </c>
      <c r="M594" t="s">
        <v>1036</v>
      </c>
      <c r="N594">
        <v>70.400000000000006</v>
      </c>
    </row>
    <row r="595" spans="1:14" x14ac:dyDescent="0.3">
      <c r="A595" t="s">
        <v>605</v>
      </c>
      <c r="B595" t="s">
        <v>1016</v>
      </c>
      <c r="C595" t="s">
        <v>1022</v>
      </c>
      <c r="D595">
        <v>35</v>
      </c>
      <c r="E595">
        <v>0</v>
      </c>
      <c r="F595" s="3">
        <v>66983</v>
      </c>
      <c r="G595">
        <v>41</v>
      </c>
      <c r="H595">
        <v>12</v>
      </c>
      <c r="I595">
        <v>9</v>
      </c>
      <c r="J595">
        <v>16</v>
      </c>
      <c r="K595">
        <v>4.4000000000000004</v>
      </c>
      <c r="L595" s="3">
        <v>5.2</v>
      </c>
      <c r="M595" t="s">
        <v>1036</v>
      </c>
      <c r="N595">
        <v>64.400000000000006</v>
      </c>
    </row>
    <row r="596" spans="1:14" x14ac:dyDescent="0.3">
      <c r="A596" t="s">
        <v>606</v>
      </c>
      <c r="B596" t="s">
        <v>1015</v>
      </c>
      <c r="C596" t="s">
        <v>1029</v>
      </c>
      <c r="D596">
        <v>42</v>
      </c>
      <c r="E596">
        <v>0</v>
      </c>
      <c r="F596" s="3">
        <v>32460</v>
      </c>
      <c r="G596">
        <v>45</v>
      </c>
      <c r="H596">
        <v>6</v>
      </c>
      <c r="I596">
        <v>12</v>
      </c>
      <c r="J596">
        <v>36</v>
      </c>
      <c r="K596">
        <v>3.8</v>
      </c>
      <c r="L596" s="3">
        <v>3.2</v>
      </c>
      <c r="M596" t="s">
        <v>1036</v>
      </c>
      <c r="N596">
        <v>40.6</v>
      </c>
    </row>
    <row r="597" spans="1:14" x14ac:dyDescent="0.3">
      <c r="A597" t="s">
        <v>607</v>
      </c>
      <c r="B597" t="s">
        <v>1018</v>
      </c>
      <c r="C597" t="s">
        <v>1027</v>
      </c>
      <c r="D597">
        <v>43</v>
      </c>
      <c r="E597">
        <v>10</v>
      </c>
      <c r="F597" s="3">
        <v>85442</v>
      </c>
      <c r="G597">
        <v>50</v>
      </c>
      <c r="H597">
        <v>15</v>
      </c>
      <c r="I597">
        <v>15</v>
      </c>
      <c r="J597">
        <v>2</v>
      </c>
      <c r="K597">
        <v>3.9</v>
      </c>
      <c r="L597" s="3">
        <v>6.4</v>
      </c>
      <c r="M597" t="s">
        <v>1035</v>
      </c>
      <c r="N597">
        <v>75.099999999999994</v>
      </c>
    </row>
    <row r="598" spans="1:14" x14ac:dyDescent="0.3">
      <c r="A598" t="s">
        <v>608</v>
      </c>
      <c r="B598" t="s">
        <v>1017</v>
      </c>
      <c r="C598" t="s">
        <v>1024</v>
      </c>
      <c r="D598">
        <v>43</v>
      </c>
      <c r="E598">
        <v>14</v>
      </c>
      <c r="F598" s="3">
        <v>76379</v>
      </c>
      <c r="G598">
        <v>48</v>
      </c>
      <c r="H598">
        <v>15</v>
      </c>
      <c r="I598">
        <v>23</v>
      </c>
      <c r="J598">
        <v>3</v>
      </c>
      <c r="K598">
        <v>4.5</v>
      </c>
      <c r="L598" s="3">
        <v>5.0999999999999996</v>
      </c>
      <c r="M598" t="s">
        <v>1036</v>
      </c>
      <c r="N598">
        <v>69.099999999999994</v>
      </c>
    </row>
    <row r="599" spans="1:14" x14ac:dyDescent="0.3">
      <c r="A599" t="s">
        <v>609</v>
      </c>
      <c r="B599" t="s">
        <v>1016</v>
      </c>
      <c r="C599" t="s">
        <v>1023</v>
      </c>
      <c r="D599">
        <v>23</v>
      </c>
      <c r="E599">
        <v>0</v>
      </c>
      <c r="F599" s="3">
        <v>62840</v>
      </c>
      <c r="G599">
        <v>45</v>
      </c>
      <c r="H599">
        <v>13</v>
      </c>
      <c r="I599">
        <v>25</v>
      </c>
      <c r="J599">
        <v>22</v>
      </c>
      <c r="K599">
        <v>2.2000000000000002</v>
      </c>
      <c r="L599" s="3">
        <v>4</v>
      </c>
      <c r="M599" t="s">
        <v>1036</v>
      </c>
      <c r="N599">
        <v>52.27</v>
      </c>
    </row>
    <row r="600" spans="1:14" x14ac:dyDescent="0.3">
      <c r="A600" t="s">
        <v>610</v>
      </c>
      <c r="B600" t="s">
        <v>1016</v>
      </c>
      <c r="C600" t="s">
        <v>1033</v>
      </c>
      <c r="D600">
        <v>46</v>
      </c>
      <c r="E600">
        <v>5</v>
      </c>
      <c r="F600" s="3">
        <v>62419</v>
      </c>
      <c r="G600">
        <v>54</v>
      </c>
      <c r="H600">
        <v>7</v>
      </c>
      <c r="I600">
        <v>5</v>
      </c>
      <c r="J600">
        <v>38</v>
      </c>
      <c r="K600">
        <v>2.4</v>
      </c>
      <c r="L600" s="3">
        <v>8.5</v>
      </c>
      <c r="M600" t="s">
        <v>1034</v>
      </c>
      <c r="N600">
        <v>69.87</v>
      </c>
    </row>
    <row r="601" spans="1:14" x14ac:dyDescent="0.3">
      <c r="A601" t="s">
        <v>611</v>
      </c>
      <c r="B601" t="s">
        <v>1016</v>
      </c>
      <c r="C601" t="s">
        <v>1023</v>
      </c>
      <c r="D601">
        <v>24</v>
      </c>
      <c r="E601">
        <v>2</v>
      </c>
      <c r="F601" s="3">
        <v>52123</v>
      </c>
      <c r="G601">
        <v>37</v>
      </c>
      <c r="H601">
        <v>8</v>
      </c>
      <c r="I601">
        <v>7</v>
      </c>
      <c r="J601">
        <v>23</v>
      </c>
      <c r="K601">
        <v>3.4</v>
      </c>
      <c r="L601" s="3">
        <v>9.6999999999999993</v>
      </c>
      <c r="M601" t="s">
        <v>1034</v>
      </c>
      <c r="N601">
        <v>81.73</v>
      </c>
    </row>
    <row r="602" spans="1:14" x14ac:dyDescent="0.3">
      <c r="A602" t="s">
        <v>612</v>
      </c>
      <c r="B602" t="s">
        <v>1015</v>
      </c>
      <c r="C602" t="s">
        <v>1029</v>
      </c>
      <c r="D602">
        <v>41</v>
      </c>
      <c r="E602">
        <v>5</v>
      </c>
      <c r="F602" s="3">
        <v>32355</v>
      </c>
      <c r="G602">
        <v>46</v>
      </c>
      <c r="H602">
        <v>13</v>
      </c>
      <c r="I602">
        <v>1</v>
      </c>
      <c r="J602">
        <v>12</v>
      </c>
      <c r="K602">
        <v>4.7</v>
      </c>
      <c r="L602" s="3">
        <v>6.1</v>
      </c>
      <c r="M602" t="s">
        <v>1035</v>
      </c>
      <c r="N602">
        <v>72.37</v>
      </c>
    </row>
    <row r="603" spans="1:14" x14ac:dyDescent="0.3">
      <c r="A603" t="s">
        <v>613</v>
      </c>
      <c r="B603" t="s">
        <v>1017</v>
      </c>
      <c r="C603" t="s">
        <v>1030</v>
      </c>
      <c r="D603">
        <v>54</v>
      </c>
      <c r="E603">
        <v>4</v>
      </c>
      <c r="F603" s="3">
        <v>37465</v>
      </c>
      <c r="G603">
        <v>45</v>
      </c>
      <c r="H603">
        <v>15</v>
      </c>
      <c r="I603">
        <v>15</v>
      </c>
      <c r="J603">
        <v>33</v>
      </c>
      <c r="K603">
        <v>2.9</v>
      </c>
      <c r="L603" s="3">
        <v>5.3</v>
      </c>
      <c r="M603" t="s">
        <v>1036</v>
      </c>
      <c r="N603">
        <v>65.5</v>
      </c>
    </row>
    <row r="604" spans="1:14" x14ac:dyDescent="0.3">
      <c r="A604" t="s">
        <v>614</v>
      </c>
      <c r="B604" t="s">
        <v>1015</v>
      </c>
      <c r="C604" t="s">
        <v>1029</v>
      </c>
      <c r="D604">
        <v>30</v>
      </c>
      <c r="E604">
        <v>3</v>
      </c>
      <c r="F604" s="3">
        <v>72485</v>
      </c>
      <c r="G604">
        <v>36</v>
      </c>
      <c r="H604">
        <v>8</v>
      </c>
      <c r="I604">
        <v>12</v>
      </c>
      <c r="J604">
        <v>33</v>
      </c>
      <c r="K604">
        <v>2.2999999999999998</v>
      </c>
      <c r="L604" s="3">
        <v>5.2</v>
      </c>
      <c r="M604" t="s">
        <v>1036</v>
      </c>
      <c r="N604">
        <v>51.43</v>
      </c>
    </row>
    <row r="605" spans="1:14" x14ac:dyDescent="0.3">
      <c r="A605" t="s">
        <v>615</v>
      </c>
      <c r="B605" t="s">
        <v>1015</v>
      </c>
      <c r="C605" t="s">
        <v>1020</v>
      </c>
      <c r="D605">
        <v>27</v>
      </c>
      <c r="E605">
        <v>2</v>
      </c>
      <c r="F605" s="3">
        <v>55597</v>
      </c>
      <c r="G605">
        <v>36</v>
      </c>
      <c r="H605">
        <v>2</v>
      </c>
      <c r="I605">
        <v>16</v>
      </c>
      <c r="J605">
        <v>19</v>
      </c>
      <c r="K605">
        <v>2.1</v>
      </c>
      <c r="L605" s="3">
        <v>8.3000000000000007</v>
      </c>
      <c r="M605" t="s">
        <v>1034</v>
      </c>
      <c r="N605">
        <v>59.43</v>
      </c>
    </row>
    <row r="606" spans="1:14" x14ac:dyDescent="0.3">
      <c r="A606" t="s">
        <v>616</v>
      </c>
      <c r="B606" t="s">
        <v>1018</v>
      </c>
      <c r="C606" t="s">
        <v>1032</v>
      </c>
      <c r="D606">
        <v>42</v>
      </c>
      <c r="E606">
        <v>6</v>
      </c>
      <c r="F606" s="3">
        <v>37618</v>
      </c>
      <c r="G606">
        <v>44</v>
      </c>
      <c r="H606">
        <v>5</v>
      </c>
      <c r="I606">
        <v>17</v>
      </c>
      <c r="J606">
        <v>20</v>
      </c>
      <c r="K606">
        <v>4.3</v>
      </c>
      <c r="L606" s="3">
        <v>7.7</v>
      </c>
      <c r="M606" t="s">
        <v>1035</v>
      </c>
      <c r="N606">
        <v>67.430000000000007</v>
      </c>
    </row>
    <row r="607" spans="1:14" x14ac:dyDescent="0.3">
      <c r="A607" t="s">
        <v>617</v>
      </c>
      <c r="B607" t="s">
        <v>1018</v>
      </c>
      <c r="C607" t="s">
        <v>1027</v>
      </c>
      <c r="D607">
        <v>32</v>
      </c>
      <c r="E607">
        <v>4</v>
      </c>
      <c r="F607" s="3">
        <v>32501</v>
      </c>
      <c r="G607">
        <v>35</v>
      </c>
      <c r="H607">
        <v>10</v>
      </c>
      <c r="I607">
        <v>17</v>
      </c>
      <c r="J607">
        <v>32</v>
      </c>
      <c r="K607">
        <v>2.2999999999999998</v>
      </c>
      <c r="L607" s="3">
        <v>6.8</v>
      </c>
      <c r="M607" t="s">
        <v>1035</v>
      </c>
      <c r="N607">
        <v>64.37</v>
      </c>
    </row>
    <row r="608" spans="1:14" x14ac:dyDescent="0.3">
      <c r="A608" t="s">
        <v>618</v>
      </c>
      <c r="B608" t="s">
        <v>1016</v>
      </c>
      <c r="C608" t="s">
        <v>1033</v>
      </c>
      <c r="D608">
        <v>39</v>
      </c>
      <c r="E608">
        <v>4</v>
      </c>
      <c r="F608" s="3">
        <v>86818</v>
      </c>
      <c r="G608">
        <v>44</v>
      </c>
      <c r="H608">
        <v>10</v>
      </c>
      <c r="I608">
        <v>7</v>
      </c>
      <c r="J608">
        <v>10</v>
      </c>
      <c r="K608">
        <v>2.2000000000000002</v>
      </c>
      <c r="L608" s="3">
        <v>7.3</v>
      </c>
      <c r="M608" t="s">
        <v>1035</v>
      </c>
      <c r="N608">
        <v>67.069999999999993</v>
      </c>
    </row>
    <row r="609" spans="1:14" x14ac:dyDescent="0.3">
      <c r="A609" t="s">
        <v>619</v>
      </c>
      <c r="B609" t="s">
        <v>1015</v>
      </c>
      <c r="C609" t="s">
        <v>1021</v>
      </c>
      <c r="D609">
        <v>50</v>
      </c>
      <c r="E609">
        <v>1</v>
      </c>
      <c r="F609" s="3">
        <v>33524</v>
      </c>
      <c r="G609">
        <v>35</v>
      </c>
      <c r="H609">
        <v>8</v>
      </c>
      <c r="I609">
        <v>21</v>
      </c>
      <c r="J609">
        <v>3</v>
      </c>
      <c r="K609">
        <v>2.2999999999999998</v>
      </c>
      <c r="L609" s="3">
        <v>3.4</v>
      </c>
      <c r="M609" t="s">
        <v>1036</v>
      </c>
      <c r="N609">
        <v>40.630000000000003</v>
      </c>
    </row>
    <row r="610" spans="1:14" x14ac:dyDescent="0.3">
      <c r="A610" t="s">
        <v>620</v>
      </c>
      <c r="B610" t="s">
        <v>1017</v>
      </c>
      <c r="C610" t="s">
        <v>1030</v>
      </c>
      <c r="D610">
        <v>33</v>
      </c>
      <c r="E610">
        <v>11</v>
      </c>
      <c r="F610" s="3">
        <v>64067</v>
      </c>
      <c r="G610">
        <v>53</v>
      </c>
      <c r="H610">
        <v>11</v>
      </c>
      <c r="I610">
        <v>22</v>
      </c>
      <c r="J610">
        <v>28</v>
      </c>
      <c r="K610">
        <v>3.8</v>
      </c>
      <c r="L610" s="3">
        <v>5.2</v>
      </c>
      <c r="M610" t="s">
        <v>1036</v>
      </c>
      <c r="N610">
        <v>60.93</v>
      </c>
    </row>
    <row r="611" spans="1:14" x14ac:dyDescent="0.3">
      <c r="A611" t="s">
        <v>621</v>
      </c>
      <c r="B611" t="s">
        <v>1015</v>
      </c>
      <c r="C611" t="s">
        <v>1021</v>
      </c>
      <c r="D611">
        <v>27</v>
      </c>
      <c r="E611">
        <v>6</v>
      </c>
      <c r="F611" s="3">
        <v>75097</v>
      </c>
      <c r="G611">
        <v>49</v>
      </c>
      <c r="H611">
        <v>10</v>
      </c>
      <c r="I611">
        <v>4</v>
      </c>
      <c r="J611">
        <v>5</v>
      </c>
      <c r="K611">
        <v>4.4000000000000004</v>
      </c>
      <c r="L611" s="3">
        <v>9.4</v>
      </c>
      <c r="M611" t="s">
        <v>1034</v>
      </c>
      <c r="N611">
        <v>86.27</v>
      </c>
    </row>
    <row r="612" spans="1:14" x14ac:dyDescent="0.3">
      <c r="A612" t="s">
        <v>622</v>
      </c>
      <c r="B612" t="s">
        <v>1014</v>
      </c>
      <c r="C612" t="s">
        <v>1019</v>
      </c>
      <c r="D612">
        <v>51</v>
      </c>
      <c r="E612">
        <v>9</v>
      </c>
      <c r="F612" s="3">
        <v>69857</v>
      </c>
      <c r="G612">
        <v>55</v>
      </c>
      <c r="H612">
        <v>12</v>
      </c>
      <c r="I612">
        <v>24</v>
      </c>
      <c r="J612">
        <v>29</v>
      </c>
      <c r="K612">
        <v>3.4</v>
      </c>
      <c r="L612" s="3">
        <v>9.6</v>
      </c>
      <c r="M612" t="s">
        <v>1034</v>
      </c>
      <c r="N612">
        <v>87.8</v>
      </c>
    </row>
    <row r="613" spans="1:14" x14ac:dyDescent="0.3">
      <c r="A613" t="s">
        <v>623</v>
      </c>
      <c r="B613" t="s">
        <v>1015</v>
      </c>
      <c r="C613" t="s">
        <v>1021</v>
      </c>
      <c r="D613">
        <v>38</v>
      </c>
      <c r="E613">
        <v>11</v>
      </c>
      <c r="F613" s="3">
        <v>50695</v>
      </c>
      <c r="G613">
        <v>40</v>
      </c>
      <c r="H613">
        <v>12</v>
      </c>
      <c r="I613">
        <v>21</v>
      </c>
      <c r="J613">
        <v>21</v>
      </c>
      <c r="K613">
        <v>4.4000000000000004</v>
      </c>
      <c r="L613" s="3">
        <v>9.1999999999999993</v>
      </c>
      <c r="M613" t="s">
        <v>1034</v>
      </c>
      <c r="N613">
        <v>88.4</v>
      </c>
    </row>
    <row r="614" spans="1:14" x14ac:dyDescent="0.3">
      <c r="A614" t="s">
        <v>624</v>
      </c>
      <c r="B614" t="s">
        <v>1017</v>
      </c>
      <c r="C614" t="s">
        <v>1026</v>
      </c>
      <c r="D614">
        <v>23</v>
      </c>
      <c r="E614">
        <v>0</v>
      </c>
      <c r="F614" s="3">
        <v>56151</v>
      </c>
      <c r="G614">
        <v>38</v>
      </c>
      <c r="H614">
        <v>6</v>
      </c>
      <c r="I614">
        <v>15</v>
      </c>
      <c r="J614">
        <v>29</v>
      </c>
      <c r="K614">
        <v>4.5</v>
      </c>
      <c r="L614" s="3">
        <v>5</v>
      </c>
      <c r="M614" t="s">
        <v>1036</v>
      </c>
      <c r="N614">
        <v>53.5</v>
      </c>
    </row>
    <row r="615" spans="1:14" x14ac:dyDescent="0.3">
      <c r="A615" t="s">
        <v>625</v>
      </c>
      <c r="B615" t="s">
        <v>1015</v>
      </c>
      <c r="C615" t="s">
        <v>1021</v>
      </c>
      <c r="D615">
        <v>30</v>
      </c>
      <c r="E615">
        <v>8</v>
      </c>
      <c r="F615" s="3">
        <v>31745</v>
      </c>
      <c r="G615">
        <v>47</v>
      </c>
      <c r="H615">
        <v>14</v>
      </c>
      <c r="I615">
        <v>22</v>
      </c>
      <c r="J615">
        <v>6</v>
      </c>
      <c r="K615">
        <v>3</v>
      </c>
      <c r="L615" s="3">
        <v>7.5</v>
      </c>
      <c r="M615" t="s">
        <v>1035</v>
      </c>
      <c r="N615">
        <v>77.33</v>
      </c>
    </row>
    <row r="616" spans="1:14" x14ac:dyDescent="0.3">
      <c r="A616" t="s">
        <v>626</v>
      </c>
      <c r="B616" t="s">
        <v>1015</v>
      </c>
      <c r="C616" t="s">
        <v>1021</v>
      </c>
      <c r="D616">
        <v>51</v>
      </c>
      <c r="E616">
        <v>12</v>
      </c>
      <c r="F616" s="3">
        <v>63701</v>
      </c>
      <c r="G616">
        <v>48</v>
      </c>
      <c r="H616">
        <v>4</v>
      </c>
      <c r="I616">
        <v>19</v>
      </c>
      <c r="J616">
        <v>15</v>
      </c>
      <c r="K616">
        <v>3.6</v>
      </c>
      <c r="L616" s="3">
        <v>9.8000000000000007</v>
      </c>
      <c r="M616" t="s">
        <v>1034</v>
      </c>
      <c r="N616">
        <v>76.27</v>
      </c>
    </row>
    <row r="617" spans="1:14" x14ac:dyDescent="0.3">
      <c r="A617" t="s">
        <v>627</v>
      </c>
      <c r="B617" t="s">
        <v>1014</v>
      </c>
      <c r="C617" t="s">
        <v>1025</v>
      </c>
      <c r="D617">
        <v>43</v>
      </c>
      <c r="E617">
        <v>6</v>
      </c>
      <c r="F617" s="3">
        <v>78340</v>
      </c>
      <c r="G617">
        <v>53</v>
      </c>
      <c r="H617">
        <v>7</v>
      </c>
      <c r="I617">
        <v>25</v>
      </c>
      <c r="J617">
        <v>27</v>
      </c>
      <c r="K617">
        <v>3.7</v>
      </c>
      <c r="L617" s="3">
        <v>5.4</v>
      </c>
      <c r="M617" t="s">
        <v>1036</v>
      </c>
      <c r="N617">
        <v>55.17</v>
      </c>
    </row>
    <row r="618" spans="1:14" x14ac:dyDescent="0.3">
      <c r="A618" t="s">
        <v>628</v>
      </c>
      <c r="B618" t="s">
        <v>1018</v>
      </c>
      <c r="C618" t="s">
        <v>1027</v>
      </c>
      <c r="D618">
        <v>33</v>
      </c>
      <c r="E618">
        <v>10</v>
      </c>
      <c r="F618" s="3">
        <v>68883</v>
      </c>
      <c r="G618">
        <v>37</v>
      </c>
      <c r="H618">
        <v>12</v>
      </c>
      <c r="I618">
        <v>22</v>
      </c>
      <c r="J618">
        <v>36</v>
      </c>
      <c r="K618">
        <v>4.5</v>
      </c>
      <c r="L618" s="3">
        <v>3.8</v>
      </c>
      <c r="M618" t="s">
        <v>1036</v>
      </c>
      <c r="N618">
        <v>56.3</v>
      </c>
    </row>
    <row r="619" spans="1:14" x14ac:dyDescent="0.3">
      <c r="A619" t="s">
        <v>629</v>
      </c>
      <c r="B619" t="s">
        <v>1017</v>
      </c>
      <c r="C619" t="s">
        <v>1024</v>
      </c>
      <c r="D619">
        <v>42</v>
      </c>
      <c r="E619">
        <v>3</v>
      </c>
      <c r="F619" s="3">
        <v>78872</v>
      </c>
      <c r="G619">
        <v>49</v>
      </c>
      <c r="H619">
        <v>3</v>
      </c>
      <c r="I619">
        <v>9</v>
      </c>
      <c r="J619">
        <v>25</v>
      </c>
      <c r="K619">
        <v>2.2000000000000002</v>
      </c>
      <c r="L619" s="3">
        <v>3.8</v>
      </c>
      <c r="M619" t="s">
        <v>1036</v>
      </c>
      <c r="N619">
        <v>34.4</v>
      </c>
    </row>
    <row r="620" spans="1:14" x14ac:dyDescent="0.3">
      <c r="A620" t="s">
        <v>630</v>
      </c>
      <c r="B620" t="s">
        <v>1017</v>
      </c>
      <c r="C620" t="s">
        <v>1024</v>
      </c>
      <c r="D620">
        <v>42</v>
      </c>
      <c r="E620">
        <v>15</v>
      </c>
      <c r="F620" s="3">
        <v>67270</v>
      </c>
      <c r="G620">
        <v>36</v>
      </c>
      <c r="H620">
        <v>2</v>
      </c>
      <c r="I620">
        <v>6</v>
      </c>
      <c r="J620">
        <v>8</v>
      </c>
      <c r="K620">
        <v>4.7</v>
      </c>
      <c r="L620" s="3">
        <v>9.3000000000000007</v>
      </c>
      <c r="M620" t="s">
        <v>1034</v>
      </c>
      <c r="N620">
        <v>73.23</v>
      </c>
    </row>
    <row r="621" spans="1:14" x14ac:dyDescent="0.3">
      <c r="A621" t="s">
        <v>631</v>
      </c>
      <c r="B621" t="s">
        <v>1014</v>
      </c>
      <c r="C621" t="s">
        <v>1019</v>
      </c>
      <c r="D621">
        <v>31</v>
      </c>
      <c r="E621">
        <v>10</v>
      </c>
      <c r="F621" s="3">
        <v>34779</v>
      </c>
      <c r="G621">
        <v>49</v>
      </c>
      <c r="H621">
        <v>9</v>
      </c>
      <c r="I621">
        <v>9</v>
      </c>
      <c r="J621">
        <v>24</v>
      </c>
      <c r="K621">
        <v>3.8</v>
      </c>
      <c r="L621" s="3">
        <v>6.1</v>
      </c>
      <c r="M621" t="s">
        <v>1035</v>
      </c>
      <c r="N621">
        <v>63</v>
      </c>
    </row>
    <row r="622" spans="1:14" x14ac:dyDescent="0.3">
      <c r="A622" t="s">
        <v>632</v>
      </c>
      <c r="B622" t="s">
        <v>1016</v>
      </c>
      <c r="C622" t="s">
        <v>1022</v>
      </c>
      <c r="D622">
        <v>41</v>
      </c>
      <c r="E622">
        <v>9</v>
      </c>
      <c r="F622" s="3">
        <v>85194</v>
      </c>
      <c r="G622">
        <v>48</v>
      </c>
      <c r="H622">
        <v>12</v>
      </c>
      <c r="I622">
        <v>11</v>
      </c>
      <c r="J622">
        <v>5</v>
      </c>
      <c r="K622">
        <v>3.7</v>
      </c>
      <c r="L622" s="3">
        <v>7.3</v>
      </c>
      <c r="M622" t="s">
        <v>1035</v>
      </c>
      <c r="N622">
        <v>74.900000000000006</v>
      </c>
    </row>
    <row r="623" spans="1:14" x14ac:dyDescent="0.3">
      <c r="A623" t="s">
        <v>633</v>
      </c>
      <c r="B623" t="s">
        <v>1017</v>
      </c>
      <c r="C623" t="s">
        <v>1026</v>
      </c>
      <c r="D623">
        <v>30</v>
      </c>
      <c r="E623">
        <v>4</v>
      </c>
      <c r="F623" s="3">
        <v>29090</v>
      </c>
      <c r="G623">
        <v>46</v>
      </c>
      <c r="H623">
        <v>15</v>
      </c>
      <c r="I623">
        <v>17</v>
      </c>
      <c r="J623">
        <v>3</v>
      </c>
      <c r="K623">
        <v>2</v>
      </c>
      <c r="L623" s="3">
        <v>6.9</v>
      </c>
      <c r="M623" t="s">
        <v>1035</v>
      </c>
      <c r="N623">
        <v>72.400000000000006</v>
      </c>
    </row>
    <row r="624" spans="1:14" x14ac:dyDescent="0.3">
      <c r="A624" t="s">
        <v>634</v>
      </c>
      <c r="B624" t="s">
        <v>1014</v>
      </c>
      <c r="C624" t="s">
        <v>1031</v>
      </c>
      <c r="D624">
        <v>40</v>
      </c>
      <c r="E624">
        <v>0</v>
      </c>
      <c r="F624" s="3">
        <v>40416</v>
      </c>
      <c r="G624">
        <v>48</v>
      </c>
      <c r="H624">
        <v>12</v>
      </c>
      <c r="I624">
        <v>18</v>
      </c>
      <c r="J624">
        <v>25</v>
      </c>
      <c r="K624">
        <v>3.9</v>
      </c>
      <c r="L624" s="3">
        <v>8</v>
      </c>
      <c r="M624" t="s">
        <v>1034</v>
      </c>
      <c r="N624">
        <v>79.7</v>
      </c>
    </row>
    <row r="625" spans="1:14" x14ac:dyDescent="0.3">
      <c r="A625" t="s">
        <v>635</v>
      </c>
      <c r="B625" t="s">
        <v>1017</v>
      </c>
      <c r="C625" t="s">
        <v>1026</v>
      </c>
      <c r="D625">
        <v>49</v>
      </c>
      <c r="E625">
        <v>6</v>
      </c>
      <c r="F625" s="3">
        <v>68416</v>
      </c>
      <c r="G625">
        <v>40</v>
      </c>
      <c r="H625">
        <v>8</v>
      </c>
      <c r="I625">
        <v>4</v>
      </c>
      <c r="J625">
        <v>12</v>
      </c>
      <c r="K625">
        <v>3.7</v>
      </c>
      <c r="L625" s="3">
        <v>8.9</v>
      </c>
      <c r="M625" t="s">
        <v>1034</v>
      </c>
      <c r="N625">
        <v>77.83</v>
      </c>
    </row>
    <row r="626" spans="1:14" x14ac:dyDescent="0.3">
      <c r="A626" t="s">
        <v>636</v>
      </c>
      <c r="B626" t="s">
        <v>1017</v>
      </c>
      <c r="C626" t="s">
        <v>1026</v>
      </c>
      <c r="D626">
        <v>31</v>
      </c>
      <c r="E626">
        <v>4</v>
      </c>
      <c r="F626" s="3">
        <v>82195</v>
      </c>
      <c r="G626">
        <v>39</v>
      </c>
      <c r="H626">
        <v>3</v>
      </c>
      <c r="I626">
        <v>0</v>
      </c>
      <c r="J626">
        <v>4</v>
      </c>
      <c r="K626">
        <v>3.9</v>
      </c>
      <c r="L626" s="3">
        <v>4</v>
      </c>
      <c r="M626" t="s">
        <v>1036</v>
      </c>
      <c r="N626">
        <v>40.700000000000003</v>
      </c>
    </row>
    <row r="627" spans="1:14" x14ac:dyDescent="0.3">
      <c r="A627" t="s">
        <v>637</v>
      </c>
      <c r="B627" t="s">
        <v>1017</v>
      </c>
      <c r="C627" t="s">
        <v>1026</v>
      </c>
      <c r="D627">
        <v>30</v>
      </c>
      <c r="E627">
        <v>1</v>
      </c>
      <c r="F627" s="3">
        <v>33992</v>
      </c>
      <c r="G627">
        <v>55</v>
      </c>
      <c r="H627">
        <v>13</v>
      </c>
      <c r="I627">
        <v>13</v>
      </c>
      <c r="J627">
        <v>29</v>
      </c>
      <c r="K627">
        <v>4.7</v>
      </c>
      <c r="L627" s="3">
        <v>7.9</v>
      </c>
      <c r="M627" t="s">
        <v>1035</v>
      </c>
      <c r="N627">
        <v>83.17</v>
      </c>
    </row>
    <row r="628" spans="1:14" x14ac:dyDescent="0.3">
      <c r="A628" t="s">
        <v>638</v>
      </c>
      <c r="B628" t="s">
        <v>1015</v>
      </c>
      <c r="C628" t="s">
        <v>1020</v>
      </c>
      <c r="D628">
        <v>33</v>
      </c>
      <c r="E628">
        <v>7</v>
      </c>
      <c r="F628" s="3">
        <v>58385</v>
      </c>
      <c r="G628">
        <v>48</v>
      </c>
      <c r="H628">
        <v>9</v>
      </c>
      <c r="I628">
        <v>14</v>
      </c>
      <c r="J628">
        <v>24</v>
      </c>
      <c r="K628">
        <v>3.1</v>
      </c>
      <c r="L628" s="3">
        <v>4.3</v>
      </c>
      <c r="M628" t="s">
        <v>1036</v>
      </c>
      <c r="N628">
        <v>50.1</v>
      </c>
    </row>
    <row r="629" spans="1:14" x14ac:dyDescent="0.3">
      <c r="A629" t="s">
        <v>639</v>
      </c>
      <c r="B629" t="s">
        <v>1014</v>
      </c>
      <c r="C629" t="s">
        <v>1019</v>
      </c>
      <c r="D629">
        <v>53</v>
      </c>
      <c r="E629">
        <v>7</v>
      </c>
      <c r="F629" s="3">
        <v>71670</v>
      </c>
      <c r="G629">
        <v>51</v>
      </c>
      <c r="H629">
        <v>5</v>
      </c>
      <c r="I629">
        <v>13</v>
      </c>
      <c r="J629">
        <v>34</v>
      </c>
      <c r="K629">
        <v>3.7</v>
      </c>
      <c r="L629" s="3">
        <v>3.2</v>
      </c>
      <c r="M629" t="s">
        <v>1036</v>
      </c>
      <c r="N629">
        <v>38.630000000000003</v>
      </c>
    </row>
    <row r="630" spans="1:14" x14ac:dyDescent="0.3">
      <c r="A630" t="s">
        <v>640</v>
      </c>
      <c r="B630" t="s">
        <v>1015</v>
      </c>
      <c r="C630" t="s">
        <v>1021</v>
      </c>
      <c r="D630">
        <v>52</v>
      </c>
      <c r="E630">
        <v>11</v>
      </c>
      <c r="F630" s="3">
        <v>32416</v>
      </c>
      <c r="G630">
        <v>53</v>
      </c>
      <c r="H630">
        <v>8</v>
      </c>
      <c r="I630">
        <v>22</v>
      </c>
      <c r="J630">
        <v>5</v>
      </c>
      <c r="K630">
        <v>2.4</v>
      </c>
      <c r="L630" s="3">
        <v>8.1</v>
      </c>
      <c r="M630" t="s">
        <v>1034</v>
      </c>
      <c r="N630">
        <v>69.13</v>
      </c>
    </row>
    <row r="631" spans="1:14" x14ac:dyDescent="0.3">
      <c r="A631" t="s">
        <v>641</v>
      </c>
      <c r="B631" t="s">
        <v>1017</v>
      </c>
      <c r="C631" t="s">
        <v>1024</v>
      </c>
      <c r="D631">
        <v>55</v>
      </c>
      <c r="E631">
        <v>2</v>
      </c>
      <c r="F631" s="3">
        <v>59298</v>
      </c>
      <c r="G631">
        <v>54</v>
      </c>
      <c r="H631">
        <v>2</v>
      </c>
      <c r="I631">
        <v>7</v>
      </c>
      <c r="J631">
        <v>30</v>
      </c>
      <c r="K631">
        <v>3.9</v>
      </c>
      <c r="L631" s="3">
        <v>7.6</v>
      </c>
      <c r="M631" t="s">
        <v>1035</v>
      </c>
      <c r="N631">
        <v>60.63</v>
      </c>
    </row>
    <row r="632" spans="1:14" x14ac:dyDescent="0.3">
      <c r="A632" t="s">
        <v>642</v>
      </c>
      <c r="B632" t="s">
        <v>1014</v>
      </c>
      <c r="C632" t="s">
        <v>1031</v>
      </c>
      <c r="D632">
        <v>41</v>
      </c>
      <c r="E632">
        <v>1</v>
      </c>
      <c r="F632" s="3">
        <v>84217</v>
      </c>
      <c r="G632">
        <v>45</v>
      </c>
      <c r="H632">
        <v>9</v>
      </c>
      <c r="I632">
        <v>24</v>
      </c>
      <c r="J632">
        <v>0</v>
      </c>
      <c r="K632">
        <v>3.4</v>
      </c>
      <c r="L632" s="3">
        <v>6.6</v>
      </c>
      <c r="M632" t="s">
        <v>1035</v>
      </c>
      <c r="N632">
        <v>64.8</v>
      </c>
    </row>
    <row r="633" spans="1:14" x14ac:dyDescent="0.3">
      <c r="A633" t="s">
        <v>643</v>
      </c>
      <c r="B633" t="s">
        <v>1015</v>
      </c>
      <c r="C633" t="s">
        <v>1021</v>
      </c>
      <c r="D633">
        <v>43</v>
      </c>
      <c r="E633">
        <v>13</v>
      </c>
      <c r="F633" s="3">
        <v>48128</v>
      </c>
      <c r="G633">
        <v>44</v>
      </c>
      <c r="H633">
        <v>5</v>
      </c>
      <c r="I633">
        <v>5</v>
      </c>
      <c r="J633">
        <v>2</v>
      </c>
      <c r="K633">
        <v>4.0999999999999996</v>
      </c>
      <c r="L633" s="3">
        <v>7.2</v>
      </c>
      <c r="M633" t="s">
        <v>1035</v>
      </c>
      <c r="N633">
        <v>63.83</v>
      </c>
    </row>
    <row r="634" spans="1:14" x14ac:dyDescent="0.3">
      <c r="A634" t="s">
        <v>644</v>
      </c>
      <c r="B634" t="s">
        <v>1015</v>
      </c>
      <c r="C634" t="s">
        <v>1020</v>
      </c>
      <c r="D634">
        <v>38</v>
      </c>
      <c r="E634">
        <v>1</v>
      </c>
      <c r="F634" s="3">
        <v>66241</v>
      </c>
      <c r="G634">
        <v>50</v>
      </c>
      <c r="H634">
        <v>10</v>
      </c>
      <c r="I634">
        <v>5</v>
      </c>
      <c r="J634">
        <v>36</v>
      </c>
      <c r="K634">
        <v>2.2000000000000002</v>
      </c>
      <c r="L634" s="3">
        <v>9.9</v>
      </c>
      <c r="M634" t="s">
        <v>1034</v>
      </c>
      <c r="N634">
        <v>82.67</v>
      </c>
    </row>
    <row r="635" spans="1:14" x14ac:dyDescent="0.3">
      <c r="A635" t="s">
        <v>645</v>
      </c>
      <c r="B635" t="s">
        <v>1015</v>
      </c>
      <c r="C635" t="s">
        <v>1029</v>
      </c>
      <c r="D635">
        <v>23</v>
      </c>
      <c r="E635">
        <v>1</v>
      </c>
      <c r="F635" s="3">
        <v>56769</v>
      </c>
      <c r="G635">
        <v>37</v>
      </c>
      <c r="H635">
        <v>3</v>
      </c>
      <c r="I635">
        <v>16</v>
      </c>
      <c r="J635">
        <v>4</v>
      </c>
      <c r="K635">
        <v>4.5999999999999996</v>
      </c>
      <c r="L635" s="3">
        <v>4.9000000000000004</v>
      </c>
      <c r="M635" t="s">
        <v>1036</v>
      </c>
      <c r="N635">
        <v>48.2</v>
      </c>
    </row>
    <row r="636" spans="1:14" x14ac:dyDescent="0.3">
      <c r="A636" t="s">
        <v>646</v>
      </c>
      <c r="B636" t="s">
        <v>1015</v>
      </c>
      <c r="C636" t="s">
        <v>1020</v>
      </c>
      <c r="D636">
        <v>39</v>
      </c>
      <c r="E636">
        <v>8</v>
      </c>
      <c r="F636" s="3">
        <v>81220</v>
      </c>
      <c r="G636">
        <v>43</v>
      </c>
      <c r="H636">
        <v>1</v>
      </c>
      <c r="I636">
        <v>23</v>
      </c>
      <c r="J636">
        <v>7</v>
      </c>
      <c r="K636">
        <v>3.8</v>
      </c>
      <c r="L636" s="3">
        <v>9.4</v>
      </c>
      <c r="M636" t="s">
        <v>1034</v>
      </c>
      <c r="N636">
        <v>69.47</v>
      </c>
    </row>
    <row r="637" spans="1:14" x14ac:dyDescent="0.3">
      <c r="A637" t="s">
        <v>647</v>
      </c>
      <c r="B637" t="s">
        <v>1018</v>
      </c>
      <c r="C637" t="s">
        <v>1028</v>
      </c>
      <c r="D637">
        <v>50</v>
      </c>
      <c r="E637">
        <v>11</v>
      </c>
      <c r="F637" s="3">
        <v>77942</v>
      </c>
      <c r="G637">
        <v>40</v>
      </c>
      <c r="H637">
        <v>5</v>
      </c>
      <c r="I637">
        <v>25</v>
      </c>
      <c r="J637">
        <v>15</v>
      </c>
      <c r="K637">
        <v>3.5</v>
      </c>
      <c r="L637" s="3">
        <v>8.6</v>
      </c>
      <c r="M637" t="s">
        <v>1034</v>
      </c>
      <c r="N637">
        <v>70.430000000000007</v>
      </c>
    </row>
    <row r="638" spans="1:14" x14ac:dyDescent="0.3">
      <c r="A638" t="s">
        <v>648</v>
      </c>
      <c r="B638" t="s">
        <v>1016</v>
      </c>
      <c r="C638" t="s">
        <v>1033</v>
      </c>
      <c r="D638">
        <v>27</v>
      </c>
      <c r="E638">
        <v>1</v>
      </c>
      <c r="F638" s="3">
        <v>64029</v>
      </c>
      <c r="G638">
        <v>39</v>
      </c>
      <c r="H638">
        <v>14</v>
      </c>
      <c r="I638">
        <v>15</v>
      </c>
      <c r="J638">
        <v>26</v>
      </c>
      <c r="K638">
        <v>4.3</v>
      </c>
      <c r="L638" s="3">
        <v>4.7</v>
      </c>
      <c r="M638" t="s">
        <v>1036</v>
      </c>
      <c r="N638">
        <v>64.430000000000007</v>
      </c>
    </row>
    <row r="639" spans="1:14" x14ac:dyDescent="0.3">
      <c r="A639" t="s">
        <v>649</v>
      </c>
      <c r="B639" t="s">
        <v>1018</v>
      </c>
      <c r="C639" t="s">
        <v>1028</v>
      </c>
      <c r="D639">
        <v>35</v>
      </c>
      <c r="E639">
        <v>9</v>
      </c>
      <c r="F639" s="3">
        <v>73127</v>
      </c>
      <c r="G639">
        <v>46</v>
      </c>
      <c r="H639">
        <v>1</v>
      </c>
      <c r="I639">
        <v>20</v>
      </c>
      <c r="J639">
        <v>16</v>
      </c>
      <c r="K639">
        <v>4.3</v>
      </c>
      <c r="L639" s="3">
        <v>3.8</v>
      </c>
      <c r="M639" t="s">
        <v>1036</v>
      </c>
      <c r="N639">
        <v>37.369999999999997</v>
      </c>
    </row>
    <row r="640" spans="1:14" x14ac:dyDescent="0.3">
      <c r="A640" t="s">
        <v>650</v>
      </c>
      <c r="B640" t="s">
        <v>1017</v>
      </c>
      <c r="C640" t="s">
        <v>1026</v>
      </c>
      <c r="D640">
        <v>47</v>
      </c>
      <c r="E640">
        <v>15</v>
      </c>
      <c r="F640" s="3">
        <v>44750</v>
      </c>
      <c r="G640">
        <v>50</v>
      </c>
      <c r="H640">
        <v>12</v>
      </c>
      <c r="I640">
        <v>24</v>
      </c>
      <c r="J640">
        <v>34</v>
      </c>
      <c r="K640">
        <v>2.7</v>
      </c>
      <c r="L640" s="3">
        <v>7.8</v>
      </c>
      <c r="M640" t="s">
        <v>1035</v>
      </c>
      <c r="N640">
        <v>74.900000000000006</v>
      </c>
    </row>
    <row r="641" spans="1:14" x14ac:dyDescent="0.3">
      <c r="A641" t="s">
        <v>651</v>
      </c>
      <c r="B641" t="s">
        <v>1017</v>
      </c>
      <c r="C641" t="s">
        <v>1024</v>
      </c>
      <c r="D641">
        <v>38</v>
      </c>
      <c r="E641">
        <v>4</v>
      </c>
      <c r="F641" s="3">
        <v>59763</v>
      </c>
      <c r="G641">
        <v>48</v>
      </c>
      <c r="H641">
        <v>1</v>
      </c>
      <c r="I641">
        <v>9</v>
      </c>
      <c r="J641">
        <v>28</v>
      </c>
      <c r="K641">
        <v>3.1</v>
      </c>
      <c r="L641" s="3">
        <v>5.2</v>
      </c>
      <c r="M641" t="s">
        <v>1036</v>
      </c>
      <c r="N641">
        <v>42.17</v>
      </c>
    </row>
    <row r="642" spans="1:14" x14ac:dyDescent="0.3">
      <c r="A642" t="s">
        <v>652</v>
      </c>
      <c r="B642" t="s">
        <v>1014</v>
      </c>
      <c r="C642" t="s">
        <v>1019</v>
      </c>
      <c r="D642">
        <v>28</v>
      </c>
      <c r="E642">
        <v>5</v>
      </c>
      <c r="F642" s="3">
        <v>87664</v>
      </c>
      <c r="G642">
        <v>48</v>
      </c>
      <c r="H642">
        <v>10</v>
      </c>
      <c r="I642">
        <v>20</v>
      </c>
      <c r="J642">
        <v>17</v>
      </c>
      <c r="K642">
        <v>3</v>
      </c>
      <c r="L642" s="3">
        <v>4.9000000000000004</v>
      </c>
      <c r="M642" t="s">
        <v>1036</v>
      </c>
      <c r="N642">
        <v>55.07</v>
      </c>
    </row>
    <row r="643" spans="1:14" x14ac:dyDescent="0.3">
      <c r="A643" t="s">
        <v>653</v>
      </c>
      <c r="B643" t="s">
        <v>1016</v>
      </c>
      <c r="C643" t="s">
        <v>1022</v>
      </c>
      <c r="D643">
        <v>47</v>
      </c>
      <c r="E643">
        <v>14</v>
      </c>
      <c r="F643" s="3">
        <v>75669</v>
      </c>
      <c r="G643">
        <v>42</v>
      </c>
      <c r="H643">
        <v>12</v>
      </c>
      <c r="I643">
        <v>21</v>
      </c>
      <c r="J643">
        <v>37</v>
      </c>
      <c r="K643">
        <v>4.3</v>
      </c>
      <c r="L643" s="3">
        <v>6.6</v>
      </c>
      <c r="M643" t="s">
        <v>1035</v>
      </c>
      <c r="N643">
        <v>72.5</v>
      </c>
    </row>
    <row r="644" spans="1:14" x14ac:dyDescent="0.3">
      <c r="A644" t="s">
        <v>654</v>
      </c>
      <c r="B644" t="s">
        <v>1018</v>
      </c>
      <c r="C644" t="s">
        <v>1027</v>
      </c>
      <c r="D644">
        <v>42</v>
      </c>
      <c r="E644">
        <v>0</v>
      </c>
      <c r="F644" s="3">
        <v>69092</v>
      </c>
      <c r="G644">
        <v>35</v>
      </c>
      <c r="H644">
        <v>14</v>
      </c>
      <c r="I644">
        <v>2</v>
      </c>
      <c r="J644">
        <v>0</v>
      </c>
      <c r="K644">
        <v>3.2</v>
      </c>
      <c r="L644" s="3">
        <v>6.7</v>
      </c>
      <c r="M644" t="s">
        <v>1035</v>
      </c>
      <c r="N644">
        <v>73.13</v>
      </c>
    </row>
    <row r="645" spans="1:14" x14ac:dyDescent="0.3">
      <c r="A645" t="s">
        <v>655</v>
      </c>
      <c r="B645" t="s">
        <v>1017</v>
      </c>
      <c r="C645" t="s">
        <v>1024</v>
      </c>
      <c r="D645">
        <v>44</v>
      </c>
      <c r="E645">
        <v>7</v>
      </c>
      <c r="F645" s="3">
        <v>72530</v>
      </c>
      <c r="G645">
        <v>44</v>
      </c>
      <c r="H645">
        <v>5</v>
      </c>
      <c r="I645">
        <v>6</v>
      </c>
      <c r="J645">
        <v>2</v>
      </c>
      <c r="K645">
        <v>2.1</v>
      </c>
      <c r="L645" s="3">
        <v>3.6</v>
      </c>
      <c r="M645" t="s">
        <v>1036</v>
      </c>
      <c r="N645">
        <v>36.229999999999997</v>
      </c>
    </row>
    <row r="646" spans="1:14" x14ac:dyDescent="0.3">
      <c r="A646" t="s">
        <v>656</v>
      </c>
      <c r="B646" t="s">
        <v>1018</v>
      </c>
      <c r="C646" t="s">
        <v>1028</v>
      </c>
      <c r="D646">
        <v>29</v>
      </c>
      <c r="E646">
        <v>1</v>
      </c>
      <c r="F646" s="3">
        <v>30661</v>
      </c>
      <c r="G646">
        <v>54</v>
      </c>
      <c r="H646">
        <v>3</v>
      </c>
      <c r="I646">
        <v>12</v>
      </c>
      <c r="J646">
        <v>36</v>
      </c>
      <c r="K646">
        <v>4.4000000000000004</v>
      </c>
      <c r="L646" s="3">
        <v>4.3</v>
      </c>
      <c r="M646" t="s">
        <v>1036</v>
      </c>
      <c r="N646">
        <v>44</v>
      </c>
    </row>
    <row r="647" spans="1:14" x14ac:dyDescent="0.3">
      <c r="A647" t="s">
        <v>657</v>
      </c>
      <c r="B647" t="s">
        <v>1018</v>
      </c>
      <c r="C647" t="s">
        <v>1027</v>
      </c>
      <c r="D647">
        <v>38</v>
      </c>
      <c r="E647">
        <v>9</v>
      </c>
      <c r="F647" s="3">
        <v>55602</v>
      </c>
      <c r="G647">
        <v>37</v>
      </c>
      <c r="H647">
        <v>11</v>
      </c>
      <c r="I647">
        <v>14</v>
      </c>
      <c r="J647">
        <v>17</v>
      </c>
      <c r="K647">
        <v>4.3</v>
      </c>
      <c r="L647" s="3">
        <v>7.8</v>
      </c>
      <c r="M647" t="s">
        <v>1035</v>
      </c>
      <c r="N647">
        <v>78.03</v>
      </c>
    </row>
    <row r="648" spans="1:14" x14ac:dyDescent="0.3">
      <c r="A648" t="s">
        <v>658</v>
      </c>
      <c r="B648" t="s">
        <v>1016</v>
      </c>
      <c r="C648" t="s">
        <v>1023</v>
      </c>
      <c r="D648">
        <v>38</v>
      </c>
      <c r="E648">
        <v>5</v>
      </c>
      <c r="F648" s="3">
        <v>76166</v>
      </c>
      <c r="G648">
        <v>37</v>
      </c>
      <c r="H648">
        <v>5</v>
      </c>
      <c r="I648">
        <v>24</v>
      </c>
      <c r="J648">
        <v>3</v>
      </c>
      <c r="K648">
        <v>3.1</v>
      </c>
      <c r="L648" s="3">
        <v>5.3</v>
      </c>
      <c r="M648" t="s">
        <v>1036</v>
      </c>
      <c r="N648">
        <v>49.43</v>
      </c>
    </row>
    <row r="649" spans="1:14" x14ac:dyDescent="0.3">
      <c r="A649" t="s">
        <v>659</v>
      </c>
      <c r="B649" t="s">
        <v>1016</v>
      </c>
      <c r="C649" t="s">
        <v>1023</v>
      </c>
      <c r="D649">
        <v>38</v>
      </c>
      <c r="E649">
        <v>5</v>
      </c>
      <c r="F649" s="3">
        <v>53873</v>
      </c>
      <c r="G649">
        <v>37</v>
      </c>
      <c r="H649">
        <v>8</v>
      </c>
      <c r="I649">
        <v>6</v>
      </c>
      <c r="J649">
        <v>39</v>
      </c>
      <c r="K649">
        <v>3.2</v>
      </c>
      <c r="L649" s="3">
        <v>7.5</v>
      </c>
      <c r="M649" t="s">
        <v>1035</v>
      </c>
      <c r="N649">
        <v>67.930000000000007</v>
      </c>
    </row>
    <row r="650" spans="1:14" x14ac:dyDescent="0.3">
      <c r="A650" t="s">
        <v>660</v>
      </c>
      <c r="B650" t="s">
        <v>1018</v>
      </c>
      <c r="C650" t="s">
        <v>1027</v>
      </c>
      <c r="D650">
        <v>49</v>
      </c>
      <c r="E650">
        <v>6</v>
      </c>
      <c r="F650" s="3">
        <v>65236</v>
      </c>
      <c r="G650">
        <v>55</v>
      </c>
      <c r="H650">
        <v>2</v>
      </c>
      <c r="I650">
        <v>14</v>
      </c>
      <c r="J650">
        <v>16</v>
      </c>
      <c r="K650">
        <v>2.2999999999999998</v>
      </c>
      <c r="L650" s="3">
        <v>3.5</v>
      </c>
      <c r="M650" t="s">
        <v>1036</v>
      </c>
      <c r="N650">
        <v>31.23</v>
      </c>
    </row>
    <row r="651" spans="1:14" x14ac:dyDescent="0.3">
      <c r="A651" t="s">
        <v>661</v>
      </c>
      <c r="B651" t="s">
        <v>1016</v>
      </c>
      <c r="C651" t="s">
        <v>1033</v>
      </c>
      <c r="D651">
        <v>50</v>
      </c>
      <c r="E651">
        <v>0</v>
      </c>
      <c r="F651" s="3">
        <v>83753</v>
      </c>
      <c r="G651">
        <v>50</v>
      </c>
      <c r="H651">
        <v>3</v>
      </c>
      <c r="I651">
        <v>20</v>
      </c>
      <c r="J651">
        <v>40</v>
      </c>
      <c r="K651">
        <v>2</v>
      </c>
      <c r="L651" s="3">
        <v>3.3</v>
      </c>
      <c r="M651" t="s">
        <v>1036</v>
      </c>
      <c r="N651">
        <v>30.8</v>
      </c>
    </row>
    <row r="652" spans="1:14" x14ac:dyDescent="0.3">
      <c r="A652" t="s">
        <v>662</v>
      </c>
      <c r="B652" t="s">
        <v>1016</v>
      </c>
      <c r="C652" t="s">
        <v>1033</v>
      </c>
      <c r="D652">
        <v>31</v>
      </c>
      <c r="E652">
        <v>5</v>
      </c>
      <c r="F652" s="3">
        <v>84285</v>
      </c>
      <c r="G652">
        <v>47</v>
      </c>
      <c r="H652">
        <v>10</v>
      </c>
      <c r="I652">
        <v>0</v>
      </c>
      <c r="J652">
        <v>32</v>
      </c>
      <c r="K652">
        <v>4.0999999999999996</v>
      </c>
      <c r="L652" s="3">
        <v>8.4</v>
      </c>
      <c r="M652" t="s">
        <v>1034</v>
      </c>
      <c r="N652">
        <v>79.37</v>
      </c>
    </row>
    <row r="653" spans="1:14" x14ac:dyDescent="0.3">
      <c r="A653" t="s">
        <v>663</v>
      </c>
      <c r="B653" t="s">
        <v>1017</v>
      </c>
      <c r="C653" t="s">
        <v>1026</v>
      </c>
      <c r="D653">
        <v>47</v>
      </c>
      <c r="E653">
        <v>2</v>
      </c>
      <c r="F653" s="3">
        <v>60397</v>
      </c>
      <c r="G653">
        <v>42</v>
      </c>
      <c r="H653">
        <v>1</v>
      </c>
      <c r="I653">
        <v>12</v>
      </c>
      <c r="J653">
        <v>30</v>
      </c>
      <c r="K653">
        <v>2.4</v>
      </c>
      <c r="L653" s="3">
        <v>6.7</v>
      </c>
      <c r="M653" t="s">
        <v>1035</v>
      </c>
      <c r="N653">
        <v>49.07</v>
      </c>
    </row>
    <row r="654" spans="1:14" x14ac:dyDescent="0.3">
      <c r="A654" t="s">
        <v>664</v>
      </c>
      <c r="B654" t="s">
        <v>1016</v>
      </c>
      <c r="C654" t="s">
        <v>1023</v>
      </c>
      <c r="D654">
        <v>41</v>
      </c>
      <c r="E654">
        <v>12</v>
      </c>
      <c r="F654" s="3">
        <v>28617</v>
      </c>
      <c r="G654">
        <v>55</v>
      </c>
      <c r="H654">
        <v>11</v>
      </c>
      <c r="I654">
        <v>2</v>
      </c>
      <c r="J654">
        <v>23</v>
      </c>
      <c r="K654">
        <v>3.6</v>
      </c>
      <c r="L654" s="3">
        <v>9.6999999999999993</v>
      </c>
      <c r="M654" t="s">
        <v>1034</v>
      </c>
      <c r="N654">
        <v>87.33</v>
      </c>
    </row>
    <row r="655" spans="1:14" x14ac:dyDescent="0.3">
      <c r="A655" t="s">
        <v>665</v>
      </c>
      <c r="B655" t="s">
        <v>1017</v>
      </c>
      <c r="C655" t="s">
        <v>1030</v>
      </c>
      <c r="D655">
        <v>40</v>
      </c>
      <c r="E655">
        <v>6</v>
      </c>
      <c r="F655" s="3">
        <v>36574</v>
      </c>
      <c r="G655">
        <v>52</v>
      </c>
      <c r="H655">
        <v>1</v>
      </c>
      <c r="I655">
        <v>12</v>
      </c>
      <c r="J655">
        <v>12</v>
      </c>
      <c r="K655">
        <v>2.9</v>
      </c>
      <c r="L655" s="3">
        <v>5.7</v>
      </c>
      <c r="M655" t="s">
        <v>1036</v>
      </c>
      <c r="N655">
        <v>44.57</v>
      </c>
    </row>
    <row r="656" spans="1:14" x14ac:dyDescent="0.3">
      <c r="A656" t="s">
        <v>666</v>
      </c>
      <c r="B656" t="s">
        <v>1016</v>
      </c>
      <c r="C656" t="s">
        <v>1022</v>
      </c>
      <c r="D656">
        <v>53</v>
      </c>
      <c r="E656">
        <v>2</v>
      </c>
      <c r="F656" s="3">
        <v>83013</v>
      </c>
      <c r="G656">
        <v>55</v>
      </c>
      <c r="H656">
        <v>8</v>
      </c>
      <c r="I656">
        <v>23</v>
      </c>
      <c r="J656">
        <v>12</v>
      </c>
      <c r="K656">
        <v>2.4</v>
      </c>
      <c r="L656" s="3">
        <v>4.4000000000000004</v>
      </c>
      <c r="M656" t="s">
        <v>1036</v>
      </c>
      <c r="N656">
        <v>46.93</v>
      </c>
    </row>
    <row r="657" spans="1:14" x14ac:dyDescent="0.3">
      <c r="A657" t="s">
        <v>667</v>
      </c>
      <c r="B657" t="s">
        <v>1015</v>
      </c>
      <c r="C657" t="s">
        <v>1021</v>
      </c>
      <c r="D657">
        <v>37</v>
      </c>
      <c r="E657">
        <v>15</v>
      </c>
      <c r="F657" s="3">
        <v>50478</v>
      </c>
      <c r="G657">
        <v>37</v>
      </c>
      <c r="H657">
        <v>13</v>
      </c>
      <c r="I657">
        <v>17</v>
      </c>
      <c r="J657">
        <v>19</v>
      </c>
      <c r="K657">
        <v>3.5</v>
      </c>
      <c r="L657" s="3">
        <v>9.8000000000000007</v>
      </c>
      <c r="M657" t="s">
        <v>1034</v>
      </c>
      <c r="N657">
        <v>90.97</v>
      </c>
    </row>
    <row r="658" spans="1:14" x14ac:dyDescent="0.3">
      <c r="A658" t="s">
        <v>668</v>
      </c>
      <c r="B658" t="s">
        <v>1014</v>
      </c>
      <c r="C658" t="s">
        <v>1025</v>
      </c>
      <c r="D658">
        <v>24</v>
      </c>
      <c r="E658">
        <v>2</v>
      </c>
      <c r="F658" s="3">
        <v>28673</v>
      </c>
      <c r="G658">
        <v>45</v>
      </c>
      <c r="H658">
        <v>13</v>
      </c>
      <c r="I658">
        <v>23</v>
      </c>
      <c r="J658">
        <v>2</v>
      </c>
      <c r="K658">
        <v>3.2</v>
      </c>
      <c r="L658" s="3">
        <v>4.5</v>
      </c>
      <c r="M658" t="s">
        <v>1036</v>
      </c>
      <c r="N658">
        <v>58.27</v>
      </c>
    </row>
    <row r="659" spans="1:14" x14ac:dyDescent="0.3">
      <c r="A659" t="s">
        <v>669</v>
      </c>
      <c r="B659" t="s">
        <v>1015</v>
      </c>
      <c r="C659" t="s">
        <v>1029</v>
      </c>
      <c r="D659">
        <v>51</v>
      </c>
      <c r="E659">
        <v>4</v>
      </c>
      <c r="F659" s="3">
        <v>73565</v>
      </c>
      <c r="G659">
        <v>53</v>
      </c>
      <c r="H659">
        <v>4</v>
      </c>
      <c r="I659">
        <v>2</v>
      </c>
      <c r="J659">
        <v>2</v>
      </c>
      <c r="K659">
        <v>4.2</v>
      </c>
      <c r="L659" s="3">
        <v>6.4</v>
      </c>
      <c r="M659" t="s">
        <v>1035</v>
      </c>
      <c r="N659">
        <v>57.67</v>
      </c>
    </row>
    <row r="660" spans="1:14" x14ac:dyDescent="0.3">
      <c r="A660" t="s">
        <v>670</v>
      </c>
      <c r="B660" t="s">
        <v>1017</v>
      </c>
      <c r="C660" t="s">
        <v>1030</v>
      </c>
      <c r="D660">
        <v>24</v>
      </c>
      <c r="E660">
        <v>1</v>
      </c>
      <c r="F660" s="3">
        <v>70960</v>
      </c>
      <c r="G660">
        <v>55</v>
      </c>
      <c r="H660">
        <v>3</v>
      </c>
      <c r="I660">
        <v>0</v>
      </c>
      <c r="J660">
        <v>11</v>
      </c>
      <c r="K660">
        <v>3.9</v>
      </c>
      <c r="L660" s="3">
        <v>9.3000000000000007</v>
      </c>
      <c r="M660" t="s">
        <v>1034</v>
      </c>
      <c r="N660">
        <v>72.5</v>
      </c>
    </row>
    <row r="661" spans="1:14" x14ac:dyDescent="0.3">
      <c r="A661" t="s">
        <v>671</v>
      </c>
      <c r="B661" t="s">
        <v>1017</v>
      </c>
      <c r="C661" t="s">
        <v>1030</v>
      </c>
      <c r="D661">
        <v>32</v>
      </c>
      <c r="E661">
        <v>9</v>
      </c>
      <c r="F661" s="3">
        <v>29191</v>
      </c>
      <c r="G661">
        <v>38</v>
      </c>
      <c r="H661">
        <v>2</v>
      </c>
      <c r="I661">
        <v>15</v>
      </c>
      <c r="J661">
        <v>38</v>
      </c>
      <c r="K661">
        <v>4.4000000000000004</v>
      </c>
      <c r="L661" s="3">
        <v>4.5</v>
      </c>
      <c r="M661" t="s">
        <v>1036</v>
      </c>
      <c r="N661">
        <v>43.53</v>
      </c>
    </row>
    <row r="662" spans="1:14" x14ac:dyDescent="0.3">
      <c r="A662" t="s">
        <v>672</v>
      </c>
      <c r="B662" t="s">
        <v>1017</v>
      </c>
      <c r="C662" t="s">
        <v>1030</v>
      </c>
      <c r="D662">
        <v>43</v>
      </c>
      <c r="E662">
        <v>12</v>
      </c>
      <c r="F662" s="3">
        <v>46249</v>
      </c>
      <c r="G662">
        <v>38</v>
      </c>
      <c r="H662">
        <v>11</v>
      </c>
      <c r="I662">
        <v>18</v>
      </c>
      <c r="J662">
        <v>34</v>
      </c>
      <c r="K662">
        <v>2.4</v>
      </c>
      <c r="L662" s="3">
        <v>8.9</v>
      </c>
      <c r="M662" t="s">
        <v>1034</v>
      </c>
      <c r="N662">
        <v>78.930000000000007</v>
      </c>
    </row>
    <row r="663" spans="1:14" x14ac:dyDescent="0.3">
      <c r="A663" t="s">
        <v>673</v>
      </c>
      <c r="B663" t="s">
        <v>1014</v>
      </c>
      <c r="C663" t="s">
        <v>1019</v>
      </c>
      <c r="D663">
        <v>33</v>
      </c>
      <c r="E663">
        <v>5</v>
      </c>
      <c r="F663" s="3">
        <v>29143</v>
      </c>
      <c r="G663">
        <v>38</v>
      </c>
      <c r="H663">
        <v>5</v>
      </c>
      <c r="I663">
        <v>4</v>
      </c>
      <c r="J663">
        <v>26</v>
      </c>
      <c r="K663">
        <v>2.5</v>
      </c>
      <c r="L663" s="3">
        <v>5.6</v>
      </c>
      <c r="M663" t="s">
        <v>1036</v>
      </c>
      <c r="N663">
        <v>49.43</v>
      </c>
    </row>
    <row r="664" spans="1:14" x14ac:dyDescent="0.3">
      <c r="A664" t="s">
        <v>674</v>
      </c>
      <c r="B664" t="s">
        <v>1017</v>
      </c>
      <c r="C664" t="s">
        <v>1026</v>
      </c>
      <c r="D664">
        <v>37</v>
      </c>
      <c r="E664">
        <v>1</v>
      </c>
      <c r="F664" s="3">
        <v>33740</v>
      </c>
      <c r="G664">
        <v>38</v>
      </c>
      <c r="H664">
        <v>13</v>
      </c>
      <c r="I664">
        <v>20</v>
      </c>
      <c r="J664">
        <v>39</v>
      </c>
      <c r="K664">
        <v>3.1</v>
      </c>
      <c r="L664" s="3">
        <v>4.0999999999999996</v>
      </c>
      <c r="M664" t="s">
        <v>1036</v>
      </c>
      <c r="N664">
        <v>55.57</v>
      </c>
    </row>
    <row r="665" spans="1:14" x14ac:dyDescent="0.3">
      <c r="A665" t="s">
        <v>675</v>
      </c>
      <c r="B665" t="s">
        <v>1014</v>
      </c>
      <c r="C665" t="s">
        <v>1031</v>
      </c>
      <c r="D665">
        <v>22</v>
      </c>
      <c r="E665">
        <v>0</v>
      </c>
      <c r="F665" s="3">
        <v>36758</v>
      </c>
      <c r="G665">
        <v>37</v>
      </c>
      <c r="H665">
        <v>12</v>
      </c>
      <c r="I665">
        <v>20</v>
      </c>
      <c r="J665">
        <v>37</v>
      </c>
      <c r="K665">
        <v>4.7</v>
      </c>
      <c r="L665" s="3">
        <v>5.9</v>
      </c>
      <c r="M665" t="s">
        <v>1036</v>
      </c>
      <c r="N665">
        <v>69.5</v>
      </c>
    </row>
    <row r="666" spans="1:14" x14ac:dyDescent="0.3">
      <c r="A666" t="s">
        <v>676</v>
      </c>
      <c r="B666" t="s">
        <v>1018</v>
      </c>
      <c r="C666" t="s">
        <v>1027</v>
      </c>
      <c r="D666">
        <v>35</v>
      </c>
      <c r="E666">
        <v>2</v>
      </c>
      <c r="F666" s="3">
        <v>66931</v>
      </c>
      <c r="G666">
        <v>43</v>
      </c>
      <c r="H666">
        <v>9</v>
      </c>
      <c r="I666">
        <v>14</v>
      </c>
      <c r="J666">
        <v>26</v>
      </c>
      <c r="K666">
        <v>2.7</v>
      </c>
      <c r="L666" s="3">
        <v>4.2</v>
      </c>
      <c r="M666" t="s">
        <v>1036</v>
      </c>
      <c r="N666">
        <v>48.3</v>
      </c>
    </row>
    <row r="667" spans="1:14" x14ac:dyDescent="0.3">
      <c r="A667" t="s">
        <v>677</v>
      </c>
      <c r="B667" t="s">
        <v>1014</v>
      </c>
      <c r="C667" t="s">
        <v>1019</v>
      </c>
      <c r="D667">
        <v>33</v>
      </c>
      <c r="E667">
        <v>11</v>
      </c>
      <c r="F667" s="3">
        <v>57760</v>
      </c>
      <c r="G667">
        <v>54</v>
      </c>
      <c r="H667">
        <v>2</v>
      </c>
      <c r="I667">
        <v>20</v>
      </c>
      <c r="J667">
        <v>19</v>
      </c>
      <c r="K667">
        <v>3</v>
      </c>
      <c r="L667" s="3">
        <v>3</v>
      </c>
      <c r="M667" t="s">
        <v>1036</v>
      </c>
      <c r="N667">
        <v>30.33</v>
      </c>
    </row>
    <row r="668" spans="1:14" x14ac:dyDescent="0.3">
      <c r="A668" t="s">
        <v>678</v>
      </c>
      <c r="B668" t="s">
        <v>1018</v>
      </c>
      <c r="C668" t="s">
        <v>1027</v>
      </c>
      <c r="D668">
        <v>29</v>
      </c>
      <c r="E668">
        <v>8</v>
      </c>
      <c r="F668" s="3">
        <v>89015</v>
      </c>
      <c r="G668">
        <v>38</v>
      </c>
      <c r="H668">
        <v>10</v>
      </c>
      <c r="I668">
        <v>11</v>
      </c>
      <c r="J668">
        <v>34</v>
      </c>
      <c r="K668">
        <v>3.5</v>
      </c>
      <c r="L668" s="3">
        <v>6.2</v>
      </c>
      <c r="M668" t="s">
        <v>1035</v>
      </c>
      <c r="N668">
        <v>64.37</v>
      </c>
    </row>
    <row r="669" spans="1:14" x14ac:dyDescent="0.3">
      <c r="A669" t="s">
        <v>679</v>
      </c>
      <c r="B669" t="s">
        <v>1018</v>
      </c>
      <c r="C669" t="s">
        <v>1028</v>
      </c>
      <c r="D669">
        <v>39</v>
      </c>
      <c r="E669">
        <v>1</v>
      </c>
      <c r="F669" s="3">
        <v>37695</v>
      </c>
      <c r="G669">
        <v>38</v>
      </c>
      <c r="H669">
        <v>13</v>
      </c>
      <c r="I669">
        <v>4</v>
      </c>
      <c r="J669">
        <v>30</v>
      </c>
      <c r="K669">
        <v>3.5</v>
      </c>
      <c r="L669" s="3">
        <v>4.0999999999999996</v>
      </c>
      <c r="M669" t="s">
        <v>1036</v>
      </c>
      <c r="N669">
        <v>56.77</v>
      </c>
    </row>
    <row r="670" spans="1:14" x14ac:dyDescent="0.3">
      <c r="A670" t="s">
        <v>680</v>
      </c>
      <c r="B670" t="s">
        <v>1014</v>
      </c>
      <c r="C670" t="s">
        <v>1019</v>
      </c>
      <c r="D670">
        <v>45</v>
      </c>
      <c r="E670">
        <v>9</v>
      </c>
      <c r="F670" s="3">
        <v>38735</v>
      </c>
      <c r="G670">
        <v>48</v>
      </c>
      <c r="H670">
        <v>5</v>
      </c>
      <c r="I670">
        <v>10</v>
      </c>
      <c r="J670">
        <v>39</v>
      </c>
      <c r="K670">
        <v>4.4000000000000004</v>
      </c>
      <c r="L670" s="3">
        <v>8.3000000000000007</v>
      </c>
      <c r="M670" t="s">
        <v>1034</v>
      </c>
      <c r="N670">
        <v>71.33</v>
      </c>
    </row>
    <row r="671" spans="1:14" x14ac:dyDescent="0.3">
      <c r="A671" t="s">
        <v>681</v>
      </c>
      <c r="B671" t="s">
        <v>1014</v>
      </c>
      <c r="C671" t="s">
        <v>1019</v>
      </c>
      <c r="D671">
        <v>25</v>
      </c>
      <c r="E671">
        <v>4</v>
      </c>
      <c r="F671" s="3">
        <v>36526</v>
      </c>
      <c r="G671">
        <v>40</v>
      </c>
      <c r="H671">
        <v>13</v>
      </c>
      <c r="I671">
        <v>0</v>
      </c>
      <c r="J671">
        <v>31</v>
      </c>
      <c r="K671">
        <v>3.5</v>
      </c>
      <c r="L671" s="3">
        <v>3.5</v>
      </c>
      <c r="M671" t="s">
        <v>1036</v>
      </c>
      <c r="N671">
        <v>53.17</v>
      </c>
    </row>
    <row r="672" spans="1:14" x14ac:dyDescent="0.3">
      <c r="A672" t="s">
        <v>682</v>
      </c>
      <c r="B672" t="s">
        <v>1017</v>
      </c>
      <c r="C672" t="s">
        <v>1024</v>
      </c>
      <c r="D672">
        <v>42</v>
      </c>
      <c r="E672">
        <v>13</v>
      </c>
      <c r="F672" s="3">
        <v>38025</v>
      </c>
      <c r="G672">
        <v>45</v>
      </c>
      <c r="H672">
        <v>4</v>
      </c>
      <c r="I672">
        <v>24</v>
      </c>
      <c r="J672">
        <v>7</v>
      </c>
      <c r="K672">
        <v>3</v>
      </c>
      <c r="L672" s="3">
        <v>3.7</v>
      </c>
      <c r="M672" t="s">
        <v>1036</v>
      </c>
      <c r="N672">
        <v>37.869999999999997</v>
      </c>
    </row>
    <row r="673" spans="1:14" x14ac:dyDescent="0.3">
      <c r="A673" t="s">
        <v>683</v>
      </c>
      <c r="B673" t="s">
        <v>1017</v>
      </c>
      <c r="C673" t="s">
        <v>1030</v>
      </c>
      <c r="D673">
        <v>34</v>
      </c>
      <c r="E673">
        <v>6</v>
      </c>
      <c r="F673" s="3">
        <v>83416</v>
      </c>
      <c r="G673">
        <v>42</v>
      </c>
      <c r="H673">
        <v>2</v>
      </c>
      <c r="I673">
        <v>15</v>
      </c>
      <c r="J673">
        <v>37</v>
      </c>
      <c r="K673">
        <v>3.5</v>
      </c>
      <c r="L673" s="3">
        <v>9.1999999999999993</v>
      </c>
      <c r="M673" t="s">
        <v>1034</v>
      </c>
      <c r="N673">
        <v>69.03</v>
      </c>
    </row>
    <row r="674" spans="1:14" x14ac:dyDescent="0.3">
      <c r="A674" t="s">
        <v>684</v>
      </c>
      <c r="B674" t="s">
        <v>1018</v>
      </c>
      <c r="C674" t="s">
        <v>1028</v>
      </c>
      <c r="D674">
        <v>51</v>
      </c>
      <c r="E674">
        <v>5</v>
      </c>
      <c r="F674" s="3">
        <v>50384</v>
      </c>
      <c r="G674">
        <v>46</v>
      </c>
      <c r="H674">
        <v>3</v>
      </c>
      <c r="I674">
        <v>14</v>
      </c>
      <c r="J674">
        <v>12</v>
      </c>
      <c r="K674">
        <v>3.9</v>
      </c>
      <c r="L674" s="3">
        <v>9.8000000000000007</v>
      </c>
      <c r="M674" t="s">
        <v>1034</v>
      </c>
      <c r="N674">
        <v>75.5</v>
      </c>
    </row>
    <row r="675" spans="1:14" x14ac:dyDescent="0.3">
      <c r="A675" t="s">
        <v>685</v>
      </c>
      <c r="B675" t="s">
        <v>1016</v>
      </c>
      <c r="C675" t="s">
        <v>1033</v>
      </c>
      <c r="D675">
        <v>30</v>
      </c>
      <c r="E675">
        <v>0</v>
      </c>
      <c r="F675" s="3">
        <v>70364</v>
      </c>
      <c r="G675">
        <v>53</v>
      </c>
      <c r="H675">
        <v>1</v>
      </c>
      <c r="I675">
        <v>8</v>
      </c>
      <c r="J675">
        <v>8</v>
      </c>
      <c r="K675">
        <v>2.2999999999999998</v>
      </c>
      <c r="L675" s="3">
        <v>6.3</v>
      </c>
      <c r="M675" t="s">
        <v>1035</v>
      </c>
      <c r="N675">
        <v>46.37</v>
      </c>
    </row>
    <row r="676" spans="1:14" x14ac:dyDescent="0.3">
      <c r="A676" t="s">
        <v>686</v>
      </c>
      <c r="B676" t="s">
        <v>1018</v>
      </c>
      <c r="C676" t="s">
        <v>1027</v>
      </c>
      <c r="D676">
        <v>43</v>
      </c>
      <c r="E676">
        <v>7</v>
      </c>
      <c r="F676" s="3">
        <v>83091</v>
      </c>
      <c r="G676">
        <v>44</v>
      </c>
      <c r="H676">
        <v>10</v>
      </c>
      <c r="I676">
        <v>5</v>
      </c>
      <c r="J676">
        <v>40</v>
      </c>
      <c r="K676">
        <v>4.9000000000000004</v>
      </c>
      <c r="L676" s="3">
        <v>9.3000000000000007</v>
      </c>
      <c r="M676" t="s">
        <v>1034</v>
      </c>
      <c r="N676">
        <v>87.17</v>
      </c>
    </row>
    <row r="677" spans="1:14" x14ac:dyDescent="0.3">
      <c r="A677" t="s">
        <v>687</v>
      </c>
      <c r="B677" t="s">
        <v>1015</v>
      </c>
      <c r="C677" t="s">
        <v>1029</v>
      </c>
      <c r="D677">
        <v>36</v>
      </c>
      <c r="E677">
        <v>2</v>
      </c>
      <c r="F677" s="3">
        <v>51980</v>
      </c>
      <c r="G677">
        <v>51</v>
      </c>
      <c r="H677">
        <v>8</v>
      </c>
      <c r="I677">
        <v>6</v>
      </c>
      <c r="J677">
        <v>37</v>
      </c>
      <c r="K677">
        <v>3.4</v>
      </c>
      <c r="L677" s="3">
        <v>6.2</v>
      </c>
      <c r="M677" t="s">
        <v>1035</v>
      </c>
      <c r="N677">
        <v>60.73</v>
      </c>
    </row>
    <row r="678" spans="1:14" x14ac:dyDescent="0.3">
      <c r="A678" t="s">
        <v>688</v>
      </c>
      <c r="B678" t="s">
        <v>1017</v>
      </c>
      <c r="C678" t="s">
        <v>1030</v>
      </c>
      <c r="D678">
        <v>37</v>
      </c>
      <c r="E678">
        <v>7</v>
      </c>
      <c r="F678" s="3">
        <v>46449</v>
      </c>
      <c r="G678">
        <v>48</v>
      </c>
      <c r="H678">
        <v>10</v>
      </c>
      <c r="I678">
        <v>7</v>
      </c>
      <c r="J678">
        <v>37</v>
      </c>
      <c r="K678">
        <v>4.8</v>
      </c>
      <c r="L678" s="3">
        <v>9.4</v>
      </c>
      <c r="M678" t="s">
        <v>1034</v>
      </c>
      <c r="N678">
        <v>87.47</v>
      </c>
    </row>
    <row r="679" spans="1:14" x14ac:dyDescent="0.3">
      <c r="A679" t="s">
        <v>689</v>
      </c>
      <c r="B679" t="s">
        <v>1017</v>
      </c>
      <c r="C679" t="s">
        <v>1026</v>
      </c>
      <c r="D679">
        <v>24</v>
      </c>
      <c r="E679">
        <v>0</v>
      </c>
      <c r="F679" s="3">
        <v>89964</v>
      </c>
      <c r="G679">
        <v>50</v>
      </c>
      <c r="H679">
        <v>12</v>
      </c>
      <c r="I679">
        <v>24</v>
      </c>
      <c r="J679">
        <v>32</v>
      </c>
      <c r="K679">
        <v>2.1</v>
      </c>
      <c r="L679" s="3">
        <v>6.7</v>
      </c>
      <c r="M679" t="s">
        <v>1035</v>
      </c>
      <c r="N679">
        <v>66.5</v>
      </c>
    </row>
    <row r="680" spans="1:14" x14ac:dyDescent="0.3">
      <c r="A680" t="s">
        <v>690</v>
      </c>
      <c r="B680" t="s">
        <v>1014</v>
      </c>
      <c r="C680" t="s">
        <v>1019</v>
      </c>
      <c r="D680">
        <v>50</v>
      </c>
      <c r="E680">
        <v>15</v>
      </c>
      <c r="F680" s="3">
        <v>40762</v>
      </c>
      <c r="G680">
        <v>37</v>
      </c>
      <c r="H680">
        <v>9</v>
      </c>
      <c r="I680">
        <v>24</v>
      </c>
      <c r="J680">
        <v>0</v>
      </c>
      <c r="K680">
        <v>4.0999999999999996</v>
      </c>
      <c r="L680" s="3">
        <v>5.8</v>
      </c>
      <c r="M680" t="s">
        <v>1036</v>
      </c>
      <c r="N680">
        <v>62.1</v>
      </c>
    </row>
    <row r="681" spans="1:14" x14ac:dyDescent="0.3">
      <c r="A681" t="s">
        <v>691</v>
      </c>
      <c r="B681" t="s">
        <v>1018</v>
      </c>
      <c r="C681" t="s">
        <v>1032</v>
      </c>
      <c r="D681">
        <v>44</v>
      </c>
      <c r="E681">
        <v>9</v>
      </c>
      <c r="F681" s="3">
        <v>40667</v>
      </c>
      <c r="G681">
        <v>55</v>
      </c>
      <c r="H681">
        <v>2</v>
      </c>
      <c r="I681">
        <v>0</v>
      </c>
      <c r="J681">
        <v>30</v>
      </c>
      <c r="K681">
        <v>4</v>
      </c>
      <c r="L681" s="3">
        <v>4.0999999999999996</v>
      </c>
      <c r="M681" t="s">
        <v>1036</v>
      </c>
      <c r="N681">
        <v>39.93</v>
      </c>
    </row>
    <row r="682" spans="1:14" x14ac:dyDescent="0.3">
      <c r="A682" t="s">
        <v>692</v>
      </c>
      <c r="B682" t="s">
        <v>1015</v>
      </c>
      <c r="C682" t="s">
        <v>1020</v>
      </c>
      <c r="D682">
        <v>23</v>
      </c>
      <c r="E682">
        <v>1</v>
      </c>
      <c r="F682" s="3">
        <v>55393</v>
      </c>
      <c r="G682">
        <v>39</v>
      </c>
      <c r="H682">
        <v>14</v>
      </c>
      <c r="I682">
        <v>22</v>
      </c>
      <c r="J682">
        <v>25</v>
      </c>
      <c r="K682">
        <v>2.6</v>
      </c>
      <c r="L682" s="3">
        <v>9.1</v>
      </c>
      <c r="M682" t="s">
        <v>1034</v>
      </c>
      <c r="N682">
        <v>85.73</v>
      </c>
    </row>
    <row r="683" spans="1:14" x14ac:dyDescent="0.3">
      <c r="A683" t="s">
        <v>693</v>
      </c>
      <c r="B683" t="s">
        <v>1017</v>
      </c>
      <c r="C683" t="s">
        <v>1024</v>
      </c>
      <c r="D683">
        <v>22</v>
      </c>
      <c r="E683">
        <v>0</v>
      </c>
      <c r="F683" s="3">
        <v>50223</v>
      </c>
      <c r="G683">
        <v>45</v>
      </c>
      <c r="H683">
        <v>9</v>
      </c>
      <c r="I683">
        <v>1</v>
      </c>
      <c r="J683">
        <v>18</v>
      </c>
      <c r="K683">
        <v>3.3</v>
      </c>
      <c r="L683" s="3">
        <v>4.9000000000000004</v>
      </c>
      <c r="M683" t="s">
        <v>1036</v>
      </c>
      <c r="N683">
        <v>54.3</v>
      </c>
    </row>
    <row r="684" spans="1:14" x14ac:dyDescent="0.3">
      <c r="A684" t="s">
        <v>694</v>
      </c>
      <c r="B684" t="s">
        <v>1015</v>
      </c>
      <c r="C684" t="s">
        <v>1021</v>
      </c>
      <c r="D684">
        <v>35</v>
      </c>
      <c r="E684">
        <v>12</v>
      </c>
      <c r="F684" s="3">
        <v>69870</v>
      </c>
      <c r="G684">
        <v>37</v>
      </c>
      <c r="H684">
        <v>10</v>
      </c>
      <c r="I684">
        <v>10</v>
      </c>
      <c r="J684">
        <v>3</v>
      </c>
      <c r="K684">
        <v>3.5</v>
      </c>
      <c r="L684" s="3">
        <v>9.4</v>
      </c>
      <c r="M684" t="s">
        <v>1034</v>
      </c>
      <c r="N684">
        <v>83.57</v>
      </c>
    </row>
    <row r="685" spans="1:14" x14ac:dyDescent="0.3">
      <c r="A685" t="s">
        <v>695</v>
      </c>
      <c r="B685" t="s">
        <v>1014</v>
      </c>
      <c r="C685" t="s">
        <v>1025</v>
      </c>
      <c r="D685">
        <v>29</v>
      </c>
      <c r="E685">
        <v>6</v>
      </c>
      <c r="F685" s="3">
        <v>48959</v>
      </c>
      <c r="G685">
        <v>49</v>
      </c>
      <c r="H685">
        <v>10</v>
      </c>
      <c r="I685">
        <v>1</v>
      </c>
      <c r="J685">
        <v>23</v>
      </c>
      <c r="K685">
        <v>3.1</v>
      </c>
      <c r="L685" s="3">
        <v>7.5</v>
      </c>
      <c r="M685" t="s">
        <v>1035</v>
      </c>
      <c r="N685">
        <v>70.97</v>
      </c>
    </row>
    <row r="686" spans="1:14" x14ac:dyDescent="0.3">
      <c r="A686" t="s">
        <v>696</v>
      </c>
      <c r="B686" t="s">
        <v>1014</v>
      </c>
      <c r="C686" t="s">
        <v>1025</v>
      </c>
      <c r="D686">
        <v>35</v>
      </c>
      <c r="E686">
        <v>2</v>
      </c>
      <c r="F686" s="3">
        <v>89307</v>
      </c>
      <c r="G686">
        <v>45</v>
      </c>
      <c r="H686">
        <v>4</v>
      </c>
      <c r="I686">
        <v>17</v>
      </c>
      <c r="J686">
        <v>7</v>
      </c>
      <c r="K686">
        <v>3.9</v>
      </c>
      <c r="L686" s="3">
        <v>8.1999999999999993</v>
      </c>
      <c r="M686" t="s">
        <v>1034</v>
      </c>
      <c r="N686">
        <v>67.569999999999993</v>
      </c>
    </row>
    <row r="687" spans="1:14" x14ac:dyDescent="0.3">
      <c r="A687" t="s">
        <v>697</v>
      </c>
      <c r="B687" t="s">
        <v>1018</v>
      </c>
      <c r="C687" t="s">
        <v>1032</v>
      </c>
      <c r="D687">
        <v>36</v>
      </c>
      <c r="E687">
        <v>10</v>
      </c>
      <c r="F687" s="3">
        <v>48115</v>
      </c>
      <c r="G687">
        <v>43</v>
      </c>
      <c r="H687">
        <v>9</v>
      </c>
      <c r="I687">
        <v>21</v>
      </c>
      <c r="J687">
        <v>27</v>
      </c>
      <c r="K687">
        <v>2.8</v>
      </c>
      <c r="L687" s="3">
        <v>3.4</v>
      </c>
      <c r="M687" t="s">
        <v>1036</v>
      </c>
      <c r="N687">
        <v>43.8</v>
      </c>
    </row>
    <row r="688" spans="1:14" x14ac:dyDescent="0.3">
      <c r="A688" t="s">
        <v>698</v>
      </c>
      <c r="B688" t="s">
        <v>1017</v>
      </c>
      <c r="C688" t="s">
        <v>1024</v>
      </c>
      <c r="D688">
        <v>53</v>
      </c>
      <c r="E688">
        <v>3</v>
      </c>
      <c r="F688" s="3">
        <v>55812</v>
      </c>
      <c r="G688">
        <v>52</v>
      </c>
      <c r="H688">
        <v>11</v>
      </c>
      <c r="I688">
        <v>17</v>
      </c>
      <c r="J688">
        <v>18</v>
      </c>
      <c r="K688">
        <v>3.4</v>
      </c>
      <c r="L688" s="3">
        <v>5.6</v>
      </c>
      <c r="M688" t="s">
        <v>1036</v>
      </c>
      <c r="N688">
        <v>62.13</v>
      </c>
    </row>
    <row r="689" spans="1:14" x14ac:dyDescent="0.3">
      <c r="A689" t="s">
        <v>699</v>
      </c>
      <c r="B689" t="s">
        <v>1014</v>
      </c>
      <c r="C689" t="s">
        <v>1019</v>
      </c>
      <c r="D689">
        <v>34</v>
      </c>
      <c r="E689">
        <v>7</v>
      </c>
      <c r="F689" s="3">
        <v>30721</v>
      </c>
      <c r="G689">
        <v>37</v>
      </c>
      <c r="H689">
        <v>7</v>
      </c>
      <c r="I689">
        <v>5</v>
      </c>
      <c r="J689">
        <v>18</v>
      </c>
      <c r="K689">
        <v>4.9000000000000004</v>
      </c>
      <c r="L689" s="3">
        <v>3.5</v>
      </c>
      <c r="M689" t="s">
        <v>1036</v>
      </c>
      <c r="N689">
        <v>47.37</v>
      </c>
    </row>
    <row r="690" spans="1:14" x14ac:dyDescent="0.3">
      <c r="A690" t="s">
        <v>700</v>
      </c>
      <c r="B690" t="s">
        <v>1016</v>
      </c>
      <c r="C690" t="s">
        <v>1033</v>
      </c>
      <c r="D690">
        <v>29</v>
      </c>
      <c r="E690">
        <v>2</v>
      </c>
      <c r="F690" s="3">
        <v>57527</v>
      </c>
      <c r="G690">
        <v>39</v>
      </c>
      <c r="H690">
        <v>14</v>
      </c>
      <c r="I690">
        <v>6</v>
      </c>
      <c r="J690">
        <v>33</v>
      </c>
      <c r="K690">
        <v>4.9000000000000004</v>
      </c>
      <c r="L690" s="3">
        <v>3.2</v>
      </c>
      <c r="M690" t="s">
        <v>1036</v>
      </c>
      <c r="N690">
        <v>57.23</v>
      </c>
    </row>
    <row r="691" spans="1:14" x14ac:dyDescent="0.3">
      <c r="A691" t="s">
        <v>701</v>
      </c>
      <c r="B691" t="s">
        <v>1015</v>
      </c>
      <c r="C691" t="s">
        <v>1029</v>
      </c>
      <c r="D691">
        <v>30</v>
      </c>
      <c r="E691">
        <v>7</v>
      </c>
      <c r="F691" s="3">
        <v>47721</v>
      </c>
      <c r="G691">
        <v>48</v>
      </c>
      <c r="H691">
        <v>8</v>
      </c>
      <c r="I691">
        <v>23</v>
      </c>
      <c r="J691">
        <v>1</v>
      </c>
      <c r="K691">
        <v>2.9</v>
      </c>
      <c r="L691" s="3">
        <v>3.4</v>
      </c>
      <c r="M691" t="s">
        <v>1036</v>
      </c>
      <c r="N691">
        <v>42.43</v>
      </c>
    </row>
    <row r="692" spans="1:14" x14ac:dyDescent="0.3">
      <c r="A692" t="s">
        <v>702</v>
      </c>
      <c r="B692" t="s">
        <v>1015</v>
      </c>
      <c r="C692" t="s">
        <v>1020</v>
      </c>
      <c r="D692">
        <v>43</v>
      </c>
      <c r="E692">
        <v>13</v>
      </c>
      <c r="F692" s="3">
        <v>62925</v>
      </c>
      <c r="G692">
        <v>45</v>
      </c>
      <c r="H692">
        <v>11</v>
      </c>
      <c r="I692">
        <v>20</v>
      </c>
      <c r="J692">
        <v>20</v>
      </c>
      <c r="K692">
        <v>3.5</v>
      </c>
      <c r="L692" s="3">
        <v>7.7</v>
      </c>
      <c r="M692" t="s">
        <v>1035</v>
      </c>
      <c r="N692">
        <v>75.03</v>
      </c>
    </row>
    <row r="693" spans="1:14" x14ac:dyDescent="0.3">
      <c r="A693" t="s">
        <v>703</v>
      </c>
      <c r="B693" t="s">
        <v>1015</v>
      </c>
      <c r="C693" t="s">
        <v>1021</v>
      </c>
      <c r="D693">
        <v>50</v>
      </c>
      <c r="E693">
        <v>14</v>
      </c>
      <c r="F693" s="3">
        <v>44928</v>
      </c>
      <c r="G693">
        <v>53</v>
      </c>
      <c r="H693">
        <v>3</v>
      </c>
      <c r="I693">
        <v>25</v>
      </c>
      <c r="J693">
        <v>19</v>
      </c>
      <c r="K693">
        <v>2.5</v>
      </c>
      <c r="L693" s="3">
        <v>4.8</v>
      </c>
      <c r="M693" t="s">
        <v>1036</v>
      </c>
      <c r="N693">
        <v>41.3</v>
      </c>
    </row>
    <row r="694" spans="1:14" x14ac:dyDescent="0.3">
      <c r="A694" t="s">
        <v>704</v>
      </c>
      <c r="B694" t="s">
        <v>1016</v>
      </c>
      <c r="C694" t="s">
        <v>1022</v>
      </c>
      <c r="D694">
        <v>40</v>
      </c>
      <c r="E694">
        <v>1</v>
      </c>
      <c r="F694" s="3">
        <v>34721</v>
      </c>
      <c r="G694">
        <v>46</v>
      </c>
      <c r="H694">
        <v>5</v>
      </c>
      <c r="I694">
        <v>14</v>
      </c>
      <c r="J694">
        <v>10</v>
      </c>
      <c r="K694">
        <v>3.9</v>
      </c>
      <c r="L694" s="3">
        <v>4.0999999999999996</v>
      </c>
      <c r="M694" t="s">
        <v>1036</v>
      </c>
      <c r="N694">
        <v>44.63</v>
      </c>
    </row>
    <row r="695" spans="1:14" x14ac:dyDescent="0.3">
      <c r="A695" t="s">
        <v>705</v>
      </c>
      <c r="B695" t="s">
        <v>1016</v>
      </c>
      <c r="C695" t="s">
        <v>1023</v>
      </c>
      <c r="D695">
        <v>33</v>
      </c>
      <c r="E695">
        <v>2</v>
      </c>
      <c r="F695" s="3">
        <v>80006</v>
      </c>
      <c r="G695">
        <v>39</v>
      </c>
      <c r="H695">
        <v>3</v>
      </c>
      <c r="I695">
        <v>7</v>
      </c>
      <c r="J695">
        <v>7</v>
      </c>
      <c r="K695">
        <v>2.1</v>
      </c>
      <c r="L695" s="3">
        <v>5.2</v>
      </c>
      <c r="M695" t="s">
        <v>1036</v>
      </c>
      <c r="N695">
        <v>42.5</v>
      </c>
    </row>
    <row r="696" spans="1:14" x14ac:dyDescent="0.3">
      <c r="A696" t="s">
        <v>706</v>
      </c>
      <c r="B696" t="s">
        <v>1017</v>
      </c>
      <c r="C696" t="s">
        <v>1030</v>
      </c>
      <c r="D696">
        <v>38</v>
      </c>
      <c r="E696">
        <v>11</v>
      </c>
      <c r="F696" s="3">
        <v>37091</v>
      </c>
      <c r="G696">
        <v>41</v>
      </c>
      <c r="H696">
        <v>9</v>
      </c>
      <c r="I696">
        <v>22</v>
      </c>
      <c r="J696">
        <v>2</v>
      </c>
      <c r="K696">
        <v>4</v>
      </c>
      <c r="L696" s="3">
        <v>9.8000000000000007</v>
      </c>
      <c r="M696" t="s">
        <v>1034</v>
      </c>
      <c r="N696">
        <v>85.8</v>
      </c>
    </row>
    <row r="697" spans="1:14" x14ac:dyDescent="0.3">
      <c r="A697" t="s">
        <v>707</v>
      </c>
      <c r="B697" t="s">
        <v>1016</v>
      </c>
      <c r="C697" t="s">
        <v>1033</v>
      </c>
      <c r="D697">
        <v>50</v>
      </c>
      <c r="E697">
        <v>5</v>
      </c>
      <c r="F697" s="3">
        <v>59972</v>
      </c>
      <c r="G697">
        <v>44</v>
      </c>
      <c r="H697">
        <v>2</v>
      </c>
      <c r="I697">
        <v>0</v>
      </c>
      <c r="J697">
        <v>25</v>
      </c>
      <c r="K697">
        <v>4.8</v>
      </c>
      <c r="L697" s="3">
        <v>8.4</v>
      </c>
      <c r="M697" t="s">
        <v>1034</v>
      </c>
      <c r="N697">
        <v>68.13</v>
      </c>
    </row>
    <row r="698" spans="1:14" x14ac:dyDescent="0.3">
      <c r="A698" t="s">
        <v>708</v>
      </c>
      <c r="B698" t="s">
        <v>1016</v>
      </c>
      <c r="C698" t="s">
        <v>1022</v>
      </c>
      <c r="D698">
        <v>31</v>
      </c>
      <c r="E698">
        <v>0</v>
      </c>
      <c r="F698" s="3">
        <v>88579</v>
      </c>
      <c r="G698">
        <v>52</v>
      </c>
      <c r="H698">
        <v>9</v>
      </c>
      <c r="I698">
        <v>10</v>
      </c>
      <c r="J698">
        <v>18</v>
      </c>
      <c r="K698">
        <v>3.4</v>
      </c>
      <c r="L698" s="3">
        <v>5</v>
      </c>
      <c r="M698" t="s">
        <v>1036</v>
      </c>
      <c r="N698">
        <v>55.2</v>
      </c>
    </row>
    <row r="699" spans="1:14" x14ac:dyDescent="0.3">
      <c r="A699" t="s">
        <v>709</v>
      </c>
      <c r="B699" t="s">
        <v>1018</v>
      </c>
      <c r="C699" t="s">
        <v>1032</v>
      </c>
      <c r="D699">
        <v>50</v>
      </c>
      <c r="E699">
        <v>10</v>
      </c>
      <c r="F699" s="3">
        <v>70163</v>
      </c>
      <c r="G699">
        <v>38</v>
      </c>
      <c r="H699">
        <v>12</v>
      </c>
      <c r="I699">
        <v>15</v>
      </c>
      <c r="J699">
        <v>2</v>
      </c>
      <c r="K699">
        <v>2.4</v>
      </c>
      <c r="L699" s="3">
        <v>6.9</v>
      </c>
      <c r="M699" t="s">
        <v>1035</v>
      </c>
      <c r="N699">
        <v>68.599999999999994</v>
      </c>
    </row>
    <row r="700" spans="1:14" x14ac:dyDescent="0.3">
      <c r="A700" t="s">
        <v>710</v>
      </c>
      <c r="B700" t="s">
        <v>1014</v>
      </c>
      <c r="C700" t="s">
        <v>1025</v>
      </c>
      <c r="D700">
        <v>47</v>
      </c>
      <c r="E700">
        <v>7</v>
      </c>
      <c r="F700" s="3">
        <v>54227</v>
      </c>
      <c r="G700">
        <v>46</v>
      </c>
      <c r="H700">
        <v>2</v>
      </c>
      <c r="I700">
        <v>10</v>
      </c>
      <c r="J700">
        <v>3</v>
      </c>
      <c r="K700">
        <v>3.8</v>
      </c>
      <c r="L700" s="3">
        <v>4.4000000000000004</v>
      </c>
      <c r="M700" t="s">
        <v>1036</v>
      </c>
      <c r="N700">
        <v>41.13</v>
      </c>
    </row>
    <row r="701" spans="1:14" x14ac:dyDescent="0.3">
      <c r="A701" t="s">
        <v>711</v>
      </c>
      <c r="B701" t="s">
        <v>1018</v>
      </c>
      <c r="C701" t="s">
        <v>1032</v>
      </c>
      <c r="D701">
        <v>39</v>
      </c>
      <c r="E701">
        <v>6</v>
      </c>
      <c r="F701" s="3">
        <v>26477</v>
      </c>
      <c r="G701">
        <v>37</v>
      </c>
      <c r="H701">
        <v>9</v>
      </c>
      <c r="I701">
        <v>14</v>
      </c>
      <c r="J701">
        <v>5</v>
      </c>
      <c r="K701">
        <v>4.9000000000000004</v>
      </c>
      <c r="L701" s="3">
        <v>5.8</v>
      </c>
      <c r="M701" t="s">
        <v>1036</v>
      </c>
      <c r="N701">
        <v>64.5</v>
      </c>
    </row>
    <row r="702" spans="1:14" x14ac:dyDescent="0.3">
      <c r="A702" t="s">
        <v>712</v>
      </c>
      <c r="B702" t="s">
        <v>1016</v>
      </c>
      <c r="C702" t="s">
        <v>1033</v>
      </c>
      <c r="D702">
        <v>54</v>
      </c>
      <c r="E702">
        <v>1</v>
      </c>
      <c r="F702" s="3">
        <v>84535</v>
      </c>
      <c r="G702">
        <v>46</v>
      </c>
      <c r="H702">
        <v>7</v>
      </c>
      <c r="I702">
        <v>4</v>
      </c>
      <c r="J702">
        <v>27</v>
      </c>
      <c r="K702">
        <v>3.1</v>
      </c>
      <c r="L702" s="3">
        <v>5.6</v>
      </c>
      <c r="M702" t="s">
        <v>1036</v>
      </c>
      <c r="N702">
        <v>54.57</v>
      </c>
    </row>
    <row r="703" spans="1:14" x14ac:dyDescent="0.3">
      <c r="A703" t="s">
        <v>713</v>
      </c>
      <c r="B703" t="s">
        <v>1016</v>
      </c>
      <c r="C703" t="s">
        <v>1022</v>
      </c>
      <c r="D703">
        <v>44</v>
      </c>
      <c r="E703">
        <v>9</v>
      </c>
      <c r="F703" s="3">
        <v>89062</v>
      </c>
      <c r="G703">
        <v>49</v>
      </c>
      <c r="H703">
        <v>14</v>
      </c>
      <c r="I703">
        <v>17</v>
      </c>
      <c r="J703">
        <v>5</v>
      </c>
      <c r="K703">
        <v>2.6</v>
      </c>
      <c r="L703" s="3">
        <v>9.1999999999999993</v>
      </c>
      <c r="M703" t="s">
        <v>1034</v>
      </c>
      <c r="N703">
        <v>86.33</v>
      </c>
    </row>
    <row r="704" spans="1:14" x14ac:dyDescent="0.3">
      <c r="A704" t="s">
        <v>714</v>
      </c>
      <c r="B704" t="s">
        <v>1017</v>
      </c>
      <c r="C704" t="s">
        <v>1030</v>
      </c>
      <c r="D704">
        <v>50</v>
      </c>
      <c r="E704">
        <v>9</v>
      </c>
      <c r="F704" s="3">
        <v>35734</v>
      </c>
      <c r="G704">
        <v>48</v>
      </c>
      <c r="H704">
        <v>12</v>
      </c>
      <c r="I704">
        <v>13</v>
      </c>
      <c r="J704">
        <v>8</v>
      </c>
      <c r="K704">
        <v>4.5</v>
      </c>
      <c r="L704" s="3">
        <v>7.2</v>
      </c>
      <c r="M704" t="s">
        <v>1035</v>
      </c>
      <c r="N704">
        <v>76.7</v>
      </c>
    </row>
    <row r="705" spans="1:14" x14ac:dyDescent="0.3">
      <c r="A705" t="s">
        <v>715</v>
      </c>
      <c r="B705" t="s">
        <v>1018</v>
      </c>
      <c r="C705" t="s">
        <v>1032</v>
      </c>
      <c r="D705">
        <v>41</v>
      </c>
      <c r="E705">
        <v>15</v>
      </c>
      <c r="F705" s="3">
        <v>89774</v>
      </c>
      <c r="G705">
        <v>51</v>
      </c>
      <c r="H705">
        <v>6</v>
      </c>
      <c r="I705">
        <v>2</v>
      </c>
      <c r="J705">
        <v>37</v>
      </c>
      <c r="K705">
        <v>4.3</v>
      </c>
      <c r="L705" s="3">
        <v>3.6</v>
      </c>
      <c r="M705" t="s">
        <v>1036</v>
      </c>
      <c r="N705">
        <v>44.5</v>
      </c>
    </row>
    <row r="706" spans="1:14" x14ac:dyDescent="0.3">
      <c r="A706" t="s">
        <v>716</v>
      </c>
      <c r="B706" t="s">
        <v>1016</v>
      </c>
      <c r="C706" t="s">
        <v>1033</v>
      </c>
      <c r="D706">
        <v>48</v>
      </c>
      <c r="E706">
        <v>5</v>
      </c>
      <c r="F706" s="3">
        <v>61425</v>
      </c>
      <c r="G706">
        <v>49</v>
      </c>
      <c r="H706">
        <v>12</v>
      </c>
      <c r="I706">
        <v>18</v>
      </c>
      <c r="J706">
        <v>8</v>
      </c>
      <c r="K706">
        <v>2.6</v>
      </c>
      <c r="L706" s="3">
        <v>8.8000000000000007</v>
      </c>
      <c r="M706" t="s">
        <v>1034</v>
      </c>
      <c r="N706">
        <v>80.599999999999994</v>
      </c>
    </row>
    <row r="707" spans="1:14" x14ac:dyDescent="0.3">
      <c r="A707" t="s">
        <v>717</v>
      </c>
      <c r="B707" t="s">
        <v>1015</v>
      </c>
      <c r="C707" t="s">
        <v>1029</v>
      </c>
      <c r="D707">
        <v>53</v>
      </c>
      <c r="E707">
        <v>1</v>
      </c>
      <c r="F707" s="3">
        <v>78922</v>
      </c>
      <c r="G707">
        <v>44</v>
      </c>
      <c r="H707">
        <v>14</v>
      </c>
      <c r="I707">
        <v>18</v>
      </c>
      <c r="J707">
        <v>19</v>
      </c>
      <c r="K707">
        <v>3.5</v>
      </c>
      <c r="L707" s="3">
        <v>8.1999999999999993</v>
      </c>
      <c r="M707" t="s">
        <v>1034</v>
      </c>
      <c r="N707">
        <v>83.03</v>
      </c>
    </row>
    <row r="708" spans="1:14" x14ac:dyDescent="0.3">
      <c r="A708" t="s">
        <v>718</v>
      </c>
      <c r="B708" t="s">
        <v>1014</v>
      </c>
      <c r="C708" t="s">
        <v>1031</v>
      </c>
      <c r="D708">
        <v>22</v>
      </c>
      <c r="E708">
        <v>0</v>
      </c>
      <c r="F708" s="3">
        <v>42214</v>
      </c>
      <c r="G708">
        <v>44</v>
      </c>
      <c r="H708">
        <v>11</v>
      </c>
      <c r="I708">
        <v>20</v>
      </c>
      <c r="J708">
        <v>30</v>
      </c>
      <c r="K708">
        <v>2.4</v>
      </c>
      <c r="L708" s="3">
        <v>7.7</v>
      </c>
      <c r="M708" t="s">
        <v>1035</v>
      </c>
      <c r="N708">
        <v>71.73</v>
      </c>
    </row>
    <row r="709" spans="1:14" x14ac:dyDescent="0.3">
      <c r="A709" t="s">
        <v>719</v>
      </c>
      <c r="B709" t="s">
        <v>1017</v>
      </c>
      <c r="C709" t="s">
        <v>1030</v>
      </c>
      <c r="D709">
        <v>33</v>
      </c>
      <c r="E709">
        <v>7</v>
      </c>
      <c r="F709" s="3">
        <v>84427</v>
      </c>
      <c r="G709">
        <v>55</v>
      </c>
      <c r="H709">
        <v>4</v>
      </c>
      <c r="I709">
        <v>0</v>
      </c>
      <c r="J709">
        <v>7</v>
      </c>
      <c r="K709">
        <v>4.3</v>
      </c>
      <c r="L709" s="3">
        <v>6.5</v>
      </c>
      <c r="M709" t="s">
        <v>1035</v>
      </c>
      <c r="N709">
        <v>58.57</v>
      </c>
    </row>
    <row r="710" spans="1:14" x14ac:dyDescent="0.3">
      <c r="A710" t="s">
        <v>720</v>
      </c>
      <c r="B710" t="s">
        <v>1015</v>
      </c>
      <c r="C710" t="s">
        <v>1029</v>
      </c>
      <c r="D710">
        <v>45</v>
      </c>
      <c r="E710">
        <v>15</v>
      </c>
      <c r="F710" s="3">
        <v>62065</v>
      </c>
      <c r="G710">
        <v>48</v>
      </c>
      <c r="H710">
        <v>14</v>
      </c>
      <c r="I710">
        <v>8</v>
      </c>
      <c r="J710">
        <v>40</v>
      </c>
      <c r="K710">
        <v>4.0999999999999996</v>
      </c>
      <c r="L710" s="3">
        <v>9.8000000000000007</v>
      </c>
      <c r="M710" t="s">
        <v>1034</v>
      </c>
      <c r="N710">
        <v>94.43</v>
      </c>
    </row>
    <row r="711" spans="1:14" x14ac:dyDescent="0.3">
      <c r="A711" t="s">
        <v>721</v>
      </c>
      <c r="B711" t="s">
        <v>1016</v>
      </c>
      <c r="C711" t="s">
        <v>1022</v>
      </c>
      <c r="D711">
        <v>54</v>
      </c>
      <c r="E711">
        <v>0</v>
      </c>
      <c r="F711" s="3">
        <v>80396</v>
      </c>
      <c r="G711">
        <v>43</v>
      </c>
      <c r="H711">
        <v>3</v>
      </c>
      <c r="I711">
        <v>18</v>
      </c>
      <c r="J711">
        <v>3</v>
      </c>
      <c r="K711">
        <v>2.4</v>
      </c>
      <c r="L711" s="3">
        <v>6.2</v>
      </c>
      <c r="M711" t="s">
        <v>1035</v>
      </c>
      <c r="N711">
        <v>49.4</v>
      </c>
    </row>
    <row r="712" spans="1:14" x14ac:dyDescent="0.3">
      <c r="A712" t="s">
        <v>722</v>
      </c>
      <c r="B712" t="s">
        <v>1018</v>
      </c>
      <c r="C712" t="s">
        <v>1032</v>
      </c>
      <c r="D712">
        <v>44</v>
      </c>
      <c r="E712">
        <v>5</v>
      </c>
      <c r="F712" s="3">
        <v>28466</v>
      </c>
      <c r="G712">
        <v>43</v>
      </c>
      <c r="H712">
        <v>6</v>
      </c>
      <c r="I712">
        <v>13</v>
      </c>
      <c r="J712">
        <v>40</v>
      </c>
      <c r="K712">
        <v>4.7</v>
      </c>
      <c r="L712" s="3">
        <v>5.5</v>
      </c>
      <c r="M712" t="s">
        <v>1036</v>
      </c>
      <c r="N712">
        <v>57.1</v>
      </c>
    </row>
    <row r="713" spans="1:14" x14ac:dyDescent="0.3">
      <c r="A713" t="s">
        <v>723</v>
      </c>
      <c r="B713" t="s">
        <v>1016</v>
      </c>
      <c r="C713" t="s">
        <v>1023</v>
      </c>
      <c r="D713">
        <v>55</v>
      </c>
      <c r="E713">
        <v>2</v>
      </c>
      <c r="F713" s="3">
        <v>58676</v>
      </c>
      <c r="G713">
        <v>41</v>
      </c>
      <c r="H713">
        <v>13</v>
      </c>
      <c r="I713">
        <v>20</v>
      </c>
      <c r="J713">
        <v>11</v>
      </c>
      <c r="K713">
        <v>4.3</v>
      </c>
      <c r="L713" s="3">
        <v>7.2</v>
      </c>
      <c r="M713" t="s">
        <v>1035</v>
      </c>
      <c r="N713">
        <v>77.77</v>
      </c>
    </row>
    <row r="714" spans="1:14" x14ac:dyDescent="0.3">
      <c r="A714" t="s">
        <v>724</v>
      </c>
      <c r="B714" t="s">
        <v>1015</v>
      </c>
      <c r="C714" t="s">
        <v>1029</v>
      </c>
      <c r="D714">
        <v>42</v>
      </c>
      <c r="E714">
        <v>10</v>
      </c>
      <c r="F714" s="3">
        <v>79186</v>
      </c>
      <c r="G714">
        <v>44</v>
      </c>
      <c r="H714">
        <v>5</v>
      </c>
      <c r="I714">
        <v>21</v>
      </c>
      <c r="J714">
        <v>23</v>
      </c>
      <c r="K714">
        <v>2.2999999999999998</v>
      </c>
      <c r="L714" s="3">
        <v>7.1</v>
      </c>
      <c r="M714" t="s">
        <v>1035</v>
      </c>
      <c r="N714">
        <v>57.83</v>
      </c>
    </row>
    <row r="715" spans="1:14" x14ac:dyDescent="0.3">
      <c r="A715" t="s">
        <v>725</v>
      </c>
      <c r="B715" t="s">
        <v>1014</v>
      </c>
      <c r="C715" t="s">
        <v>1019</v>
      </c>
      <c r="D715">
        <v>30</v>
      </c>
      <c r="E715">
        <v>8</v>
      </c>
      <c r="F715" s="3">
        <v>43442</v>
      </c>
      <c r="G715">
        <v>46</v>
      </c>
      <c r="H715">
        <v>13</v>
      </c>
      <c r="I715">
        <v>15</v>
      </c>
      <c r="J715">
        <v>26</v>
      </c>
      <c r="K715">
        <v>3</v>
      </c>
      <c r="L715" s="3">
        <v>9.4</v>
      </c>
      <c r="M715" t="s">
        <v>1034</v>
      </c>
      <c r="N715">
        <v>87.07</v>
      </c>
    </row>
    <row r="716" spans="1:14" x14ac:dyDescent="0.3">
      <c r="A716" t="s">
        <v>726</v>
      </c>
      <c r="B716" t="s">
        <v>1018</v>
      </c>
      <c r="C716" t="s">
        <v>1027</v>
      </c>
      <c r="D716">
        <v>31</v>
      </c>
      <c r="E716">
        <v>8</v>
      </c>
      <c r="F716" s="3">
        <v>39490</v>
      </c>
      <c r="G716">
        <v>41</v>
      </c>
      <c r="H716">
        <v>13</v>
      </c>
      <c r="I716">
        <v>17</v>
      </c>
      <c r="J716">
        <v>39</v>
      </c>
      <c r="K716">
        <v>4.0999999999999996</v>
      </c>
      <c r="L716" s="3">
        <v>9.6999999999999993</v>
      </c>
      <c r="M716" t="s">
        <v>1034</v>
      </c>
      <c r="N716">
        <v>92.17</v>
      </c>
    </row>
    <row r="717" spans="1:14" x14ac:dyDescent="0.3">
      <c r="A717" t="s">
        <v>727</v>
      </c>
      <c r="B717" t="s">
        <v>1015</v>
      </c>
      <c r="C717" t="s">
        <v>1021</v>
      </c>
      <c r="D717">
        <v>29</v>
      </c>
      <c r="E717">
        <v>6</v>
      </c>
      <c r="F717" s="3">
        <v>55178</v>
      </c>
      <c r="G717">
        <v>37</v>
      </c>
      <c r="H717">
        <v>2</v>
      </c>
      <c r="I717">
        <v>4</v>
      </c>
      <c r="J717">
        <v>1</v>
      </c>
      <c r="K717">
        <v>3.4</v>
      </c>
      <c r="L717" s="3">
        <v>5.2</v>
      </c>
      <c r="M717" t="s">
        <v>1036</v>
      </c>
      <c r="N717">
        <v>44.73</v>
      </c>
    </row>
    <row r="718" spans="1:14" x14ac:dyDescent="0.3">
      <c r="A718" t="s">
        <v>728</v>
      </c>
      <c r="B718" t="s">
        <v>1018</v>
      </c>
      <c r="C718" t="s">
        <v>1028</v>
      </c>
      <c r="D718">
        <v>50</v>
      </c>
      <c r="E718">
        <v>10</v>
      </c>
      <c r="F718" s="3">
        <v>36285</v>
      </c>
      <c r="G718">
        <v>44</v>
      </c>
      <c r="H718">
        <v>1</v>
      </c>
      <c r="I718">
        <v>23</v>
      </c>
      <c r="J718">
        <v>7</v>
      </c>
      <c r="K718">
        <v>2.7</v>
      </c>
      <c r="L718" s="3">
        <v>9</v>
      </c>
      <c r="M718" t="s">
        <v>1034</v>
      </c>
      <c r="N718">
        <v>63.77</v>
      </c>
    </row>
    <row r="719" spans="1:14" x14ac:dyDescent="0.3">
      <c r="A719" t="s">
        <v>729</v>
      </c>
      <c r="B719" t="s">
        <v>1018</v>
      </c>
      <c r="C719" t="s">
        <v>1032</v>
      </c>
      <c r="D719">
        <v>41</v>
      </c>
      <c r="E719">
        <v>4</v>
      </c>
      <c r="F719" s="3">
        <v>38752</v>
      </c>
      <c r="G719">
        <v>39</v>
      </c>
      <c r="H719">
        <v>2</v>
      </c>
      <c r="I719">
        <v>13</v>
      </c>
      <c r="J719">
        <v>7</v>
      </c>
      <c r="K719">
        <v>2.2000000000000002</v>
      </c>
      <c r="L719" s="3">
        <v>8.4</v>
      </c>
      <c r="M719" t="s">
        <v>1034</v>
      </c>
      <c r="N719">
        <v>60.33</v>
      </c>
    </row>
    <row r="720" spans="1:14" x14ac:dyDescent="0.3">
      <c r="A720" t="s">
        <v>730</v>
      </c>
      <c r="B720" t="s">
        <v>1014</v>
      </c>
      <c r="C720" t="s">
        <v>1019</v>
      </c>
      <c r="D720">
        <v>34</v>
      </c>
      <c r="E720">
        <v>1</v>
      </c>
      <c r="F720" s="3">
        <v>27149</v>
      </c>
      <c r="G720">
        <v>51</v>
      </c>
      <c r="H720">
        <v>10</v>
      </c>
      <c r="I720">
        <v>1</v>
      </c>
      <c r="J720">
        <v>30</v>
      </c>
      <c r="K720">
        <v>2.4</v>
      </c>
      <c r="L720" s="3">
        <v>4.8</v>
      </c>
      <c r="M720" t="s">
        <v>1036</v>
      </c>
      <c r="N720">
        <v>52.67</v>
      </c>
    </row>
    <row r="721" spans="1:14" x14ac:dyDescent="0.3">
      <c r="A721" t="s">
        <v>731</v>
      </c>
      <c r="B721" t="s">
        <v>1016</v>
      </c>
      <c r="C721" t="s">
        <v>1022</v>
      </c>
      <c r="D721">
        <v>22</v>
      </c>
      <c r="E721">
        <v>0</v>
      </c>
      <c r="F721" s="3">
        <v>76273</v>
      </c>
      <c r="G721">
        <v>38</v>
      </c>
      <c r="H721">
        <v>15</v>
      </c>
      <c r="I721">
        <v>19</v>
      </c>
      <c r="J721">
        <v>13</v>
      </c>
      <c r="K721">
        <v>3.8</v>
      </c>
      <c r="L721" s="3">
        <v>4.4000000000000004</v>
      </c>
      <c r="M721" t="s">
        <v>1036</v>
      </c>
      <c r="N721">
        <v>62.8</v>
      </c>
    </row>
    <row r="722" spans="1:14" x14ac:dyDescent="0.3">
      <c r="A722" t="s">
        <v>732</v>
      </c>
      <c r="B722" t="s">
        <v>1016</v>
      </c>
      <c r="C722" t="s">
        <v>1022</v>
      </c>
      <c r="D722">
        <v>23</v>
      </c>
      <c r="E722">
        <v>0</v>
      </c>
      <c r="F722" s="3">
        <v>34539</v>
      </c>
      <c r="G722">
        <v>43</v>
      </c>
      <c r="H722">
        <v>10</v>
      </c>
      <c r="I722">
        <v>11</v>
      </c>
      <c r="J722">
        <v>22</v>
      </c>
      <c r="K722">
        <v>2.5</v>
      </c>
      <c r="L722" s="3">
        <v>6.5</v>
      </c>
      <c r="M722" t="s">
        <v>1035</v>
      </c>
      <c r="N722">
        <v>63.17</v>
      </c>
    </row>
    <row r="723" spans="1:14" x14ac:dyDescent="0.3">
      <c r="A723" t="s">
        <v>733</v>
      </c>
      <c r="B723" t="s">
        <v>1015</v>
      </c>
      <c r="C723" t="s">
        <v>1021</v>
      </c>
      <c r="D723">
        <v>37</v>
      </c>
      <c r="E723">
        <v>2</v>
      </c>
      <c r="F723" s="3">
        <v>31494</v>
      </c>
      <c r="G723">
        <v>53</v>
      </c>
      <c r="H723">
        <v>13</v>
      </c>
      <c r="I723">
        <v>0</v>
      </c>
      <c r="J723">
        <v>33</v>
      </c>
      <c r="K723">
        <v>2.7</v>
      </c>
      <c r="L723" s="3">
        <v>4.3</v>
      </c>
      <c r="M723" t="s">
        <v>1036</v>
      </c>
      <c r="N723">
        <v>55.57</v>
      </c>
    </row>
    <row r="724" spans="1:14" x14ac:dyDescent="0.3">
      <c r="A724" t="s">
        <v>734</v>
      </c>
      <c r="B724" t="s">
        <v>1018</v>
      </c>
      <c r="C724" t="s">
        <v>1032</v>
      </c>
      <c r="D724">
        <v>22</v>
      </c>
      <c r="E724">
        <v>0</v>
      </c>
      <c r="F724" s="3">
        <v>85570</v>
      </c>
      <c r="G724">
        <v>41</v>
      </c>
      <c r="H724">
        <v>15</v>
      </c>
      <c r="I724">
        <v>16</v>
      </c>
      <c r="J724">
        <v>30</v>
      </c>
      <c r="K724">
        <v>3.1</v>
      </c>
      <c r="L724" s="3">
        <v>7.1</v>
      </c>
      <c r="M724" t="s">
        <v>1035</v>
      </c>
      <c r="N724">
        <v>76.900000000000006</v>
      </c>
    </row>
    <row r="725" spans="1:14" x14ac:dyDescent="0.3">
      <c r="A725" t="s">
        <v>735</v>
      </c>
      <c r="B725" t="s">
        <v>1014</v>
      </c>
      <c r="C725" t="s">
        <v>1031</v>
      </c>
      <c r="D725">
        <v>33</v>
      </c>
      <c r="E725">
        <v>5</v>
      </c>
      <c r="F725" s="3">
        <v>89310</v>
      </c>
      <c r="G725">
        <v>47</v>
      </c>
      <c r="H725">
        <v>7</v>
      </c>
      <c r="I725">
        <v>6</v>
      </c>
      <c r="J725">
        <v>32</v>
      </c>
      <c r="K725">
        <v>2.7</v>
      </c>
      <c r="L725" s="3">
        <v>3.8</v>
      </c>
      <c r="M725" t="s">
        <v>1036</v>
      </c>
      <c r="N725">
        <v>42.57</v>
      </c>
    </row>
    <row r="726" spans="1:14" x14ac:dyDescent="0.3">
      <c r="A726" t="s">
        <v>736</v>
      </c>
      <c r="B726" t="s">
        <v>1014</v>
      </c>
      <c r="C726" t="s">
        <v>1019</v>
      </c>
      <c r="D726">
        <v>51</v>
      </c>
      <c r="E726">
        <v>3</v>
      </c>
      <c r="F726" s="3">
        <v>59060</v>
      </c>
      <c r="G726">
        <v>39</v>
      </c>
      <c r="H726">
        <v>8</v>
      </c>
      <c r="I726">
        <v>24</v>
      </c>
      <c r="J726">
        <v>23</v>
      </c>
      <c r="K726">
        <v>4.0999999999999996</v>
      </c>
      <c r="L726" s="3">
        <v>6.9</v>
      </c>
      <c r="M726" t="s">
        <v>1035</v>
      </c>
      <c r="N726">
        <v>67.03</v>
      </c>
    </row>
    <row r="727" spans="1:14" x14ac:dyDescent="0.3">
      <c r="A727" t="s">
        <v>737</v>
      </c>
      <c r="B727" t="s">
        <v>1014</v>
      </c>
      <c r="C727" t="s">
        <v>1031</v>
      </c>
      <c r="D727">
        <v>42</v>
      </c>
      <c r="E727">
        <v>15</v>
      </c>
      <c r="F727" s="3">
        <v>32583</v>
      </c>
      <c r="G727">
        <v>47</v>
      </c>
      <c r="H727">
        <v>5</v>
      </c>
      <c r="I727">
        <v>14</v>
      </c>
      <c r="J727">
        <v>38</v>
      </c>
      <c r="K727">
        <v>4.2</v>
      </c>
      <c r="L727" s="3">
        <v>7.8</v>
      </c>
      <c r="M727" t="s">
        <v>1035</v>
      </c>
      <c r="N727">
        <v>67.73</v>
      </c>
    </row>
    <row r="728" spans="1:14" x14ac:dyDescent="0.3">
      <c r="A728" t="s">
        <v>738</v>
      </c>
      <c r="B728" t="s">
        <v>1018</v>
      </c>
      <c r="C728" t="s">
        <v>1028</v>
      </c>
      <c r="D728">
        <v>48</v>
      </c>
      <c r="E728">
        <v>9</v>
      </c>
      <c r="F728" s="3">
        <v>89550</v>
      </c>
      <c r="G728">
        <v>48</v>
      </c>
      <c r="H728">
        <v>4</v>
      </c>
      <c r="I728">
        <v>2</v>
      </c>
      <c r="J728">
        <v>30</v>
      </c>
      <c r="K728">
        <v>4.8</v>
      </c>
      <c r="L728" s="3">
        <v>5.6</v>
      </c>
      <c r="M728" t="s">
        <v>1036</v>
      </c>
      <c r="N728">
        <v>54.67</v>
      </c>
    </row>
    <row r="729" spans="1:14" x14ac:dyDescent="0.3">
      <c r="A729" t="s">
        <v>739</v>
      </c>
      <c r="B729" t="s">
        <v>1017</v>
      </c>
      <c r="C729" t="s">
        <v>1024</v>
      </c>
      <c r="D729">
        <v>28</v>
      </c>
      <c r="E729">
        <v>6</v>
      </c>
      <c r="F729" s="3">
        <v>53708</v>
      </c>
      <c r="G729">
        <v>51</v>
      </c>
      <c r="H729">
        <v>11</v>
      </c>
      <c r="I729">
        <v>21</v>
      </c>
      <c r="J729">
        <v>5</v>
      </c>
      <c r="K729">
        <v>2.4</v>
      </c>
      <c r="L729" s="3">
        <v>5.8</v>
      </c>
      <c r="M729" t="s">
        <v>1036</v>
      </c>
      <c r="N729">
        <v>60.33</v>
      </c>
    </row>
    <row r="730" spans="1:14" x14ac:dyDescent="0.3">
      <c r="A730" t="s">
        <v>740</v>
      </c>
      <c r="B730" t="s">
        <v>1015</v>
      </c>
      <c r="C730" t="s">
        <v>1029</v>
      </c>
      <c r="D730">
        <v>28</v>
      </c>
      <c r="E730">
        <v>2</v>
      </c>
      <c r="F730" s="3">
        <v>29240</v>
      </c>
      <c r="G730">
        <v>46</v>
      </c>
      <c r="H730">
        <v>4</v>
      </c>
      <c r="I730">
        <v>10</v>
      </c>
      <c r="J730">
        <v>12</v>
      </c>
      <c r="K730">
        <v>3.8</v>
      </c>
      <c r="L730" s="3">
        <v>9.9</v>
      </c>
      <c r="M730" t="s">
        <v>1034</v>
      </c>
      <c r="N730">
        <v>77.47</v>
      </c>
    </row>
    <row r="731" spans="1:14" x14ac:dyDescent="0.3">
      <c r="A731" t="s">
        <v>741</v>
      </c>
      <c r="B731" t="s">
        <v>1018</v>
      </c>
      <c r="C731" t="s">
        <v>1032</v>
      </c>
      <c r="D731">
        <v>49</v>
      </c>
      <c r="E731">
        <v>15</v>
      </c>
      <c r="F731" s="3">
        <v>43252</v>
      </c>
      <c r="G731">
        <v>53</v>
      </c>
      <c r="H731">
        <v>10</v>
      </c>
      <c r="I731">
        <v>8</v>
      </c>
      <c r="J731">
        <v>25</v>
      </c>
      <c r="K731">
        <v>3.1</v>
      </c>
      <c r="L731" s="3">
        <v>7.7</v>
      </c>
      <c r="M731" t="s">
        <v>1035</v>
      </c>
      <c r="N731">
        <v>72.17</v>
      </c>
    </row>
    <row r="732" spans="1:14" x14ac:dyDescent="0.3">
      <c r="A732" t="s">
        <v>742</v>
      </c>
      <c r="B732" t="s">
        <v>1017</v>
      </c>
      <c r="C732" t="s">
        <v>1030</v>
      </c>
      <c r="D732">
        <v>54</v>
      </c>
      <c r="E732">
        <v>8</v>
      </c>
      <c r="F732" s="3">
        <v>34658</v>
      </c>
      <c r="G732">
        <v>49</v>
      </c>
      <c r="H732">
        <v>2</v>
      </c>
      <c r="I732">
        <v>3</v>
      </c>
      <c r="J732">
        <v>16</v>
      </c>
      <c r="K732">
        <v>3.5</v>
      </c>
      <c r="L732" s="3">
        <v>4.5999999999999996</v>
      </c>
      <c r="M732" t="s">
        <v>1036</v>
      </c>
      <c r="N732">
        <v>41.43</v>
      </c>
    </row>
    <row r="733" spans="1:14" x14ac:dyDescent="0.3">
      <c r="A733" t="s">
        <v>743</v>
      </c>
      <c r="B733" t="s">
        <v>1014</v>
      </c>
      <c r="C733" t="s">
        <v>1025</v>
      </c>
      <c r="D733">
        <v>28</v>
      </c>
      <c r="E733">
        <v>0</v>
      </c>
      <c r="F733" s="3">
        <v>79415</v>
      </c>
      <c r="G733">
        <v>37</v>
      </c>
      <c r="H733">
        <v>8</v>
      </c>
      <c r="I733">
        <v>21</v>
      </c>
      <c r="J733">
        <v>1</v>
      </c>
      <c r="K733">
        <v>4.9000000000000004</v>
      </c>
      <c r="L733" s="3">
        <v>5.7</v>
      </c>
      <c r="M733" t="s">
        <v>1036</v>
      </c>
      <c r="N733">
        <v>62.23</v>
      </c>
    </row>
    <row r="734" spans="1:14" x14ac:dyDescent="0.3">
      <c r="A734" t="s">
        <v>744</v>
      </c>
      <c r="B734" t="s">
        <v>1016</v>
      </c>
      <c r="C734" t="s">
        <v>1033</v>
      </c>
      <c r="D734">
        <v>31</v>
      </c>
      <c r="E734">
        <v>4</v>
      </c>
      <c r="F734" s="3">
        <v>65761</v>
      </c>
      <c r="G734">
        <v>54</v>
      </c>
      <c r="H734">
        <v>2</v>
      </c>
      <c r="I734">
        <v>24</v>
      </c>
      <c r="J734">
        <v>4</v>
      </c>
      <c r="K734">
        <v>4</v>
      </c>
      <c r="L734" s="3">
        <v>6.6</v>
      </c>
      <c r="M734" t="s">
        <v>1035</v>
      </c>
      <c r="N734">
        <v>54.93</v>
      </c>
    </row>
    <row r="735" spans="1:14" x14ac:dyDescent="0.3">
      <c r="A735" t="s">
        <v>745</v>
      </c>
      <c r="B735" t="s">
        <v>1017</v>
      </c>
      <c r="C735" t="s">
        <v>1024</v>
      </c>
      <c r="D735">
        <v>34</v>
      </c>
      <c r="E735">
        <v>4</v>
      </c>
      <c r="F735" s="3">
        <v>68390</v>
      </c>
      <c r="G735">
        <v>50</v>
      </c>
      <c r="H735">
        <v>8</v>
      </c>
      <c r="I735">
        <v>16</v>
      </c>
      <c r="J735">
        <v>16</v>
      </c>
      <c r="K735">
        <v>3.6</v>
      </c>
      <c r="L735" s="3">
        <v>8.6999999999999993</v>
      </c>
      <c r="M735" t="s">
        <v>1034</v>
      </c>
      <c r="N735">
        <v>76.33</v>
      </c>
    </row>
    <row r="736" spans="1:14" x14ac:dyDescent="0.3">
      <c r="A736" t="s">
        <v>746</v>
      </c>
      <c r="B736" t="s">
        <v>1015</v>
      </c>
      <c r="C736" t="s">
        <v>1021</v>
      </c>
      <c r="D736">
        <v>23</v>
      </c>
      <c r="E736">
        <v>0</v>
      </c>
      <c r="F736" s="3">
        <v>89927</v>
      </c>
      <c r="G736">
        <v>48</v>
      </c>
      <c r="H736">
        <v>15</v>
      </c>
      <c r="I736">
        <v>3</v>
      </c>
      <c r="J736">
        <v>24</v>
      </c>
      <c r="K736">
        <v>3.4</v>
      </c>
      <c r="L736" s="3">
        <v>9</v>
      </c>
      <c r="M736" t="s">
        <v>1034</v>
      </c>
      <c r="N736">
        <v>89.2</v>
      </c>
    </row>
    <row r="737" spans="1:14" x14ac:dyDescent="0.3">
      <c r="A737" t="s">
        <v>747</v>
      </c>
      <c r="B737" t="s">
        <v>1017</v>
      </c>
      <c r="C737" t="s">
        <v>1026</v>
      </c>
      <c r="D737">
        <v>24</v>
      </c>
      <c r="E737">
        <v>0</v>
      </c>
      <c r="F737" s="3">
        <v>36591</v>
      </c>
      <c r="G737">
        <v>52</v>
      </c>
      <c r="H737">
        <v>11</v>
      </c>
      <c r="I737">
        <v>24</v>
      </c>
      <c r="J737">
        <v>19</v>
      </c>
      <c r="K737">
        <v>4.7</v>
      </c>
      <c r="L737" s="3">
        <v>4.0999999999999996</v>
      </c>
      <c r="M737" t="s">
        <v>1036</v>
      </c>
      <c r="N737">
        <v>57.03</v>
      </c>
    </row>
    <row r="738" spans="1:14" x14ac:dyDescent="0.3">
      <c r="A738" t="s">
        <v>748</v>
      </c>
      <c r="B738" t="s">
        <v>1018</v>
      </c>
      <c r="C738" t="s">
        <v>1027</v>
      </c>
      <c r="D738">
        <v>41</v>
      </c>
      <c r="E738">
        <v>12</v>
      </c>
      <c r="F738" s="3">
        <v>56945</v>
      </c>
      <c r="G738">
        <v>38</v>
      </c>
      <c r="H738">
        <v>10</v>
      </c>
      <c r="I738">
        <v>21</v>
      </c>
      <c r="J738">
        <v>31</v>
      </c>
      <c r="K738">
        <v>4</v>
      </c>
      <c r="L738" s="3">
        <v>7.8</v>
      </c>
      <c r="M738" t="s">
        <v>1035</v>
      </c>
      <c r="N738">
        <v>75.47</v>
      </c>
    </row>
    <row r="739" spans="1:14" x14ac:dyDescent="0.3">
      <c r="A739" t="s">
        <v>749</v>
      </c>
      <c r="B739" t="s">
        <v>1017</v>
      </c>
      <c r="C739" t="s">
        <v>1024</v>
      </c>
      <c r="D739">
        <v>52</v>
      </c>
      <c r="E739">
        <v>5</v>
      </c>
      <c r="F739" s="3">
        <v>58206</v>
      </c>
      <c r="G739">
        <v>36</v>
      </c>
      <c r="H739">
        <v>7</v>
      </c>
      <c r="I739">
        <v>8</v>
      </c>
      <c r="J739">
        <v>31</v>
      </c>
      <c r="K739">
        <v>3.8</v>
      </c>
      <c r="L739" s="3">
        <v>5.6</v>
      </c>
      <c r="M739" t="s">
        <v>1036</v>
      </c>
      <c r="N739">
        <v>56.67</v>
      </c>
    </row>
    <row r="740" spans="1:14" x14ac:dyDescent="0.3">
      <c r="A740" t="s">
        <v>750</v>
      </c>
      <c r="B740" t="s">
        <v>1016</v>
      </c>
      <c r="C740" t="s">
        <v>1022</v>
      </c>
      <c r="D740">
        <v>40</v>
      </c>
      <c r="E740">
        <v>10</v>
      </c>
      <c r="F740" s="3">
        <v>29025</v>
      </c>
      <c r="G740">
        <v>35</v>
      </c>
      <c r="H740">
        <v>10</v>
      </c>
      <c r="I740">
        <v>1</v>
      </c>
      <c r="J740">
        <v>8</v>
      </c>
      <c r="K740">
        <v>4.5</v>
      </c>
      <c r="L740" s="3">
        <v>5.4</v>
      </c>
      <c r="M740" t="s">
        <v>1036</v>
      </c>
      <c r="N740">
        <v>62.57</v>
      </c>
    </row>
    <row r="741" spans="1:14" x14ac:dyDescent="0.3">
      <c r="A741" t="s">
        <v>751</v>
      </c>
      <c r="B741" t="s">
        <v>1015</v>
      </c>
      <c r="C741" t="s">
        <v>1029</v>
      </c>
      <c r="D741">
        <v>23</v>
      </c>
      <c r="E741">
        <v>2</v>
      </c>
      <c r="F741" s="3">
        <v>47364</v>
      </c>
      <c r="G741">
        <v>47</v>
      </c>
      <c r="H741">
        <v>2</v>
      </c>
      <c r="I741">
        <v>13</v>
      </c>
      <c r="J741">
        <v>22</v>
      </c>
      <c r="K741">
        <v>5</v>
      </c>
      <c r="L741" s="3">
        <v>5.9</v>
      </c>
      <c r="M741" t="s">
        <v>1036</v>
      </c>
      <c r="N741">
        <v>53.73</v>
      </c>
    </row>
    <row r="742" spans="1:14" x14ac:dyDescent="0.3">
      <c r="A742" t="s">
        <v>752</v>
      </c>
      <c r="B742" t="s">
        <v>1018</v>
      </c>
      <c r="C742" t="s">
        <v>1028</v>
      </c>
      <c r="D742">
        <v>37</v>
      </c>
      <c r="E742">
        <v>7</v>
      </c>
      <c r="F742" s="3">
        <v>67472</v>
      </c>
      <c r="G742">
        <v>44</v>
      </c>
      <c r="H742">
        <v>10</v>
      </c>
      <c r="I742">
        <v>2</v>
      </c>
      <c r="J742">
        <v>4</v>
      </c>
      <c r="K742">
        <v>4.5999999999999996</v>
      </c>
      <c r="L742" s="3">
        <v>3.8</v>
      </c>
      <c r="M742" t="s">
        <v>1036</v>
      </c>
      <c r="N742">
        <v>53.27</v>
      </c>
    </row>
    <row r="743" spans="1:14" x14ac:dyDescent="0.3">
      <c r="A743" t="s">
        <v>753</v>
      </c>
      <c r="B743" t="s">
        <v>1014</v>
      </c>
      <c r="C743" t="s">
        <v>1025</v>
      </c>
      <c r="D743">
        <v>42</v>
      </c>
      <c r="E743">
        <v>1</v>
      </c>
      <c r="F743" s="3">
        <v>55206</v>
      </c>
      <c r="G743">
        <v>48</v>
      </c>
      <c r="H743">
        <v>10</v>
      </c>
      <c r="I743">
        <v>16</v>
      </c>
      <c r="J743">
        <v>26</v>
      </c>
      <c r="K743">
        <v>2.8</v>
      </c>
      <c r="L743" s="3">
        <v>7.9</v>
      </c>
      <c r="M743" t="s">
        <v>1035</v>
      </c>
      <c r="N743">
        <v>72.47</v>
      </c>
    </row>
    <row r="744" spans="1:14" x14ac:dyDescent="0.3">
      <c r="A744" t="s">
        <v>754</v>
      </c>
      <c r="B744" t="s">
        <v>1014</v>
      </c>
      <c r="C744" t="s">
        <v>1025</v>
      </c>
      <c r="D744">
        <v>42</v>
      </c>
      <c r="E744">
        <v>12</v>
      </c>
      <c r="F744" s="3">
        <v>62378</v>
      </c>
      <c r="G744">
        <v>47</v>
      </c>
      <c r="H744">
        <v>6</v>
      </c>
      <c r="I744">
        <v>18</v>
      </c>
      <c r="J744">
        <v>6</v>
      </c>
      <c r="K744">
        <v>4.4000000000000004</v>
      </c>
      <c r="L744" s="3">
        <v>3.7</v>
      </c>
      <c r="M744" t="s">
        <v>1036</v>
      </c>
      <c r="N744">
        <v>45.4</v>
      </c>
    </row>
    <row r="745" spans="1:14" x14ac:dyDescent="0.3">
      <c r="A745" t="s">
        <v>755</v>
      </c>
      <c r="B745" t="s">
        <v>1018</v>
      </c>
      <c r="C745" t="s">
        <v>1032</v>
      </c>
      <c r="D745">
        <v>43</v>
      </c>
      <c r="E745">
        <v>15</v>
      </c>
      <c r="F745" s="3">
        <v>57949</v>
      </c>
      <c r="G745">
        <v>45</v>
      </c>
      <c r="H745">
        <v>3</v>
      </c>
      <c r="I745">
        <v>19</v>
      </c>
      <c r="J745">
        <v>19</v>
      </c>
      <c r="K745">
        <v>3.1</v>
      </c>
      <c r="L745" s="3">
        <v>6.1</v>
      </c>
      <c r="M745" t="s">
        <v>1035</v>
      </c>
      <c r="N745">
        <v>50.9</v>
      </c>
    </row>
    <row r="746" spans="1:14" x14ac:dyDescent="0.3">
      <c r="A746" t="s">
        <v>756</v>
      </c>
      <c r="B746" t="s">
        <v>1014</v>
      </c>
      <c r="C746" t="s">
        <v>1019</v>
      </c>
      <c r="D746">
        <v>35</v>
      </c>
      <c r="E746">
        <v>4</v>
      </c>
      <c r="F746" s="3">
        <v>42377</v>
      </c>
      <c r="G746">
        <v>36</v>
      </c>
      <c r="H746">
        <v>5</v>
      </c>
      <c r="I746">
        <v>18</v>
      </c>
      <c r="J746">
        <v>25</v>
      </c>
      <c r="K746">
        <v>4.4000000000000004</v>
      </c>
      <c r="L746" s="3">
        <v>7.4</v>
      </c>
      <c r="M746" t="s">
        <v>1035</v>
      </c>
      <c r="N746">
        <v>65.930000000000007</v>
      </c>
    </row>
    <row r="747" spans="1:14" x14ac:dyDescent="0.3">
      <c r="A747" t="s">
        <v>757</v>
      </c>
      <c r="B747" t="s">
        <v>1015</v>
      </c>
      <c r="C747" t="s">
        <v>1029</v>
      </c>
      <c r="D747">
        <v>28</v>
      </c>
      <c r="E747">
        <v>5</v>
      </c>
      <c r="F747" s="3">
        <v>42915</v>
      </c>
      <c r="G747">
        <v>37</v>
      </c>
      <c r="H747">
        <v>10</v>
      </c>
      <c r="I747">
        <v>25</v>
      </c>
      <c r="J747">
        <v>33</v>
      </c>
      <c r="K747">
        <v>3.4</v>
      </c>
      <c r="L747" s="3">
        <v>4.5</v>
      </c>
      <c r="M747" t="s">
        <v>1036</v>
      </c>
      <c r="N747">
        <v>53.87</v>
      </c>
    </row>
    <row r="748" spans="1:14" x14ac:dyDescent="0.3">
      <c r="A748" t="s">
        <v>758</v>
      </c>
      <c r="B748" t="s">
        <v>1016</v>
      </c>
      <c r="C748" t="s">
        <v>1033</v>
      </c>
      <c r="D748">
        <v>54</v>
      </c>
      <c r="E748">
        <v>9</v>
      </c>
      <c r="F748" s="3">
        <v>53371</v>
      </c>
      <c r="G748">
        <v>52</v>
      </c>
      <c r="H748">
        <v>6</v>
      </c>
      <c r="I748">
        <v>6</v>
      </c>
      <c r="J748">
        <v>26</v>
      </c>
      <c r="K748">
        <v>3.2</v>
      </c>
      <c r="L748" s="3">
        <v>7.4</v>
      </c>
      <c r="M748" t="s">
        <v>1035</v>
      </c>
      <c r="N748">
        <v>64</v>
      </c>
    </row>
    <row r="749" spans="1:14" x14ac:dyDescent="0.3">
      <c r="A749" t="s">
        <v>759</v>
      </c>
      <c r="B749" t="s">
        <v>1015</v>
      </c>
      <c r="C749" t="s">
        <v>1020</v>
      </c>
      <c r="D749">
        <v>33</v>
      </c>
      <c r="E749">
        <v>0</v>
      </c>
      <c r="F749" s="3">
        <v>66146</v>
      </c>
      <c r="G749">
        <v>51</v>
      </c>
      <c r="H749">
        <v>14</v>
      </c>
      <c r="I749">
        <v>5</v>
      </c>
      <c r="J749">
        <v>36</v>
      </c>
      <c r="K749">
        <v>3.5</v>
      </c>
      <c r="L749" s="3">
        <v>7.6</v>
      </c>
      <c r="M749" t="s">
        <v>1035</v>
      </c>
      <c r="N749">
        <v>79.430000000000007</v>
      </c>
    </row>
    <row r="750" spans="1:14" x14ac:dyDescent="0.3">
      <c r="A750" t="s">
        <v>760</v>
      </c>
      <c r="B750" t="s">
        <v>1017</v>
      </c>
      <c r="C750" t="s">
        <v>1030</v>
      </c>
      <c r="D750">
        <v>39</v>
      </c>
      <c r="E750">
        <v>13</v>
      </c>
      <c r="F750" s="3">
        <v>86252</v>
      </c>
      <c r="G750">
        <v>53</v>
      </c>
      <c r="H750">
        <v>12</v>
      </c>
      <c r="I750">
        <v>20</v>
      </c>
      <c r="J750">
        <v>3</v>
      </c>
      <c r="K750">
        <v>3.6</v>
      </c>
      <c r="L750" s="3">
        <v>5.5</v>
      </c>
      <c r="M750" t="s">
        <v>1036</v>
      </c>
      <c r="N750">
        <v>63.8</v>
      </c>
    </row>
    <row r="751" spans="1:14" x14ac:dyDescent="0.3">
      <c r="A751" t="s">
        <v>761</v>
      </c>
      <c r="B751" t="s">
        <v>1018</v>
      </c>
      <c r="C751" t="s">
        <v>1028</v>
      </c>
      <c r="D751">
        <v>31</v>
      </c>
      <c r="E751">
        <v>10</v>
      </c>
      <c r="F751" s="3">
        <v>75169</v>
      </c>
      <c r="G751">
        <v>44</v>
      </c>
      <c r="H751">
        <v>14</v>
      </c>
      <c r="I751">
        <v>13</v>
      </c>
      <c r="J751">
        <v>26</v>
      </c>
      <c r="K751">
        <v>3</v>
      </c>
      <c r="L751" s="3">
        <v>8.8000000000000007</v>
      </c>
      <c r="M751" t="s">
        <v>1034</v>
      </c>
      <c r="N751">
        <v>85.13</v>
      </c>
    </row>
    <row r="752" spans="1:14" x14ac:dyDescent="0.3">
      <c r="A752" t="s">
        <v>762</v>
      </c>
      <c r="B752" t="s">
        <v>1018</v>
      </c>
      <c r="C752" t="s">
        <v>1028</v>
      </c>
      <c r="D752">
        <v>48</v>
      </c>
      <c r="E752">
        <v>8</v>
      </c>
      <c r="F752" s="3">
        <v>78982</v>
      </c>
      <c r="G752">
        <v>44</v>
      </c>
      <c r="H752">
        <v>11</v>
      </c>
      <c r="I752">
        <v>5</v>
      </c>
      <c r="J752">
        <v>16</v>
      </c>
      <c r="K752">
        <v>4.0999999999999996</v>
      </c>
      <c r="L752" s="3">
        <v>4.7</v>
      </c>
      <c r="M752" t="s">
        <v>1036</v>
      </c>
      <c r="N752">
        <v>58.83</v>
      </c>
    </row>
    <row r="753" spans="1:14" x14ac:dyDescent="0.3">
      <c r="A753" t="s">
        <v>763</v>
      </c>
      <c r="B753" t="s">
        <v>1014</v>
      </c>
      <c r="C753" t="s">
        <v>1031</v>
      </c>
      <c r="D753">
        <v>31</v>
      </c>
      <c r="E753">
        <v>3</v>
      </c>
      <c r="F753" s="3">
        <v>26815</v>
      </c>
      <c r="G753">
        <v>42</v>
      </c>
      <c r="H753">
        <v>13</v>
      </c>
      <c r="I753">
        <v>9</v>
      </c>
      <c r="J753">
        <v>29</v>
      </c>
      <c r="K753">
        <v>3.5</v>
      </c>
      <c r="L753" s="3">
        <v>9.9</v>
      </c>
      <c r="M753" t="s">
        <v>1034</v>
      </c>
      <c r="N753">
        <v>91.57</v>
      </c>
    </row>
    <row r="754" spans="1:14" x14ac:dyDescent="0.3">
      <c r="A754" t="s">
        <v>764</v>
      </c>
      <c r="B754" t="s">
        <v>1014</v>
      </c>
      <c r="C754" t="s">
        <v>1019</v>
      </c>
      <c r="D754">
        <v>34</v>
      </c>
      <c r="E754">
        <v>2</v>
      </c>
      <c r="F754" s="3">
        <v>42872</v>
      </c>
      <c r="G754">
        <v>39</v>
      </c>
      <c r="H754">
        <v>1</v>
      </c>
      <c r="I754">
        <v>8</v>
      </c>
      <c r="J754">
        <v>17</v>
      </c>
      <c r="K754">
        <v>4</v>
      </c>
      <c r="L754" s="3">
        <v>4.2</v>
      </c>
      <c r="M754" t="s">
        <v>1036</v>
      </c>
      <c r="N754">
        <v>38.869999999999997</v>
      </c>
    </row>
    <row r="755" spans="1:14" x14ac:dyDescent="0.3">
      <c r="A755" t="s">
        <v>765</v>
      </c>
      <c r="B755" t="s">
        <v>1017</v>
      </c>
      <c r="C755" t="s">
        <v>1026</v>
      </c>
      <c r="D755">
        <v>23</v>
      </c>
      <c r="E755">
        <v>0</v>
      </c>
      <c r="F755" s="3">
        <v>81333</v>
      </c>
      <c r="G755">
        <v>37</v>
      </c>
      <c r="H755">
        <v>6</v>
      </c>
      <c r="I755">
        <v>19</v>
      </c>
      <c r="J755">
        <v>19</v>
      </c>
      <c r="K755">
        <v>4.5999999999999996</v>
      </c>
      <c r="L755" s="3">
        <v>9.3000000000000007</v>
      </c>
      <c r="M755" t="s">
        <v>1034</v>
      </c>
      <c r="N755">
        <v>79.599999999999994</v>
      </c>
    </row>
    <row r="756" spans="1:14" x14ac:dyDescent="0.3">
      <c r="A756" t="s">
        <v>766</v>
      </c>
      <c r="B756" t="s">
        <v>1016</v>
      </c>
      <c r="C756" t="s">
        <v>1022</v>
      </c>
      <c r="D756">
        <v>27</v>
      </c>
      <c r="E756">
        <v>3</v>
      </c>
      <c r="F756" s="3">
        <v>86811</v>
      </c>
      <c r="G756">
        <v>39</v>
      </c>
      <c r="H756">
        <v>4</v>
      </c>
      <c r="I756">
        <v>3</v>
      </c>
      <c r="J756">
        <v>36</v>
      </c>
      <c r="K756">
        <v>4.2</v>
      </c>
      <c r="L756" s="3">
        <v>9.5</v>
      </c>
      <c r="M756" t="s">
        <v>1034</v>
      </c>
      <c r="N756">
        <v>76.27</v>
      </c>
    </row>
    <row r="757" spans="1:14" x14ac:dyDescent="0.3">
      <c r="A757" t="s">
        <v>767</v>
      </c>
      <c r="B757" t="s">
        <v>1015</v>
      </c>
      <c r="C757" t="s">
        <v>1020</v>
      </c>
      <c r="D757">
        <v>55</v>
      </c>
      <c r="E757">
        <v>8</v>
      </c>
      <c r="F757" s="3">
        <v>57535</v>
      </c>
      <c r="G757">
        <v>37</v>
      </c>
      <c r="H757">
        <v>4</v>
      </c>
      <c r="I757">
        <v>19</v>
      </c>
      <c r="J757">
        <v>7</v>
      </c>
      <c r="K757">
        <v>4.3</v>
      </c>
      <c r="L757" s="3">
        <v>5.2</v>
      </c>
      <c r="M757" t="s">
        <v>1036</v>
      </c>
      <c r="N757">
        <v>50.77</v>
      </c>
    </row>
    <row r="758" spans="1:14" x14ac:dyDescent="0.3">
      <c r="A758" t="s">
        <v>768</v>
      </c>
      <c r="B758" t="s">
        <v>1017</v>
      </c>
      <c r="C758" t="s">
        <v>1026</v>
      </c>
      <c r="D758">
        <v>37</v>
      </c>
      <c r="E758">
        <v>13</v>
      </c>
      <c r="F758" s="3">
        <v>39287</v>
      </c>
      <c r="G758">
        <v>39</v>
      </c>
      <c r="H758">
        <v>2</v>
      </c>
      <c r="I758">
        <v>5</v>
      </c>
      <c r="J758">
        <v>13</v>
      </c>
      <c r="K758">
        <v>4.9000000000000004</v>
      </c>
      <c r="L758" s="3">
        <v>6.1</v>
      </c>
      <c r="M758" t="s">
        <v>1035</v>
      </c>
      <c r="N758">
        <v>54.63</v>
      </c>
    </row>
    <row r="759" spans="1:14" x14ac:dyDescent="0.3">
      <c r="A759" t="s">
        <v>769</v>
      </c>
      <c r="B759" t="s">
        <v>1015</v>
      </c>
      <c r="C759" t="s">
        <v>1029</v>
      </c>
      <c r="D759">
        <v>25</v>
      </c>
      <c r="E759">
        <v>3</v>
      </c>
      <c r="F759" s="3">
        <v>59961</v>
      </c>
      <c r="G759">
        <v>46</v>
      </c>
      <c r="H759">
        <v>12</v>
      </c>
      <c r="I759">
        <v>3</v>
      </c>
      <c r="J759">
        <v>20</v>
      </c>
      <c r="K759">
        <v>3.6</v>
      </c>
      <c r="L759" s="3">
        <v>6.3</v>
      </c>
      <c r="M759" t="s">
        <v>1035</v>
      </c>
      <c r="N759">
        <v>68.599999999999994</v>
      </c>
    </row>
    <row r="760" spans="1:14" x14ac:dyDescent="0.3">
      <c r="A760" t="s">
        <v>770</v>
      </c>
      <c r="B760" t="s">
        <v>1016</v>
      </c>
      <c r="C760" t="s">
        <v>1023</v>
      </c>
      <c r="D760">
        <v>31</v>
      </c>
      <c r="E760">
        <v>5</v>
      </c>
      <c r="F760" s="3">
        <v>56144</v>
      </c>
      <c r="G760">
        <v>46</v>
      </c>
      <c r="H760">
        <v>14</v>
      </c>
      <c r="I760">
        <v>9</v>
      </c>
      <c r="J760">
        <v>1</v>
      </c>
      <c r="K760">
        <v>3.9</v>
      </c>
      <c r="L760" s="3">
        <v>9.3000000000000007</v>
      </c>
      <c r="M760" t="s">
        <v>1034</v>
      </c>
      <c r="N760">
        <v>90.83</v>
      </c>
    </row>
    <row r="761" spans="1:14" x14ac:dyDescent="0.3">
      <c r="A761" t="s">
        <v>771</v>
      </c>
      <c r="B761" t="s">
        <v>1014</v>
      </c>
      <c r="C761" t="s">
        <v>1025</v>
      </c>
      <c r="D761">
        <v>37</v>
      </c>
      <c r="E761">
        <v>8</v>
      </c>
      <c r="F761" s="3">
        <v>61223</v>
      </c>
      <c r="G761">
        <v>47</v>
      </c>
      <c r="H761">
        <v>5</v>
      </c>
      <c r="I761">
        <v>20</v>
      </c>
      <c r="J761">
        <v>23</v>
      </c>
      <c r="K761">
        <v>4.7</v>
      </c>
      <c r="L761" s="3">
        <v>7.8</v>
      </c>
      <c r="M761" t="s">
        <v>1035</v>
      </c>
      <c r="N761">
        <v>69.23</v>
      </c>
    </row>
    <row r="762" spans="1:14" x14ac:dyDescent="0.3">
      <c r="A762" t="s">
        <v>772</v>
      </c>
      <c r="B762" t="s">
        <v>1018</v>
      </c>
      <c r="C762" t="s">
        <v>1028</v>
      </c>
      <c r="D762">
        <v>50</v>
      </c>
      <c r="E762">
        <v>12</v>
      </c>
      <c r="F762" s="3">
        <v>25515</v>
      </c>
      <c r="G762">
        <v>47</v>
      </c>
      <c r="H762">
        <v>15</v>
      </c>
      <c r="I762">
        <v>8</v>
      </c>
      <c r="J762">
        <v>19</v>
      </c>
      <c r="K762">
        <v>2.2999999999999998</v>
      </c>
      <c r="L762" s="3">
        <v>8.8000000000000007</v>
      </c>
      <c r="M762" t="s">
        <v>1034</v>
      </c>
      <c r="N762">
        <v>84.7</v>
      </c>
    </row>
    <row r="763" spans="1:14" x14ac:dyDescent="0.3">
      <c r="A763" t="s">
        <v>773</v>
      </c>
      <c r="B763" t="s">
        <v>1016</v>
      </c>
      <c r="C763" t="s">
        <v>1022</v>
      </c>
      <c r="D763">
        <v>35</v>
      </c>
      <c r="E763">
        <v>13</v>
      </c>
      <c r="F763" s="3">
        <v>83343</v>
      </c>
      <c r="G763">
        <v>40</v>
      </c>
      <c r="H763">
        <v>15</v>
      </c>
      <c r="I763">
        <v>14</v>
      </c>
      <c r="J763">
        <v>40</v>
      </c>
      <c r="K763">
        <v>3</v>
      </c>
      <c r="L763" s="3">
        <v>8.6999999999999993</v>
      </c>
      <c r="M763" t="s">
        <v>1034</v>
      </c>
      <c r="N763">
        <v>86.2</v>
      </c>
    </row>
    <row r="764" spans="1:14" x14ac:dyDescent="0.3">
      <c r="A764" t="s">
        <v>774</v>
      </c>
      <c r="B764" t="s">
        <v>1017</v>
      </c>
      <c r="C764" t="s">
        <v>1026</v>
      </c>
      <c r="D764">
        <v>24</v>
      </c>
      <c r="E764">
        <v>2</v>
      </c>
      <c r="F764" s="3">
        <v>81783</v>
      </c>
      <c r="G764">
        <v>37</v>
      </c>
      <c r="H764">
        <v>14</v>
      </c>
      <c r="I764">
        <v>24</v>
      </c>
      <c r="J764">
        <v>31</v>
      </c>
      <c r="K764">
        <v>3.4</v>
      </c>
      <c r="L764" s="3">
        <v>5.9</v>
      </c>
      <c r="M764" t="s">
        <v>1036</v>
      </c>
      <c r="N764">
        <v>68.930000000000007</v>
      </c>
    </row>
    <row r="765" spans="1:14" x14ac:dyDescent="0.3">
      <c r="A765" t="s">
        <v>775</v>
      </c>
      <c r="B765" t="s">
        <v>1017</v>
      </c>
      <c r="C765" t="s">
        <v>1024</v>
      </c>
      <c r="D765">
        <v>28</v>
      </c>
      <c r="E765">
        <v>2</v>
      </c>
      <c r="F765" s="3">
        <v>70775</v>
      </c>
      <c r="G765">
        <v>43</v>
      </c>
      <c r="H765">
        <v>9</v>
      </c>
      <c r="I765">
        <v>2</v>
      </c>
      <c r="J765">
        <v>22</v>
      </c>
      <c r="K765">
        <v>3.3</v>
      </c>
      <c r="L765" s="3">
        <v>8.1</v>
      </c>
      <c r="M765" t="s">
        <v>1034</v>
      </c>
      <c r="N765">
        <v>73.5</v>
      </c>
    </row>
    <row r="766" spans="1:14" x14ac:dyDescent="0.3">
      <c r="A766" t="s">
        <v>776</v>
      </c>
      <c r="B766" t="s">
        <v>1016</v>
      </c>
      <c r="C766" t="s">
        <v>1023</v>
      </c>
      <c r="D766">
        <v>51</v>
      </c>
      <c r="E766">
        <v>0</v>
      </c>
      <c r="F766" s="3">
        <v>74936</v>
      </c>
      <c r="G766">
        <v>36</v>
      </c>
      <c r="H766">
        <v>11</v>
      </c>
      <c r="I766">
        <v>20</v>
      </c>
      <c r="J766">
        <v>11</v>
      </c>
      <c r="K766">
        <v>3.9</v>
      </c>
      <c r="L766" s="3">
        <v>8.5</v>
      </c>
      <c r="M766" t="s">
        <v>1034</v>
      </c>
      <c r="N766">
        <v>81.03</v>
      </c>
    </row>
    <row r="767" spans="1:14" x14ac:dyDescent="0.3">
      <c r="A767" t="s">
        <v>777</v>
      </c>
      <c r="B767" t="s">
        <v>1014</v>
      </c>
      <c r="C767" t="s">
        <v>1025</v>
      </c>
      <c r="D767">
        <v>47</v>
      </c>
      <c r="E767">
        <v>6</v>
      </c>
      <c r="F767" s="3">
        <v>66176</v>
      </c>
      <c r="G767">
        <v>44</v>
      </c>
      <c r="H767">
        <v>6</v>
      </c>
      <c r="I767">
        <v>18</v>
      </c>
      <c r="J767">
        <v>5</v>
      </c>
      <c r="K767">
        <v>2.2999999999999998</v>
      </c>
      <c r="L767" s="3">
        <v>4.7</v>
      </c>
      <c r="M767" t="s">
        <v>1036</v>
      </c>
      <c r="N767">
        <v>45.1</v>
      </c>
    </row>
    <row r="768" spans="1:14" x14ac:dyDescent="0.3">
      <c r="A768" t="s">
        <v>778</v>
      </c>
      <c r="B768" t="s">
        <v>1018</v>
      </c>
      <c r="C768" t="s">
        <v>1032</v>
      </c>
      <c r="D768">
        <v>48</v>
      </c>
      <c r="E768">
        <v>10</v>
      </c>
      <c r="F768" s="3">
        <v>54588</v>
      </c>
      <c r="G768">
        <v>50</v>
      </c>
      <c r="H768">
        <v>14</v>
      </c>
      <c r="I768">
        <v>23</v>
      </c>
      <c r="J768">
        <v>8</v>
      </c>
      <c r="K768">
        <v>2.8</v>
      </c>
      <c r="L768" s="3">
        <v>7.8</v>
      </c>
      <c r="M768" t="s">
        <v>1035</v>
      </c>
      <c r="N768">
        <v>78.53</v>
      </c>
    </row>
    <row r="769" spans="1:14" x14ac:dyDescent="0.3">
      <c r="A769" t="s">
        <v>779</v>
      </c>
      <c r="B769" t="s">
        <v>1016</v>
      </c>
      <c r="C769" t="s">
        <v>1023</v>
      </c>
      <c r="D769">
        <v>34</v>
      </c>
      <c r="E769">
        <v>1</v>
      </c>
      <c r="F769" s="3">
        <v>52164</v>
      </c>
      <c r="G769">
        <v>46</v>
      </c>
      <c r="H769">
        <v>3</v>
      </c>
      <c r="I769">
        <v>12</v>
      </c>
      <c r="J769">
        <v>24</v>
      </c>
      <c r="K769">
        <v>4.8</v>
      </c>
      <c r="L769" s="3">
        <v>9.1999999999999993</v>
      </c>
      <c r="M769" t="s">
        <v>1034</v>
      </c>
      <c r="N769">
        <v>74.599999999999994</v>
      </c>
    </row>
    <row r="770" spans="1:14" x14ac:dyDescent="0.3">
      <c r="A770" t="s">
        <v>780</v>
      </c>
      <c r="B770" t="s">
        <v>1014</v>
      </c>
      <c r="C770" t="s">
        <v>1025</v>
      </c>
      <c r="D770">
        <v>23</v>
      </c>
      <c r="E770">
        <v>2</v>
      </c>
      <c r="F770" s="3">
        <v>67408</v>
      </c>
      <c r="G770">
        <v>54</v>
      </c>
      <c r="H770">
        <v>11</v>
      </c>
      <c r="I770">
        <v>7</v>
      </c>
      <c r="J770">
        <v>5</v>
      </c>
      <c r="K770">
        <v>4.9000000000000004</v>
      </c>
      <c r="L770" s="3">
        <v>4.4000000000000004</v>
      </c>
      <c r="M770" t="s">
        <v>1036</v>
      </c>
      <c r="N770">
        <v>59.43</v>
      </c>
    </row>
    <row r="771" spans="1:14" x14ac:dyDescent="0.3">
      <c r="A771" t="s">
        <v>781</v>
      </c>
      <c r="B771" t="s">
        <v>1018</v>
      </c>
      <c r="C771" t="s">
        <v>1027</v>
      </c>
      <c r="D771">
        <v>25</v>
      </c>
      <c r="E771">
        <v>3</v>
      </c>
      <c r="F771" s="3">
        <v>65501</v>
      </c>
      <c r="G771">
        <v>48</v>
      </c>
      <c r="H771">
        <v>10</v>
      </c>
      <c r="I771">
        <v>8</v>
      </c>
      <c r="J771">
        <v>9</v>
      </c>
      <c r="K771">
        <v>2.2999999999999998</v>
      </c>
      <c r="L771" s="3">
        <v>5.6</v>
      </c>
      <c r="M771" t="s">
        <v>1036</v>
      </c>
      <c r="N771">
        <v>57.17</v>
      </c>
    </row>
    <row r="772" spans="1:14" x14ac:dyDescent="0.3">
      <c r="A772" t="s">
        <v>782</v>
      </c>
      <c r="B772" t="s">
        <v>1014</v>
      </c>
      <c r="C772" t="s">
        <v>1019</v>
      </c>
      <c r="D772">
        <v>22</v>
      </c>
      <c r="E772">
        <v>1</v>
      </c>
      <c r="F772" s="3">
        <v>75682</v>
      </c>
      <c r="G772">
        <v>49</v>
      </c>
      <c r="H772">
        <v>14</v>
      </c>
      <c r="I772">
        <v>21</v>
      </c>
      <c r="J772">
        <v>31</v>
      </c>
      <c r="K772">
        <v>2.4</v>
      </c>
      <c r="L772" s="3">
        <v>8</v>
      </c>
      <c r="M772" t="s">
        <v>1034</v>
      </c>
      <c r="N772">
        <v>78.53</v>
      </c>
    </row>
    <row r="773" spans="1:14" x14ac:dyDescent="0.3">
      <c r="A773" t="s">
        <v>783</v>
      </c>
      <c r="B773" t="s">
        <v>1016</v>
      </c>
      <c r="C773" t="s">
        <v>1022</v>
      </c>
      <c r="D773">
        <v>40</v>
      </c>
      <c r="E773">
        <v>15</v>
      </c>
      <c r="F773" s="3">
        <v>50039</v>
      </c>
      <c r="G773">
        <v>39</v>
      </c>
      <c r="H773">
        <v>7</v>
      </c>
      <c r="I773">
        <v>6</v>
      </c>
      <c r="J773">
        <v>38</v>
      </c>
      <c r="K773">
        <v>2.6</v>
      </c>
      <c r="L773" s="3">
        <v>8.8000000000000007</v>
      </c>
      <c r="M773" t="s">
        <v>1034</v>
      </c>
      <c r="N773">
        <v>72.27</v>
      </c>
    </row>
    <row r="774" spans="1:14" x14ac:dyDescent="0.3">
      <c r="A774" t="s">
        <v>784</v>
      </c>
      <c r="B774" t="s">
        <v>1018</v>
      </c>
      <c r="C774" t="s">
        <v>1028</v>
      </c>
      <c r="D774">
        <v>48</v>
      </c>
      <c r="E774">
        <v>5</v>
      </c>
      <c r="F774" s="3">
        <v>51773</v>
      </c>
      <c r="G774">
        <v>39</v>
      </c>
      <c r="H774">
        <v>1</v>
      </c>
      <c r="I774">
        <v>9</v>
      </c>
      <c r="J774">
        <v>16</v>
      </c>
      <c r="K774">
        <v>2.7</v>
      </c>
      <c r="L774" s="3">
        <v>6.2</v>
      </c>
      <c r="M774" t="s">
        <v>1035</v>
      </c>
      <c r="N774">
        <v>46.97</v>
      </c>
    </row>
    <row r="775" spans="1:14" x14ac:dyDescent="0.3">
      <c r="A775" t="s">
        <v>785</v>
      </c>
      <c r="B775" t="s">
        <v>1016</v>
      </c>
      <c r="C775" t="s">
        <v>1022</v>
      </c>
      <c r="D775">
        <v>51</v>
      </c>
      <c r="E775">
        <v>2</v>
      </c>
      <c r="F775" s="3">
        <v>25676</v>
      </c>
      <c r="G775">
        <v>50</v>
      </c>
      <c r="H775">
        <v>3</v>
      </c>
      <c r="I775">
        <v>10</v>
      </c>
      <c r="J775">
        <v>25</v>
      </c>
      <c r="K775">
        <v>4.0999999999999996</v>
      </c>
      <c r="L775" s="3">
        <v>8</v>
      </c>
      <c r="M775" t="s">
        <v>1034</v>
      </c>
      <c r="N775">
        <v>65.3</v>
      </c>
    </row>
    <row r="776" spans="1:14" x14ac:dyDescent="0.3">
      <c r="A776" t="s">
        <v>786</v>
      </c>
      <c r="B776" t="s">
        <v>1017</v>
      </c>
      <c r="C776" t="s">
        <v>1026</v>
      </c>
      <c r="D776">
        <v>38</v>
      </c>
      <c r="E776">
        <v>2</v>
      </c>
      <c r="F776" s="3">
        <v>31244</v>
      </c>
      <c r="G776">
        <v>52</v>
      </c>
      <c r="H776">
        <v>1</v>
      </c>
      <c r="I776">
        <v>1</v>
      </c>
      <c r="J776">
        <v>21</v>
      </c>
      <c r="K776">
        <v>4.8</v>
      </c>
      <c r="L776" s="3">
        <v>6.3</v>
      </c>
      <c r="M776" t="s">
        <v>1035</v>
      </c>
      <c r="N776">
        <v>53.87</v>
      </c>
    </row>
    <row r="777" spans="1:14" x14ac:dyDescent="0.3">
      <c r="A777" t="s">
        <v>787</v>
      </c>
      <c r="B777" t="s">
        <v>1015</v>
      </c>
      <c r="C777" t="s">
        <v>1029</v>
      </c>
      <c r="D777">
        <v>24</v>
      </c>
      <c r="E777">
        <v>0</v>
      </c>
      <c r="F777" s="3">
        <v>41623</v>
      </c>
      <c r="G777">
        <v>51</v>
      </c>
      <c r="H777">
        <v>10</v>
      </c>
      <c r="I777">
        <v>12</v>
      </c>
      <c r="J777">
        <v>19</v>
      </c>
      <c r="K777">
        <v>4.9000000000000004</v>
      </c>
      <c r="L777" s="3">
        <v>7.7</v>
      </c>
      <c r="M777" t="s">
        <v>1035</v>
      </c>
      <c r="N777">
        <v>77.569999999999993</v>
      </c>
    </row>
    <row r="778" spans="1:14" x14ac:dyDescent="0.3">
      <c r="A778" t="s">
        <v>788</v>
      </c>
      <c r="B778" t="s">
        <v>1015</v>
      </c>
      <c r="C778" t="s">
        <v>1021</v>
      </c>
      <c r="D778">
        <v>24</v>
      </c>
      <c r="E778">
        <v>1</v>
      </c>
      <c r="F778" s="3">
        <v>42058</v>
      </c>
      <c r="G778">
        <v>40</v>
      </c>
      <c r="H778">
        <v>9</v>
      </c>
      <c r="I778">
        <v>15</v>
      </c>
      <c r="J778">
        <v>21</v>
      </c>
      <c r="K778">
        <v>4.5999999999999996</v>
      </c>
      <c r="L778" s="3">
        <v>3.9</v>
      </c>
      <c r="M778" t="s">
        <v>1036</v>
      </c>
      <c r="N778">
        <v>52.2</v>
      </c>
    </row>
    <row r="779" spans="1:14" x14ac:dyDescent="0.3">
      <c r="A779" t="s">
        <v>789</v>
      </c>
      <c r="B779" t="s">
        <v>1015</v>
      </c>
      <c r="C779" t="s">
        <v>1021</v>
      </c>
      <c r="D779">
        <v>49</v>
      </c>
      <c r="E779">
        <v>4</v>
      </c>
      <c r="F779" s="3">
        <v>42065</v>
      </c>
      <c r="G779">
        <v>38</v>
      </c>
      <c r="H779">
        <v>6</v>
      </c>
      <c r="I779">
        <v>1</v>
      </c>
      <c r="J779">
        <v>8</v>
      </c>
      <c r="K779">
        <v>3.5</v>
      </c>
      <c r="L779" s="3">
        <v>9.8000000000000007</v>
      </c>
      <c r="M779" t="s">
        <v>1034</v>
      </c>
      <c r="N779">
        <v>79.3</v>
      </c>
    </row>
    <row r="780" spans="1:14" x14ac:dyDescent="0.3">
      <c r="A780" t="s">
        <v>790</v>
      </c>
      <c r="B780" t="s">
        <v>1016</v>
      </c>
      <c r="C780" t="s">
        <v>1023</v>
      </c>
      <c r="D780">
        <v>49</v>
      </c>
      <c r="E780">
        <v>9</v>
      </c>
      <c r="F780" s="3">
        <v>84165</v>
      </c>
      <c r="G780">
        <v>43</v>
      </c>
      <c r="H780">
        <v>10</v>
      </c>
      <c r="I780">
        <v>24</v>
      </c>
      <c r="J780">
        <v>16</v>
      </c>
      <c r="K780">
        <v>3.6</v>
      </c>
      <c r="L780" s="3">
        <v>6.1</v>
      </c>
      <c r="M780" t="s">
        <v>1035</v>
      </c>
      <c r="N780">
        <v>64.069999999999993</v>
      </c>
    </row>
    <row r="781" spans="1:14" x14ac:dyDescent="0.3">
      <c r="A781" t="s">
        <v>791</v>
      </c>
      <c r="B781" t="s">
        <v>1016</v>
      </c>
      <c r="C781" t="s">
        <v>1023</v>
      </c>
      <c r="D781">
        <v>53</v>
      </c>
      <c r="E781">
        <v>4</v>
      </c>
      <c r="F781" s="3">
        <v>61416</v>
      </c>
      <c r="G781">
        <v>55</v>
      </c>
      <c r="H781">
        <v>13</v>
      </c>
      <c r="I781">
        <v>14</v>
      </c>
      <c r="J781">
        <v>3</v>
      </c>
      <c r="K781">
        <v>2.6</v>
      </c>
      <c r="L781" s="3">
        <v>3.4</v>
      </c>
      <c r="M781" t="s">
        <v>1036</v>
      </c>
      <c r="N781">
        <v>49.87</v>
      </c>
    </row>
    <row r="782" spans="1:14" x14ac:dyDescent="0.3">
      <c r="A782" t="s">
        <v>792</v>
      </c>
      <c r="B782" t="s">
        <v>1014</v>
      </c>
      <c r="C782" t="s">
        <v>1025</v>
      </c>
      <c r="D782">
        <v>52</v>
      </c>
      <c r="E782">
        <v>8</v>
      </c>
      <c r="F782" s="3">
        <v>35718</v>
      </c>
      <c r="G782">
        <v>49</v>
      </c>
      <c r="H782">
        <v>7</v>
      </c>
      <c r="I782">
        <v>3</v>
      </c>
      <c r="J782">
        <v>31</v>
      </c>
      <c r="K782">
        <v>2.1</v>
      </c>
      <c r="L782" s="3">
        <v>5.5</v>
      </c>
      <c r="M782" t="s">
        <v>1036</v>
      </c>
      <c r="N782">
        <v>50.97</v>
      </c>
    </row>
    <row r="783" spans="1:14" x14ac:dyDescent="0.3">
      <c r="A783" t="s">
        <v>793</v>
      </c>
      <c r="B783" t="s">
        <v>1015</v>
      </c>
      <c r="C783" t="s">
        <v>1021</v>
      </c>
      <c r="D783">
        <v>53</v>
      </c>
      <c r="E783">
        <v>14</v>
      </c>
      <c r="F783" s="3">
        <v>57308</v>
      </c>
      <c r="G783">
        <v>38</v>
      </c>
      <c r="H783">
        <v>14</v>
      </c>
      <c r="I783">
        <v>23</v>
      </c>
      <c r="J783">
        <v>9</v>
      </c>
      <c r="K783">
        <v>2.4</v>
      </c>
      <c r="L783" s="3">
        <v>3.7</v>
      </c>
      <c r="M783" t="s">
        <v>1036</v>
      </c>
      <c r="N783">
        <v>52.73</v>
      </c>
    </row>
    <row r="784" spans="1:14" x14ac:dyDescent="0.3">
      <c r="A784" t="s">
        <v>794</v>
      </c>
      <c r="B784" t="s">
        <v>1018</v>
      </c>
      <c r="C784" t="s">
        <v>1028</v>
      </c>
      <c r="D784">
        <v>32</v>
      </c>
      <c r="E784">
        <v>11</v>
      </c>
      <c r="F784" s="3">
        <v>58340</v>
      </c>
      <c r="G784">
        <v>43</v>
      </c>
      <c r="H784">
        <v>10</v>
      </c>
      <c r="I784">
        <v>21</v>
      </c>
      <c r="J784">
        <v>37</v>
      </c>
      <c r="K784">
        <v>2.6</v>
      </c>
      <c r="L784" s="3">
        <v>10</v>
      </c>
      <c r="M784" t="s">
        <v>1034</v>
      </c>
      <c r="N784">
        <v>84.47</v>
      </c>
    </row>
    <row r="785" spans="1:14" x14ac:dyDescent="0.3">
      <c r="A785" t="s">
        <v>795</v>
      </c>
      <c r="B785" t="s">
        <v>1015</v>
      </c>
      <c r="C785" t="s">
        <v>1029</v>
      </c>
      <c r="D785">
        <v>33</v>
      </c>
      <c r="E785">
        <v>6</v>
      </c>
      <c r="F785" s="3">
        <v>85320</v>
      </c>
      <c r="G785">
        <v>37</v>
      </c>
      <c r="H785">
        <v>4</v>
      </c>
      <c r="I785">
        <v>24</v>
      </c>
      <c r="J785">
        <v>31</v>
      </c>
      <c r="K785">
        <v>4</v>
      </c>
      <c r="L785" s="3">
        <v>9.1999999999999993</v>
      </c>
      <c r="M785" t="s">
        <v>1034</v>
      </c>
      <c r="N785">
        <v>73.87</v>
      </c>
    </row>
    <row r="786" spans="1:14" x14ac:dyDescent="0.3">
      <c r="A786" t="s">
        <v>796</v>
      </c>
      <c r="B786" t="s">
        <v>1016</v>
      </c>
      <c r="C786" t="s">
        <v>1022</v>
      </c>
      <c r="D786">
        <v>29</v>
      </c>
      <c r="E786">
        <v>6</v>
      </c>
      <c r="F786" s="3">
        <v>49481</v>
      </c>
      <c r="G786">
        <v>53</v>
      </c>
      <c r="H786">
        <v>15</v>
      </c>
      <c r="I786">
        <v>3</v>
      </c>
      <c r="J786">
        <v>20</v>
      </c>
      <c r="K786">
        <v>2.5</v>
      </c>
      <c r="L786" s="3">
        <v>3.6</v>
      </c>
      <c r="M786" t="s">
        <v>1036</v>
      </c>
      <c r="N786">
        <v>54.1</v>
      </c>
    </row>
    <row r="787" spans="1:14" x14ac:dyDescent="0.3">
      <c r="A787" t="s">
        <v>797</v>
      </c>
      <c r="B787" t="s">
        <v>1017</v>
      </c>
      <c r="C787" t="s">
        <v>1024</v>
      </c>
      <c r="D787">
        <v>51</v>
      </c>
      <c r="E787">
        <v>8</v>
      </c>
      <c r="F787" s="3">
        <v>63941</v>
      </c>
      <c r="G787">
        <v>35</v>
      </c>
      <c r="H787">
        <v>6</v>
      </c>
      <c r="I787">
        <v>1</v>
      </c>
      <c r="J787">
        <v>39</v>
      </c>
      <c r="K787">
        <v>4.9000000000000004</v>
      </c>
      <c r="L787" s="3">
        <v>5.3</v>
      </c>
      <c r="M787" t="s">
        <v>1036</v>
      </c>
      <c r="N787">
        <v>56.5</v>
      </c>
    </row>
    <row r="788" spans="1:14" x14ac:dyDescent="0.3">
      <c r="A788" t="s">
        <v>798</v>
      </c>
      <c r="B788" t="s">
        <v>1015</v>
      </c>
      <c r="C788" t="s">
        <v>1029</v>
      </c>
      <c r="D788">
        <v>30</v>
      </c>
      <c r="E788">
        <v>3</v>
      </c>
      <c r="F788" s="3">
        <v>81575</v>
      </c>
      <c r="G788">
        <v>36</v>
      </c>
      <c r="H788">
        <v>13</v>
      </c>
      <c r="I788">
        <v>20</v>
      </c>
      <c r="J788">
        <v>18</v>
      </c>
      <c r="K788">
        <v>3</v>
      </c>
      <c r="L788" s="3">
        <v>3.4</v>
      </c>
      <c r="M788" t="s">
        <v>1036</v>
      </c>
      <c r="N788">
        <v>51.07</v>
      </c>
    </row>
    <row r="789" spans="1:14" x14ac:dyDescent="0.3">
      <c r="A789" t="s">
        <v>799</v>
      </c>
      <c r="B789" t="s">
        <v>1015</v>
      </c>
      <c r="C789" t="s">
        <v>1029</v>
      </c>
      <c r="D789">
        <v>46</v>
      </c>
      <c r="E789">
        <v>2</v>
      </c>
      <c r="F789" s="3">
        <v>51139</v>
      </c>
      <c r="G789">
        <v>43</v>
      </c>
      <c r="H789">
        <v>3</v>
      </c>
      <c r="I789">
        <v>7</v>
      </c>
      <c r="J789">
        <v>25</v>
      </c>
      <c r="K789">
        <v>2.2999999999999998</v>
      </c>
      <c r="L789" s="3">
        <v>9</v>
      </c>
      <c r="M789" t="s">
        <v>1034</v>
      </c>
      <c r="N789">
        <v>65.900000000000006</v>
      </c>
    </row>
    <row r="790" spans="1:14" x14ac:dyDescent="0.3">
      <c r="A790" t="s">
        <v>800</v>
      </c>
      <c r="B790" t="s">
        <v>1017</v>
      </c>
      <c r="C790" t="s">
        <v>1026</v>
      </c>
      <c r="D790">
        <v>47</v>
      </c>
      <c r="E790">
        <v>9</v>
      </c>
      <c r="F790" s="3">
        <v>67412</v>
      </c>
      <c r="G790">
        <v>55</v>
      </c>
      <c r="H790">
        <v>3</v>
      </c>
      <c r="I790">
        <v>3</v>
      </c>
      <c r="J790">
        <v>19</v>
      </c>
      <c r="K790">
        <v>3.5</v>
      </c>
      <c r="L790" s="3">
        <v>6</v>
      </c>
      <c r="M790" t="s">
        <v>1035</v>
      </c>
      <c r="N790">
        <v>51.5</v>
      </c>
    </row>
    <row r="791" spans="1:14" x14ac:dyDescent="0.3">
      <c r="A791" t="s">
        <v>801</v>
      </c>
      <c r="B791" t="s">
        <v>1015</v>
      </c>
      <c r="C791" t="s">
        <v>1021</v>
      </c>
      <c r="D791">
        <v>30</v>
      </c>
      <c r="E791">
        <v>5</v>
      </c>
      <c r="F791" s="3">
        <v>68615</v>
      </c>
      <c r="G791">
        <v>38</v>
      </c>
      <c r="H791">
        <v>14</v>
      </c>
      <c r="I791">
        <v>11</v>
      </c>
      <c r="J791">
        <v>32</v>
      </c>
      <c r="K791">
        <v>2.6</v>
      </c>
      <c r="L791" s="3">
        <v>6.1</v>
      </c>
      <c r="M791" t="s">
        <v>1035</v>
      </c>
      <c r="N791">
        <v>67.73</v>
      </c>
    </row>
    <row r="792" spans="1:14" x14ac:dyDescent="0.3">
      <c r="A792" t="s">
        <v>802</v>
      </c>
      <c r="B792" t="s">
        <v>1017</v>
      </c>
      <c r="C792" t="s">
        <v>1030</v>
      </c>
      <c r="D792">
        <v>39</v>
      </c>
      <c r="E792">
        <v>13</v>
      </c>
      <c r="F792" s="3">
        <v>30912</v>
      </c>
      <c r="G792">
        <v>48</v>
      </c>
      <c r="H792">
        <v>13</v>
      </c>
      <c r="I792">
        <v>11</v>
      </c>
      <c r="J792">
        <v>39</v>
      </c>
      <c r="K792">
        <v>2.6</v>
      </c>
      <c r="L792" s="3">
        <v>7.4</v>
      </c>
      <c r="M792" t="s">
        <v>1035</v>
      </c>
      <c r="N792">
        <v>73.87</v>
      </c>
    </row>
    <row r="793" spans="1:14" x14ac:dyDescent="0.3">
      <c r="A793" t="s">
        <v>803</v>
      </c>
      <c r="B793" t="s">
        <v>1014</v>
      </c>
      <c r="C793" t="s">
        <v>1025</v>
      </c>
      <c r="D793">
        <v>54</v>
      </c>
      <c r="E793">
        <v>10</v>
      </c>
      <c r="F793" s="3">
        <v>88784</v>
      </c>
      <c r="G793">
        <v>49</v>
      </c>
      <c r="H793">
        <v>11</v>
      </c>
      <c r="I793">
        <v>7</v>
      </c>
      <c r="J793">
        <v>9</v>
      </c>
      <c r="K793">
        <v>4.8</v>
      </c>
      <c r="L793" s="3">
        <v>6.7</v>
      </c>
      <c r="M793" t="s">
        <v>1035</v>
      </c>
      <c r="N793">
        <v>72.930000000000007</v>
      </c>
    </row>
    <row r="794" spans="1:14" x14ac:dyDescent="0.3">
      <c r="A794" t="s">
        <v>804</v>
      </c>
      <c r="B794" t="s">
        <v>1015</v>
      </c>
      <c r="C794" t="s">
        <v>1020</v>
      </c>
      <c r="D794">
        <v>27</v>
      </c>
      <c r="E794">
        <v>2</v>
      </c>
      <c r="F794" s="3">
        <v>55685</v>
      </c>
      <c r="G794">
        <v>48</v>
      </c>
      <c r="H794">
        <v>2</v>
      </c>
      <c r="I794">
        <v>25</v>
      </c>
      <c r="J794">
        <v>30</v>
      </c>
      <c r="K794">
        <v>2.9</v>
      </c>
      <c r="L794" s="3">
        <v>9.9</v>
      </c>
      <c r="M794" t="s">
        <v>1034</v>
      </c>
      <c r="N794">
        <v>71.430000000000007</v>
      </c>
    </row>
    <row r="795" spans="1:14" x14ac:dyDescent="0.3">
      <c r="A795" t="s">
        <v>805</v>
      </c>
      <c r="B795" t="s">
        <v>1016</v>
      </c>
      <c r="C795" t="s">
        <v>1022</v>
      </c>
      <c r="D795">
        <v>37</v>
      </c>
      <c r="E795">
        <v>13</v>
      </c>
      <c r="F795" s="3">
        <v>44364</v>
      </c>
      <c r="G795">
        <v>53</v>
      </c>
      <c r="H795">
        <v>1</v>
      </c>
      <c r="I795">
        <v>17</v>
      </c>
      <c r="J795">
        <v>4</v>
      </c>
      <c r="K795">
        <v>4.8</v>
      </c>
      <c r="L795" s="3">
        <v>6.6</v>
      </c>
      <c r="M795" t="s">
        <v>1035</v>
      </c>
      <c r="N795">
        <v>55.67</v>
      </c>
    </row>
    <row r="796" spans="1:14" x14ac:dyDescent="0.3">
      <c r="A796" t="s">
        <v>806</v>
      </c>
      <c r="B796" t="s">
        <v>1017</v>
      </c>
      <c r="C796" t="s">
        <v>1024</v>
      </c>
      <c r="D796">
        <v>48</v>
      </c>
      <c r="E796">
        <v>3</v>
      </c>
      <c r="F796" s="3">
        <v>55451</v>
      </c>
      <c r="G796">
        <v>53</v>
      </c>
      <c r="H796">
        <v>14</v>
      </c>
      <c r="I796">
        <v>8</v>
      </c>
      <c r="J796">
        <v>22</v>
      </c>
      <c r="K796">
        <v>2.8</v>
      </c>
      <c r="L796" s="3">
        <v>3.6</v>
      </c>
      <c r="M796" t="s">
        <v>1036</v>
      </c>
      <c r="N796">
        <v>53.33</v>
      </c>
    </row>
    <row r="797" spans="1:14" x14ac:dyDescent="0.3">
      <c r="A797" t="s">
        <v>807</v>
      </c>
      <c r="B797" t="s">
        <v>1014</v>
      </c>
      <c r="C797" t="s">
        <v>1031</v>
      </c>
      <c r="D797">
        <v>29</v>
      </c>
      <c r="E797">
        <v>7</v>
      </c>
      <c r="F797" s="3">
        <v>36767</v>
      </c>
      <c r="G797">
        <v>40</v>
      </c>
      <c r="H797">
        <v>14</v>
      </c>
      <c r="I797">
        <v>12</v>
      </c>
      <c r="J797">
        <v>2</v>
      </c>
      <c r="K797">
        <v>2.2000000000000002</v>
      </c>
      <c r="L797" s="3">
        <v>9.1</v>
      </c>
      <c r="M797" t="s">
        <v>1034</v>
      </c>
      <c r="N797">
        <v>84.53</v>
      </c>
    </row>
    <row r="798" spans="1:14" x14ac:dyDescent="0.3">
      <c r="A798" t="s">
        <v>808</v>
      </c>
      <c r="B798" t="s">
        <v>1016</v>
      </c>
      <c r="C798" t="s">
        <v>1022</v>
      </c>
      <c r="D798">
        <v>51</v>
      </c>
      <c r="E798">
        <v>14</v>
      </c>
      <c r="F798" s="3">
        <v>65882</v>
      </c>
      <c r="G798">
        <v>43</v>
      </c>
      <c r="H798">
        <v>6</v>
      </c>
      <c r="I798">
        <v>25</v>
      </c>
      <c r="J798">
        <v>11</v>
      </c>
      <c r="K798">
        <v>2.6</v>
      </c>
      <c r="L798" s="3">
        <v>3.5</v>
      </c>
      <c r="M798" t="s">
        <v>1036</v>
      </c>
      <c r="N798">
        <v>38.799999999999997</v>
      </c>
    </row>
    <row r="799" spans="1:14" x14ac:dyDescent="0.3">
      <c r="A799" t="s">
        <v>809</v>
      </c>
      <c r="B799" t="s">
        <v>1016</v>
      </c>
      <c r="C799" t="s">
        <v>1033</v>
      </c>
      <c r="D799">
        <v>28</v>
      </c>
      <c r="E799">
        <v>6</v>
      </c>
      <c r="F799" s="3">
        <v>60020</v>
      </c>
      <c r="G799">
        <v>35</v>
      </c>
      <c r="H799">
        <v>1</v>
      </c>
      <c r="I799">
        <v>12</v>
      </c>
      <c r="J799">
        <v>7</v>
      </c>
      <c r="K799">
        <v>2</v>
      </c>
      <c r="L799" s="3">
        <v>7.6</v>
      </c>
      <c r="M799" t="s">
        <v>1035</v>
      </c>
      <c r="N799">
        <v>53.27</v>
      </c>
    </row>
    <row r="800" spans="1:14" x14ac:dyDescent="0.3">
      <c r="A800" t="s">
        <v>810</v>
      </c>
      <c r="B800" t="s">
        <v>1017</v>
      </c>
      <c r="C800" t="s">
        <v>1030</v>
      </c>
      <c r="D800">
        <v>53</v>
      </c>
      <c r="E800">
        <v>9</v>
      </c>
      <c r="F800" s="3">
        <v>65533</v>
      </c>
      <c r="G800">
        <v>54</v>
      </c>
      <c r="H800">
        <v>6</v>
      </c>
      <c r="I800">
        <v>22</v>
      </c>
      <c r="J800">
        <v>25</v>
      </c>
      <c r="K800">
        <v>4.4000000000000004</v>
      </c>
      <c r="L800" s="3">
        <v>3.6</v>
      </c>
      <c r="M800" t="s">
        <v>1036</v>
      </c>
      <c r="N800">
        <v>44.8</v>
      </c>
    </row>
    <row r="801" spans="1:14" x14ac:dyDescent="0.3">
      <c r="A801" t="s">
        <v>811</v>
      </c>
      <c r="B801" t="s">
        <v>1014</v>
      </c>
      <c r="C801" t="s">
        <v>1025</v>
      </c>
      <c r="D801">
        <v>34</v>
      </c>
      <c r="E801">
        <v>1</v>
      </c>
      <c r="F801" s="3">
        <v>78475</v>
      </c>
      <c r="G801">
        <v>35</v>
      </c>
      <c r="H801">
        <v>12</v>
      </c>
      <c r="I801">
        <v>6</v>
      </c>
      <c r="J801">
        <v>1</v>
      </c>
      <c r="K801">
        <v>2.6</v>
      </c>
      <c r="L801" s="3">
        <v>7.5</v>
      </c>
      <c r="M801" t="s">
        <v>1035</v>
      </c>
      <c r="N801">
        <v>72.8</v>
      </c>
    </row>
    <row r="802" spans="1:14" x14ac:dyDescent="0.3">
      <c r="A802" t="s">
        <v>812</v>
      </c>
      <c r="B802" t="s">
        <v>1018</v>
      </c>
      <c r="C802" t="s">
        <v>1028</v>
      </c>
      <c r="D802">
        <v>49</v>
      </c>
      <c r="E802">
        <v>6</v>
      </c>
      <c r="F802" s="3">
        <v>30642</v>
      </c>
      <c r="G802">
        <v>44</v>
      </c>
      <c r="H802">
        <v>13</v>
      </c>
      <c r="I802">
        <v>14</v>
      </c>
      <c r="J802">
        <v>9</v>
      </c>
      <c r="K802">
        <v>3.4</v>
      </c>
      <c r="L802" s="3">
        <v>3.2</v>
      </c>
      <c r="M802" t="s">
        <v>1036</v>
      </c>
      <c r="N802">
        <v>51.07</v>
      </c>
    </row>
    <row r="803" spans="1:14" x14ac:dyDescent="0.3">
      <c r="A803" t="s">
        <v>813</v>
      </c>
      <c r="B803" t="s">
        <v>1018</v>
      </c>
      <c r="C803" t="s">
        <v>1032</v>
      </c>
      <c r="D803">
        <v>50</v>
      </c>
      <c r="E803">
        <v>15</v>
      </c>
      <c r="F803" s="3">
        <v>55899</v>
      </c>
      <c r="G803">
        <v>35</v>
      </c>
      <c r="H803">
        <v>14</v>
      </c>
      <c r="I803">
        <v>14</v>
      </c>
      <c r="J803">
        <v>37</v>
      </c>
      <c r="K803">
        <v>2.7</v>
      </c>
      <c r="L803" s="3">
        <v>5.0999999999999996</v>
      </c>
      <c r="M803" t="s">
        <v>1036</v>
      </c>
      <c r="N803">
        <v>62.03</v>
      </c>
    </row>
    <row r="804" spans="1:14" x14ac:dyDescent="0.3">
      <c r="A804" t="s">
        <v>814</v>
      </c>
      <c r="B804" t="s">
        <v>1014</v>
      </c>
      <c r="C804" t="s">
        <v>1025</v>
      </c>
      <c r="D804">
        <v>43</v>
      </c>
      <c r="E804">
        <v>0</v>
      </c>
      <c r="F804" s="3">
        <v>31728</v>
      </c>
      <c r="G804">
        <v>55</v>
      </c>
      <c r="H804">
        <v>14</v>
      </c>
      <c r="I804">
        <v>22</v>
      </c>
      <c r="J804">
        <v>27</v>
      </c>
      <c r="K804">
        <v>4.9000000000000004</v>
      </c>
      <c r="L804" s="3">
        <v>8.9</v>
      </c>
      <c r="M804" t="s">
        <v>1034</v>
      </c>
      <c r="N804">
        <v>91.43</v>
      </c>
    </row>
    <row r="805" spans="1:14" x14ac:dyDescent="0.3">
      <c r="A805" t="s">
        <v>815</v>
      </c>
      <c r="B805" t="s">
        <v>1015</v>
      </c>
      <c r="C805" t="s">
        <v>1021</v>
      </c>
      <c r="D805">
        <v>40</v>
      </c>
      <c r="E805">
        <v>1</v>
      </c>
      <c r="F805" s="3">
        <v>56948</v>
      </c>
      <c r="G805">
        <v>47</v>
      </c>
      <c r="H805">
        <v>8</v>
      </c>
      <c r="I805">
        <v>16</v>
      </c>
      <c r="J805">
        <v>37</v>
      </c>
      <c r="K805">
        <v>4.2</v>
      </c>
      <c r="L805" s="3">
        <v>9.5</v>
      </c>
      <c r="M805" t="s">
        <v>1034</v>
      </c>
      <c r="N805">
        <v>82.93</v>
      </c>
    </row>
    <row r="806" spans="1:14" x14ac:dyDescent="0.3">
      <c r="A806" t="s">
        <v>816</v>
      </c>
      <c r="B806" t="s">
        <v>1018</v>
      </c>
      <c r="C806" t="s">
        <v>1032</v>
      </c>
      <c r="D806">
        <v>25</v>
      </c>
      <c r="E806">
        <v>4</v>
      </c>
      <c r="F806" s="3">
        <v>26246</v>
      </c>
      <c r="G806">
        <v>48</v>
      </c>
      <c r="H806">
        <v>10</v>
      </c>
      <c r="I806">
        <v>10</v>
      </c>
      <c r="J806">
        <v>35</v>
      </c>
      <c r="K806">
        <v>2.2000000000000002</v>
      </c>
      <c r="L806" s="3">
        <v>9.3000000000000007</v>
      </c>
      <c r="M806" t="s">
        <v>1034</v>
      </c>
      <c r="N806">
        <v>79.069999999999993</v>
      </c>
    </row>
    <row r="807" spans="1:14" x14ac:dyDescent="0.3">
      <c r="A807" t="s">
        <v>817</v>
      </c>
      <c r="B807" t="s">
        <v>1017</v>
      </c>
      <c r="C807" t="s">
        <v>1030</v>
      </c>
      <c r="D807">
        <v>29</v>
      </c>
      <c r="E807">
        <v>7</v>
      </c>
      <c r="F807" s="3">
        <v>65809</v>
      </c>
      <c r="G807">
        <v>55</v>
      </c>
      <c r="H807">
        <v>6</v>
      </c>
      <c r="I807">
        <v>14</v>
      </c>
      <c r="J807">
        <v>27</v>
      </c>
      <c r="K807">
        <v>2.1</v>
      </c>
      <c r="L807" s="3">
        <v>5</v>
      </c>
      <c r="M807" t="s">
        <v>1036</v>
      </c>
      <c r="N807">
        <v>46.3</v>
      </c>
    </row>
    <row r="808" spans="1:14" x14ac:dyDescent="0.3">
      <c r="A808" t="s">
        <v>818</v>
      </c>
      <c r="B808" t="s">
        <v>1017</v>
      </c>
      <c r="C808" t="s">
        <v>1024</v>
      </c>
      <c r="D808">
        <v>44</v>
      </c>
      <c r="E808">
        <v>14</v>
      </c>
      <c r="F808" s="3">
        <v>40211</v>
      </c>
      <c r="G808">
        <v>51</v>
      </c>
      <c r="H808">
        <v>4</v>
      </c>
      <c r="I808">
        <v>18</v>
      </c>
      <c r="J808">
        <v>21</v>
      </c>
      <c r="K808">
        <v>4.8</v>
      </c>
      <c r="L808" s="3">
        <v>9</v>
      </c>
      <c r="M808" t="s">
        <v>1034</v>
      </c>
      <c r="N808">
        <v>75.069999999999993</v>
      </c>
    </row>
    <row r="809" spans="1:14" x14ac:dyDescent="0.3">
      <c r="A809" t="s">
        <v>819</v>
      </c>
      <c r="B809" t="s">
        <v>1017</v>
      </c>
      <c r="C809" t="s">
        <v>1030</v>
      </c>
      <c r="D809">
        <v>30</v>
      </c>
      <c r="E809">
        <v>4</v>
      </c>
      <c r="F809" s="3">
        <v>72382</v>
      </c>
      <c r="G809">
        <v>47</v>
      </c>
      <c r="H809">
        <v>7</v>
      </c>
      <c r="I809">
        <v>21</v>
      </c>
      <c r="J809">
        <v>23</v>
      </c>
      <c r="K809">
        <v>4.4000000000000004</v>
      </c>
      <c r="L809" s="3">
        <v>8.6</v>
      </c>
      <c r="M809" t="s">
        <v>1034</v>
      </c>
      <c r="N809">
        <v>76.47</v>
      </c>
    </row>
    <row r="810" spans="1:14" x14ac:dyDescent="0.3">
      <c r="A810" t="s">
        <v>820</v>
      </c>
      <c r="B810" t="s">
        <v>1015</v>
      </c>
      <c r="C810" t="s">
        <v>1021</v>
      </c>
      <c r="D810">
        <v>35</v>
      </c>
      <c r="E810">
        <v>4</v>
      </c>
      <c r="F810" s="3">
        <v>70265</v>
      </c>
      <c r="G810">
        <v>37</v>
      </c>
      <c r="H810">
        <v>11</v>
      </c>
      <c r="I810">
        <v>15</v>
      </c>
      <c r="J810">
        <v>8</v>
      </c>
      <c r="K810">
        <v>2.5</v>
      </c>
      <c r="L810" s="3">
        <v>4.0999999999999996</v>
      </c>
      <c r="M810" t="s">
        <v>1036</v>
      </c>
      <c r="N810">
        <v>50.43</v>
      </c>
    </row>
    <row r="811" spans="1:14" x14ac:dyDescent="0.3">
      <c r="A811" t="s">
        <v>821</v>
      </c>
      <c r="B811" t="s">
        <v>1014</v>
      </c>
      <c r="C811" t="s">
        <v>1031</v>
      </c>
      <c r="D811">
        <v>48</v>
      </c>
      <c r="E811">
        <v>15</v>
      </c>
      <c r="F811" s="3">
        <v>44900</v>
      </c>
      <c r="G811">
        <v>42</v>
      </c>
      <c r="H811">
        <v>4</v>
      </c>
      <c r="I811">
        <v>17</v>
      </c>
      <c r="J811">
        <v>3</v>
      </c>
      <c r="K811">
        <v>5</v>
      </c>
      <c r="L811" s="3">
        <v>5.5</v>
      </c>
      <c r="M811" t="s">
        <v>1036</v>
      </c>
      <c r="N811">
        <v>54.67</v>
      </c>
    </row>
    <row r="812" spans="1:14" x14ac:dyDescent="0.3">
      <c r="A812" t="s">
        <v>822</v>
      </c>
      <c r="B812" t="s">
        <v>1016</v>
      </c>
      <c r="C812" t="s">
        <v>1023</v>
      </c>
      <c r="D812">
        <v>32</v>
      </c>
      <c r="E812">
        <v>2</v>
      </c>
      <c r="F812" s="3">
        <v>79260</v>
      </c>
      <c r="G812">
        <v>51</v>
      </c>
      <c r="H812">
        <v>1</v>
      </c>
      <c r="I812">
        <v>25</v>
      </c>
      <c r="J812">
        <v>4</v>
      </c>
      <c r="K812">
        <v>3</v>
      </c>
      <c r="L812" s="3">
        <v>3.8</v>
      </c>
      <c r="M812" t="s">
        <v>1036</v>
      </c>
      <c r="N812">
        <v>33.47</v>
      </c>
    </row>
    <row r="813" spans="1:14" x14ac:dyDescent="0.3">
      <c r="A813" t="s">
        <v>823</v>
      </c>
      <c r="B813" t="s">
        <v>1014</v>
      </c>
      <c r="C813" t="s">
        <v>1019</v>
      </c>
      <c r="D813">
        <v>36</v>
      </c>
      <c r="E813">
        <v>15</v>
      </c>
      <c r="F813" s="3">
        <v>41896</v>
      </c>
      <c r="G813">
        <v>45</v>
      </c>
      <c r="H813">
        <v>13</v>
      </c>
      <c r="I813">
        <v>11</v>
      </c>
      <c r="J813">
        <v>2</v>
      </c>
      <c r="K813">
        <v>4.3</v>
      </c>
      <c r="L813" s="3">
        <v>6.9</v>
      </c>
      <c r="M813" t="s">
        <v>1035</v>
      </c>
      <c r="N813">
        <v>75.97</v>
      </c>
    </row>
    <row r="814" spans="1:14" x14ac:dyDescent="0.3">
      <c r="A814" t="s">
        <v>824</v>
      </c>
      <c r="B814" t="s">
        <v>1015</v>
      </c>
      <c r="C814" t="s">
        <v>1020</v>
      </c>
      <c r="D814">
        <v>28</v>
      </c>
      <c r="E814">
        <v>0</v>
      </c>
      <c r="F814" s="3">
        <v>85727</v>
      </c>
      <c r="G814">
        <v>49</v>
      </c>
      <c r="H814">
        <v>13</v>
      </c>
      <c r="I814">
        <v>14</v>
      </c>
      <c r="J814">
        <v>7</v>
      </c>
      <c r="K814">
        <v>4.9000000000000004</v>
      </c>
      <c r="L814" s="3">
        <v>8.5</v>
      </c>
      <c r="M814" t="s">
        <v>1034</v>
      </c>
      <c r="N814">
        <v>87.37</v>
      </c>
    </row>
    <row r="815" spans="1:14" x14ac:dyDescent="0.3">
      <c r="A815" t="s">
        <v>825</v>
      </c>
      <c r="B815" t="s">
        <v>1014</v>
      </c>
      <c r="C815" t="s">
        <v>1031</v>
      </c>
      <c r="D815">
        <v>24</v>
      </c>
      <c r="E815">
        <v>0</v>
      </c>
      <c r="F815" s="3">
        <v>35947</v>
      </c>
      <c r="G815">
        <v>55</v>
      </c>
      <c r="H815">
        <v>2</v>
      </c>
      <c r="I815">
        <v>6</v>
      </c>
      <c r="J815">
        <v>23</v>
      </c>
      <c r="K815">
        <v>2.5</v>
      </c>
      <c r="L815" s="3">
        <v>5</v>
      </c>
      <c r="M815" t="s">
        <v>1036</v>
      </c>
      <c r="N815">
        <v>40.83</v>
      </c>
    </row>
    <row r="816" spans="1:14" x14ac:dyDescent="0.3">
      <c r="A816" t="s">
        <v>826</v>
      </c>
      <c r="B816" t="s">
        <v>1015</v>
      </c>
      <c r="C816" t="s">
        <v>1021</v>
      </c>
      <c r="D816">
        <v>53</v>
      </c>
      <c r="E816">
        <v>3</v>
      </c>
      <c r="F816" s="3">
        <v>35111</v>
      </c>
      <c r="G816">
        <v>55</v>
      </c>
      <c r="H816">
        <v>6</v>
      </c>
      <c r="I816">
        <v>10</v>
      </c>
      <c r="J816">
        <v>8</v>
      </c>
      <c r="K816">
        <v>2.4</v>
      </c>
      <c r="L816" s="3">
        <v>4.4000000000000004</v>
      </c>
      <c r="M816" t="s">
        <v>1036</v>
      </c>
      <c r="N816">
        <v>43.6</v>
      </c>
    </row>
    <row r="817" spans="1:14" x14ac:dyDescent="0.3">
      <c r="A817" t="s">
        <v>827</v>
      </c>
      <c r="B817" t="s">
        <v>1014</v>
      </c>
      <c r="C817" t="s">
        <v>1031</v>
      </c>
      <c r="D817">
        <v>37</v>
      </c>
      <c r="E817">
        <v>15</v>
      </c>
      <c r="F817" s="3">
        <v>47368</v>
      </c>
      <c r="G817">
        <v>44</v>
      </c>
      <c r="H817">
        <v>9</v>
      </c>
      <c r="I817">
        <v>5</v>
      </c>
      <c r="J817">
        <v>5</v>
      </c>
      <c r="K817">
        <v>2.8</v>
      </c>
      <c r="L817" s="3">
        <v>8</v>
      </c>
      <c r="M817" t="s">
        <v>1034</v>
      </c>
      <c r="N817">
        <v>71.400000000000006</v>
      </c>
    </row>
    <row r="818" spans="1:14" x14ac:dyDescent="0.3">
      <c r="A818" t="s">
        <v>828</v>
      </c>
      <c r="B818" t="s">
        <v>1016</v>
      </c>
      <c r="C818" t="s">
        <v>1033</v>
      </c>
      <c r="D818">
        <v>37</v>
      </c>
      <c r="E818">
        <v>4</v>
      </c>
      <c r="F818" s="3">
        <v>74362</v>
      </c>
      <c r="G818">
        <v>51</v>
      </c>
      <c r="H818">
        <v>7</v>
      </c>
      <c r="I818">
        <v>25</v>
      </c>
      <c r="J818">
        <v>14</v>
      </c>
      <c r="K818">
        <v>2.4</v>
      </c>
      <c r="L818" s="3">
        <v>6</v>
      </c>
      <c r="M818" t="s">
        <v>1035</v>
      </c>
      <c r="N818">
        <v>54.87</v>
      </c>
    </row>
    <row r="819" spans="1:14" x14ac:dyDescent="0.3">
      <c r="A819" t="s">
        <v>829</v>
      </c>
      <c r="B819" t="s">
        <v>1017</v>
      </c>
      <c r="C819" t="s">
        <v>1030</v>
      </c>
      <c r="D819">
        <v>55</v>
      </c>
      <c r="E819">
        <v>11</v>
      </c>
      <c r="F819" s="3">
        <v>86848</v>
      </c>
      <c r="G819">
        <v>35</v>
      </c>
      <c r="H819">
        <v>8</v>
      </c>
      <c r="I819">
        <v>4</v>
      </c>
      <c r="J819">
        <v>0</v>
      </c>
      <c r="K819">
        <v>4.2</v>
      </c>
      <c r="L819" s="3">
        <v>6.6</v>
      </c>
      <c r="M819" t="s">
        <v>1035</v>
      </c>
      <c r="N819">
        <v>65.53</v>
      </c>
    </row>
    <row r="820" spans="1:14" x14ac:dyDescent="0.3">
      <c r="A820" t="s">
        <v>830</v>
      </c>
      <c r="B820" t="s">
        <v>1014</v>
      </c>
      <c r="C820" t="s">
        <v>1025</v>
      </c>
      <c r="D820">
        <v>43</v>
      </c>
      <c r="E820">
        <v>10</v>
      </c>
      <c r="F820" s="3">
        <v>51322</v>
      </c>
      <c r="G820">
        <v>40</v>
      </c>
      <c r="H820">
        <v>7</v>
      </c>
      <c r="I820">
        <v>1</v>
      </c>
      <c r="J820">
        <v>25</v>
      </c>
      <c r="K820">
        <v>4.3</v>
      </c>
      <c r="L820" s="3">
        <v>7.6</v>
      </c>
      <c r="M820" t="s">
        <v>1035</v>
      </c>
      <c r="N820">
        <v>70.17</v>
      </c>
    </row>
    <row r="821" spans="1:14" x14ac:dyDescent="0.3">
      <c r="A821" t="s">
        <v>831</v>
      </c>
      <c r="B821" t="s">
        <v>1018</v>
      </c>
      <c r="C821" t="s">
        <v>1032</v>
      </c>
      <c r="D821">
        <v>25</v>
      </c>
      <c r="E821">
        <v>4</v>
      </c>
      <c r="F821" s="3">
        <v>88744</v>
      </c>
      <c r="G821">
        <v>44</v>
      </c>
      <c r="H821">
        <v>7</v>
      </c>
      <c r="I821">
        <v>12</v>
      </c>
      <c r="J821">
        <v>35</v>
      </c>
      <c r="K821">
        <v>4.5999999999999996</v>
      </c>
      <c r="L821" s="3">
        <v>8.1</v>
      </c>
      <c r="M821" t="s">
        <v>1034</v>
      </c>
      <c r="N821">
        <v>74.069999999999993</v>
      </c>
    </row>
    <row r="822" spans="1:14" x14ac:dyDescent="0.3">
      <c r="A822" t="s">
        <v>832</v>
      </c>
      <c r="B822" t="s">
        <v>1016</v>
      </c>
      <c r="C822" t="s">
        <v>1022</v>
      </c>
      <c r="D822">
        <v>22</v>
      </c>
      <c r="E822">
        <v>1</v>
      </c>
      <c r="F822" s="3">
        <v>83996</v>
      </c>
      <c r="G822">
        <v>51</v>
      </c>
      <c r="H822">
        <v>10</v>
      </c>
      <c r="I822">
        <v>4</v>
      </c>
      <c r="J822">
        <v>25</v>
      </c>
      <c r="K822">
        <v>3.3</v>
      </c>
      <c r="L822" s="3">
        <v>4.4000000000000004</v>
      </c>
      <c r="M822" t="s">
        <v>1036</v>
      </c>
      <c r="N822">
        <v>52.97</v>
      </c>
    </row>
    <row r="823" spans="1:14" x14ac:dyDescent="0.3">
      <c r="A823" t="s">
        <v>833</v>
      </c>
      <c r="B823" t="s">
        <v>1015</v>
      </c>
      <c r="C823" t="s">
        <v>1020</v>
      </c>
      <c r="D823">
        <v>50</v>
      </c>
      <c r="E823">
        <v>11</v>
      </c>
      <c r="F823" s="3">
        <v>83174</v>
      </c>
      <c r="G823">
        <v>55</v>
      </c>
      <c r="H823">
        <v>7</v>
      </c>
      <c r="I823">
        <v>24</v>
      </c>
      <c r="J823">
        <v>12</v>
      </c>
      <c r="K823">
        <v>4.5999999999999996</v>
      </c>
      <c r="L823" s="3">
        <v>3.6</v>
      </c>
      <c r="M823" t="s">
        <v>1036</v>
      </c>
      <c r="N823">
        <v>47.07</v>
      </c>
    </row>
    <row r="824" spans="1:14" x14ac:dyDescent="0.3">
      <c r="A824" t="s">
        <v>834</v>
      </c>
      <c r="B824" t="s">
        <v>1016</v>
      </c>
      <c r="C824" t="s">
        <v>1033</v>
      </c>
      <c r="D824">
        <v>46</v>
      </c>
      <c r="E824">
        <v>4</v>
      </c>
      <c r="F824" s="3">
        <v>59109</v>
      </c>
      <c r="G824">
        <v>52</v>
      </c>
      <c r="H824">
        <v>5</v>
      </c>
      <c r="I824">
        <v>6</v>
      </c>
      <c r="J824">
        <v>5</v>
      </c>
      <c r="K824">
        <v>3.5</v>
      </c>
      <c r="L824" s="3">
        <v>5.2</v>
      </c>
      <c r="M824" t="s">
        <v>1036</v>
      </c>
      <c r="N824">
        <v>50.03</v>
      </c>
    </row>
    <row r="825" spans="1:14" x14ac:dyDescent="0.3">
      <c r="A825" t="s">
        <v>835</v>
      </c>
      <c r="B825" t="s">
        <v>1018</v>
      </c>
      <c r="C825" t="s">
        <v>1032</v>
      </c>
      <c r="D825">
        <v>23</v>
      </c>
      <c r="E825">
        <v>0</v>
      </c>
      <c r="F825" s="3">
        <v>83347</v>
      </c>
      <c r="G825">
        <v>52</v>
      </c>
      <c r="H825">
        <v>10</v>
      </c>
      <c r="I825">
        <v>8</v>
      </c>
      <c r="J825">
        <v>15</v>
      </c>
      <c r="K825">
        <v>4.5</v>
      </c>
      <c r="L825" s="3">
        <v>5.0999999999999996</v>
      </c>
      <c r="M825" t="s">
        <v>1036</v>
      </c>
      <c r="N825">
        <v>60.77</v>
      </c>
    </row>
    <row r="826" spans="1:14" x14ac:dyDescent="0.3">
      <c r="A826" t="s">
        <v>836</v>
      </c>
      <c r="B826" t="s">
        <v>1015</v>
      </c>
      <c r="C826" t="s">
        <v>1020</v>
      </c>
      <c r="D826">
        <v>29</v>
      </c>
      <c r="E826">
        <v>0</v>
      </c>
      <c r="F826" s="3">
        <v>80154</v>
      </c>
      <c r="G826">
        <v>46</v>
      </c>
      <c r="H826">
        <v>5</v>
      </c>
      <c r="I826">
        <v>20</v>
      </c>
      <c r="J826">
        <v>32</v>
      </c>
      <c r="K826">
        <v>3.1</v>
      </c>
      <c r="L826" s="3">
        <v>3.3</v>
      </c>
      <c r="M826" t="s">
        <v>1036</v>
      </c>
      <c r="N826">
        <v>37.43</v>
      </c>
    </row>
    <row r="827" spans="1:14" x14ac:dyDescent="0.3">
      <c r="A827" t="s">
        <v>837</v>
      </c>
      <c r="B827" t="s">
        <v>1014</v>
      </c>
      <c r="C827" t="s">
        <v>1025</v>
      </c>
      <c r="D827">
        <v>50</v>
      </c>
      <c r="E827">
        <v>9</v>
      </c>
      <c r="F827" s="3">
        <v>62515</v>
      </c>
      <c r="G827">
        <v>35</v>
      </c>
      <c r="H827">
        <v>8</v>
      </c>
      <c r="I827">
        <v>10</v>
      </c>
      <c r="J827">
        <v>15</v>
      </c>
      <c r="K827">
        <v>4.4000000000000004</v>
      </c>
      <c r="L827" s="3">
        <v>9.9</v>
      </c>
      <c r="M827" t="s">
        <v>1034</v>
      </c>
      <c r="N827">
        <v>85.93</v>
      </c>
    </row>
    <row r="828" spans="1:14" x14ac:dyDescent="0.3">
      <c r="A828" t="s">
        <v>838</v>
      </c>
      <c r="B828" t="s">
        <v>1015</v>
      </c>
      <c r="C828" t="s">
        <v>1020</v>
      </c>
      <c r="D828">
        <v>36</v>
      </c>
      <c r="E828">
        <v>11</v>
      </c>
      <c r="F828" s="3">
        <v>44608</v>
      </c>
      <c r="G828">
        <v>44</v>
      </c>
      <c r="H828">
        <v>11</v>
      </c>
      <c r="I828">
        <v>25</v>
      </c>
      <c r="J828">
        <v>36</v>
      </c>
      <c r="K828">
        <v>4</v>
      </c>
      <c r="L828" s="3">
        <v>8</v>
      </c>
      <c r="M828" t="s">
        <v>1034</v>
      </c>
      <c r="N828">
        <v>78.33</v>
      </c>
    </row>
    <row r="829" spans="1:14" x14ac:dyDescent="0.3">
      <c r="A829" t="s">
        <v>839</v>
      </c>
      <c r="B829" t="s">
        <v>1018</v>
      </c>
      <c r="C829" t="s">
        <v>1032</v>
      </c>
      <c r="D829">
        <v>28</v>
      </c>
      <c r="E829">
        <v>5</v>
      </c>
      <c r="F829" s="3">
        <v>58846</v>
      </c>
      <c r="G829">
        <v>53</v>
      </c>
      <c r="H829">
        <v>4</v>
      </c>
      <c r="I829">
        <v>24</v>
      </c>
      <c r="J829">
        <v>23</v>
      </c>
      <c r="K829">
        <v>3.4</v>
      </c>
      <c r="L829" s="3">
        <v>4</v>
      </c>
      <c r="M829" t="s">
        <v>1036</v>
      </c>
      <c r="N829">
        <v>40.869999999999997</v>
      </c>
    </row>
    <row r="830" spans="1:14" x14ac:dyDescent="0.3">
      <c r="A830" t="s">
        <v>840</v>
      </c>
      <c r="B830" t="s">
        <v>1017</v>
      </c>
      <c r="C830" t="s">
        <v>1024</v>
      </c>
      <c r="D830">
        <v>27</v>
      </c>
      <c r="E830">
        <v>0</v>
      </c>
      <c r="F830" s="3">
        <v>29075</v>
      </c>
      <c r="G830">
        <v>48</v>
      </c>
      <c r="H830">
        <v>15</v>
      </c>
      <c r="I830">
        <v>4</v>
      </c>
      <c r="J830">
        <v>30</v>
      </c>
      <c r="K830">
        <v>2.6</v>
      </c>
      <c r="L830" s="3">
        <v>3.5</v>
      </c>
      <c r="M830" t="s">
        <v>1036</v>
      </c>
      <c r="N830">
        <v>53.8</v>
      </c>
    </row>
    <row r="831" spans="1:14" x14ac:dyDescent="0.3">
      <c r="A831" t="s">
        <v>841</v>
      </c>
      <c r="B831" t="s">
        <v>1015</v>
      </c>
      <c r="C831" t="s">
        <v>1021</v>
      </c>
      <c r="D831">
        <v>47</v>
      </c>
      <c r="E831">
        <v>12</v>
      </c>
      <c r="F831" s="3">
        <v>82148</v>
      </c>
      <c r="G831">
        <v>43</v>
      </c>
      <c r="H831">
        <v>10</v>
      </c>
      <c r="I831">
        <v>15</v>
      </c>
      <c r="J831">
        <v>40</v>
      </c>
      <c r="K831">
        <v>3.3</v>
      </c>
      <c r="L831" s="3">
        <v>6.1</v>
      </c>
      <c r="M831" t="s">
        <v>1035</v>
      </c>
      <c r="N831">
        <v>63.17</v>
      </c>
    </row>
    <row r="832" spans="1:14" x14ac:dyDescent="0.3">
      <c r="A832" t="s">
        <v>842</v>
      </c>
      <c r="B832" t="s">
        <v>1017</v>
      </c>
      <c r="C832" t="s">
        <v>1024</v>
      </c>
      <c r="D832">
        <v>32</v>
      </c>
      <c r="E832">
        <v>2</v>
      </c>
      <c r="F832" s="3">
        <v>58147</v>
      </c>
      <c r="G832">
        <v>39</v>
      </c>
      <c r="H832">
        <v>8</v>
      </c>
      <c r="I832">
        <v>22</v>
      </c>
      <c r="J832">
        <v>29</v>
      </c>
      <c r="K832">
        <v>2.4</v>
      </c>
      <c r="L832" s="3">
        <v>7.9</v>
      </c>
      <c r="M832" t="s">
        <v>1035</v>
      </c>
      <c r="N832">
        <v>67.930000000000007</v>
      </c>
    </row>
    <row r="833" spans="1:14" x14ac:dyDescent="0.3">
      <c r="A833" t="s">
        <v>843</v>
      </c>
      <c r="B833" t="s">
        <v>1014</v>
      </c>
      <c r="C833" t="s">
        <v>1025</v>
      </c>
      <c r="D833">
        <v>35</v>
      </c>
      <c r="E833">
        <v>7</v>
      </c>
      <c r="F833" s="3">
        <v>56021</v>
      </c>
      <c r="G833">
        <v>36</v>
      </c>
      <c r="H833">
        <v>12</v>
      </c>
      <c r="I833">
        <v>5</v>
      </c>
      <c r="J833">
        <v>35</v>
      </c>
      <c r="K833">
        <v>3.1</v>
      </c>
      <c r="L833" s="3">
        <v>9.6999999999999993</v>
      </c>
      <c r="M833" t="s">
        <v>1034</v>
      </c>
      <c r="N833">
        <v>87.5</v>
      </c>
    </row>
    <row r="834" spans="1:14" x14ac:dyDescent="0.3">
      <c r="A834" t="s">
        <v>844</v>
      </c>
      <c r="B834" t="s">
        <v>1017</v>
      </c>
      <c r="C834" t="s">
        <v>1026</v>
      </c>
      <c r="D834">
        <v>29</v>
      </c>
      <c r="E834">
        <v>1</v>
      </c>
      <c r="F834" s="3">
        <v>49221</v>
      </c>
      <c r="G834">
        <v>53</v>
      </c>
      <c r="H834">
        <v>5</v>
      </c>
      <c r="I834">
        <v>1</v>
      </c>
      <c r="J834">
        <v>33</v>
      </c>
      <c r="K834">
        <v>2.5</v>
      </c>
      <c r="L834" s="3">
        <v>5.6</v>
      </c>
      <c r="M834" t="s">
        <v>1036</v>
      </c>
      <c r="N834">
        <v>49.43</v>
      </c>
    </row>
    <row r="835" spans="1:14" x14ac:dyDescent="0.3">
      <c r="A835" t="s">
        <v>845</v>
      </c>
      <c r="B835" t="s">
        <v>1016</v>
      </c>
      <c r="C835" t="s">
        <v>1033</v>
      </c>
      <c r="D835">
        <v>40</v>
      </c>
      <c r="E835">
        <v>15</v>
      </c>
      <c r="F835" s="3">
        <v>26833</v>
      </c>
      <c r="G835">
        <v>39</v>
      </c>
      <c r="H835">
        <v>3</v>
      </c>
      <c r="I835">
        <v>25</v>
      </c>
      <c r="J835">
        <v>37</v>
      </c>
      <c r="K835">
        <v>3.3</v>
      </c>
      <c r="L835" s="3">
        <v>9.6</v>
      </c>
      <c r="M835" t="s">
        <v>1034</v>
      </c>
      <c r="N835">
        <v>72.5</v>
      </c>
    </row>
    <row r="836" spans="1:14" x14ac:dyDescent="0.3">
      <c r="A836" t="s">
        <v>846</v>
      </c>
      <c r="B836" t="s">
        <v>1016</v>
      </c>
      <c r="C836" t="s">
        <v>1033</v>
      </c>
      <c r="D836">
        <v>35</v>
      </c>
      <c r="E836">
        <v>2</v>
      </c>
      <c r="F836" s="3">
        <v>78682</v>
      </c>
      <c r="G836">
        <v>50</v>
      </c>
      <c r="H836">
        <v>1</v>
      </c>
      <c r="I836">
        <v>3</v>
      </c>
      <c r="J836">
        <v>35</v>
      </c>
      <c r="K836">
        <v>3</v>
      </c>
      <c r="L836" s="3">
        <v>9.1</v>
      </c>
      <c r="M836" t="s">
        <v>1034</v>
      </c>
      <c r="N836">
        <v>65.27</v>
      </c>
    </row>
    <row r="837" spans="1:14" x14ac:dyDescent="0.3">
      <c r="A837" t="s">
        <v>847</v>
      </c>
      <c r="B837" t="s">
        <v>1017</v>
      </c>
      <c r="C837" t="s">
        <v>1030</v>
      </c>
      <c r="D837">
        <v>41</v>
      </c>
      <c r="E837">
        <v>14</v>
      </c>
      <c r="F837" s="3">
        <v>84001</v>
      </c>
      <c r="G837">
        <v>45</v>
      </c>
      <c r="H837">
        <v>13</v>
      </c>
      <c r="I837">
        <v>12</v>
      </c>
      <c r="J837">
        <v>30</v>
      </c>
      <c r="K837">
        <v>4.5</v>
      </c>
      <c r="L837" s="3">
        <v>8.8000000000000007</v>
      </c>
      <c r="M837" t="s">
        <v>1034</v>
      </c>
      <c r="N837">
        <v>87.97</v>
      </c>
    </row>
    <row r="838" spans="1:14" x14ac:dyDescent="0.3">
      <c r="A838" t="s">
        <v>848</v>
      </c>
      <c r="B838" t="s">
        <v>1018</v>
      </c>
      <c r="C838" t="s">
        <v>1027</v>
      </c>
      <c r="D838">
        <v>54</v>
      </c>
      <c r="E838">
        <v>14</v>
      </c>
      <c r="F838" s="3">
        <v>74917</v>
      </c>
      <c r="G838">
        <v>49</v>
      </c>
      <c r="H838">
        <v>11</v>
      </c>
      <c r="I838">
        <v>14</v>
      </c>
      <c r="J838">
        <v>9</v>
      </c>
      <c r="K838">
        <v>4.5999999999999996</v>
      </c>
      <c r="L838" s="3">
        <v>5.3</v>
      </c>
      <c r="M838" t="s">
        <v>1036</v>
      </c>
      <c r="N838">
        <v>63.93</v>
      </c>
    </row>
    <row r="839" spans="1:14" x14ac:dyDescent="0.3">
      <c r="A839" t="s">
        <v>849</v>
      </c>
      <c r="B839" t="s">
        <v>1015</v>
      </c>
      <c r="C839" t="s">
        <v>1020</v>
      </c>
      <c r="D839">
        <v>48</v>
      </c>
      <c r="E839">
        <v>12</v>
      </c>
      <c r="F839" s="3">
        <v>40258</v>
      </c>
      <c r="G839">
        <v>47</v>
      </c>
      <c r="H839">
        <v>6</v>
      </c>
      <c r="I839">
        <v>17</v>
      </c>
      <c r="J839">
        <v>2</v>
      </c>
      <c r="K839">
        <v>4.9000000000000004</v>
      </c>
      <c r="L839" s="3">
        <v>9.1999999999999993</v>
      </c>
      <c r="M839" t="s">
        <v>1034</v>
      </c>
      <c r="N839">
        <v>79.900000000000006</v>
      </c>
    </row>
    <row r="840" spans="1:14" x14ac:dyDescent="0.3">
      <c r="A840" t="s">
        <v>850</v>
      </c>
      <c r="B840" t="s">
        <v>1016</v>
      </c>
      <c r="C840" t="s">
        <v>1022</v>
      </c>
      <c r="D840">
        <v>27</v>
      </c>
      <c r="E840">
        <v>6</v>
      </c>
      <c r="F840" s="3">
        <v>35853</v>
      </c>
      <c r="G840">
        <v>35</v>
      </c>
      <c r="H840">
        <v>10</v>
      </c>
      <c r="I840">
        <v>20</v>
      </c>
      <c r="J840">
        <v>19</v>
      </c>
      <c r="K840">
        <v>3.7</v>
      </c>
      <c r="L840" s="3">
        <v>3.9</v>
      </c>
      <c r="M840" t="s">
        <v>1036</v>
      </c>
      <c r="N840">
        <v>51.17</v>
      </c>
    </row>
    <row r="841" spans="1:14" x14ac:dyDescent="0.3">
      <c r="A841" t="s">
        <v>851</v>
      </c>
      <c r="B841" t="s">
        <v>1014</v>
      </c>
      <c r="C841" t="s">
        <v>1025</v>
      </c>
      <c r="D841">
        <v>34</v>
      </c>
      <c r="E841">
        <v>9</v>
      </c>
      <c r="F841" s="3">
        <v>60509</v>
      </c>
      <c r="G841">
        <v>53</v>
      </c>
      <c r="H841">
        <v>13</v>
      </c>
      <c r="I841">
        <v>1</v>
      </c>
      <c r="J841">
        <v>36</v>
      </c>
      <c r="K841">
        <v>3.6</v>
      </c>
      <c r="L841" s="3">
        <v>8.3000000000000007</v>
      </c>
      <c r="M841" t="s">
        <v>1034</v>
      </c>
      <c r="N841">
        <v>82.27</v>
      </c>
    </row>
    <row r="842" spans="1:14" x14ac:dyDescent="0.3">
      <c r="A842" t="s">
        <v>852</v>
      </c>
      <c r="B842" t="s">
        <v>1014</v>
      </c>
      <c r="C842" t="s">
        <v>1025</v>
      </c>
      <c r="D842">
        <v>29</v>
      </c>
      <c r="E842">
        <v>8</v>
      </c>
      <c r="F842" s="3">
        <v>36779</v>
      </c>
      <c r="G842">
        <v>35</v>
      </c>
      <c r="H842">
        <v>5</v>
      </c>
      <c r="I842">
        <v>25</v>
      </c>
      <c r="J842">
        <v>13</v>
      </c>
      <c r="K842">
        <v>2.7</v>
      </c>
      <c r="L842" s="3">
        <v>7.9</v>
      </c>
      <c r="M842" t="s">
        <v>1035</v>
      </c>
      <c r="N842">
        <v>63.83</v>
      </c>
    </row>
    <row r="843" spans="1:14" x14ac:dyDescent="0.3">
      <c r="A843" t="s">
        <v>853</v>
      </c>
      <c r="B843" t="s">
        <v>1017</v>
      </c>
      <c r="C843" t="s">
        <v>1030</v>
      </c>
      <c r="D843">
        <v>27</v>
      </c>
      <c r="E843">
        <v>6</v>
      </c>
      <c r="F843" s="3">
        <v>59966</v>
      </c>
      <c r="G843">
        <v>54</v>
      </c>
      <c r="H843">
        <v>6</v>
      </c>
      <c r="I843">
        <v>12</v>
      </c>
      <c r="J843">
        <v>37</v>
      </c>
      <c r="K843">
        <v>2.1</v>
      </c>
      <c r="L843" s="3">
        <v>9</v>
      </c>
      <c r="M843" t="s">
        <v>1034</v>
      </c>
      <c r="N843">
        <v>70.3</v>
      </c>
    </row>
    <row r="844" spans="1:14" x14ac:dyDescent="0.3">
      <c r="A844" t="s">
        <v>854</v>
      </c>
      <c r="B844" t="s">
        <v>1016</v>
      </c>
      <c r="C844" t="s">
        <v>1023</v>
      </c>
      <c r="D844">
        <v>49</v>
      </c>
      <c r="E844">
        <v>5</v>
      </c>
      <c r="F844" s="3">
        <v>52193</v>
      </c>
      <c r="G844">
        <v>35</v>
      </c>
      <c r="H844">
        <v>14</v>
      </c>
      <c r="I844">
        <v>16</v>
      </c>
      <c r="J844">
        <v>20</v>
      </c>
      <c r="K844">
        <v>3.1</v>
      </c>
      <c r="L844" s="3">
        <v>3.6</v>
      </c>
      <c r="M844" t="s">
        <v>1036</v>
      </c>
      <c r="N844">
        <v>54.23</v>
      </c>
    </row>
    <row r="845" spans="1:14" x14ac:dyDescent="0.3">
      <c r="A845" t="s">
        <v>855</v>
      </c>
      <c r="B845" t="s">
        <v>1015</v>
      </c>
      <c r="C845" t="s">
        <v>1020</v>
      </c>
      <c r="D845">
        <v>32</v>
      </c>
      <c r="E845">
        <v>4</v>
      </c>
      <c r="F845" s="3">
        <v>34439</v>
      </c>
      <c r="G845">
        <v>40</v>
      </c>
      <c r="H845">
        <v>5</v>
      </c>
      <c r="I845">
        <v>24</v>
      </c>
      <c r="J845">
        <v>5</v>
      </c>
      <c r="K845">
        <v>2.5</v>
      </c>
      <c r="L845" s="3">
        <v>9.6999999999999993</v>
      </c>
      <c r="M845" t="s">
        <v>1034</v>
      </c>
      <c r="N845">
        <v>74.03</v>
      </c>
    </row>
    <row r="846" spans="1:14" x14ac:dyDescent="0.3">
      <c r="A846" t="s">
        <v>856</v>
      </c>
      <c r="B846" t="s">
        <v>1018</v>
      </c>
      <c r="C846" t="s">
        <v>1028</v>
      </c>
      <c r="D846">
        <v>25</v>
      </c>
      <c r="E846">
        <v>4</v>
      </c>
      <c r="F846" s="3">
        <v>87988</v>
      </c>
      <c r="G846">
        <v>45</v>
      </c>
      <c r="H846">
        <v>3</v>
      </c>
      <c r="I846">
        <v>0</v>
      </c>
      <c r="J846">
        <v>3</v>
      </c>
      <c r="K846">
        <v>2.9</v>
      </c>
      <c r="L846" s="3">
        <v>3.7</v>
      </c>
      <c r="M846" t="s">
        <v>1036</v>
      </c>
      <c r="N846">
        <v>35.9</v>
      </c>
    </row>
    <row r="847" spans="1:14" x14ac:dyDescent="0.3">
      <c r="A847" t="s">
        <v>857</v>
      </c>
      <c r="B847" t="s">
        <v>1017</v>
      </c>
      <c r="C847" t="s">
        <v>1026</v>
      </c>
      <c r="D847">
        <v>42</v>
      </c>
      <c r="E847">
        <v>8</v>
      </c>
      <c r="F847" s="3">
        <v>49609</v>
      </c>
      <c r="G847">
        <v>38</v>
      </c>
      <c r="H847">
        <v>1</v>
      </c>
      <c r="I847">
        <v>6</v>
      </c>
      <c r="J847">
        <v>15</v>
      </c>
      <c r="K847">
        <v>4.3</v>
      </c>
      <c r="L847" s="3">
        <v>7.1</v>
      </c>
      <c r="M847" t="s">
        <v>1035</v>
      </c>
      <c r="N847">
        <v>57.17</v>
      </c>
    </row>
    <row r="848" spans="1:14" x14ac:dyDescent="0.3">
      <c r="A848" t="s">
        <v>858</v>
      </c>
      <c r="B848" t="s">
        <v>1015</v>
      </c>
      <c r="C848" t="s">
        <v>1021</v>
      </c>
      <c r="D848">
        <v>54</v>
      </c>
      <c r="E848">
        <v>12</v>
      </c>
      <c r="F848" s="3">
        <v>87217</v>
      </c>
      <c r="G848">
        <v>38</v>
      </c>
      <c r="H848">
        <v>5</v>
      </c>
      <c r="I848">
        <v>1</v>
      </c>
      <c r="J848">
        <v>20</v>
      </c>
      <c r="K848">
        <v>3.4</v>
      </c>
      <c r="L848" s="3">
        <v>5.8</v>
      </c>
      <c r="M848" t="s">
        <v>1036</v>
      </c>
      <c r="N848">
        <v>53.33</v>
      </c>
    </row>
    <row r="849" spans="1:14" x14ac:dyDescent="0.3">
      <c r="A849" t="s">
        <v>859</v>
      </c>
      <c r="B849" t="s">
        <v>1014</v>
      </c>
      <c r="C849" t="s">
        <v>1025</v>
      </c>
      <c r="D849">
        <v>48</v>
      </c>
      <c r="E849">
        <v>7</v>
      </c>
      <c r="F849" s="3">
        <v>84882</v>
      </c>
      <c r="G849">
        <v>35</v>
      </c>
      <c r="H849">
        <v>5</v>
      </c>
      <c r="I849">
        <v>17</v>
      </c>
      <c r="J849">
        <v>37</v>
      </c>
      <c r="K849">
        <v>4</v>
      </c>
      <c r="L849" s="3">
        <v>4.7</v>
      </c>
      <c r="M849" t="s">
        <v>1036</v>
      </c>
      <c r="N849">
        <v>48.53</v>
      </c>
    </row>
    <row r="850" spans="1:14" x14ac:dyDescent="0.3">
      <c r="A850" t="s">
        <v>860</v>
      </c>
      <c r="B850" t="s">
        <v>1018</v>
      </c>
      <c r="C850" t="s">
        <v>1032</v>
      </c>
      <c r="D850">
        <v>41</v>
      </c>
      <c r="E850">
        <v>13</v>
      </c>
      <c r="F850" s="3">
        <v>54227</v>
      </c>
      <c r="G850">
        <v>37</v>
      </c>
      <c r="H850">
        <v>14</v>
      </c>
      <c r="I850">
        <v>20</v>
      </c>
      <c r="J850">
        <v>32</v>
      </c>
      <c r="K850">
        <v>2.6</v>
      </c>
      <c r="L850" s="3">
        <v>9.8000000000000007</v>
      </c>
      <c r="M850" t="s">
        <v>1034</v>
      </c>
      <c r="N850">
        <v>89.93</v>
      </c>
    </row>
    <row r="851" spans="1:14" x14ac:dyDescent="0.3">
      <c r="A851" t="s">
        <v>861</v>
      </c>
      <c r="B851" t="s">
        <v>1015</v>
      </c>
      <c r="C851" t="s">
        <v>1020</v>
      </c>
      <c r="D851">
        <v>32</v>
      </c>
      <c r="E851">
        <v>3</v>
      </c>
      <c r="F851" s="3">
        <v>60227</v>
      </c>
      <c r="G851">
        <v>48</v>
      </c>
      <c r="H851">
        <v>15</v>
      </c>
      <c r="I851">
        <v>17</v>
      </c>
      <c r="J851">
        <v>28</v>
      </c>
      <c r="K851">
        <v>2.1</v>
      </c>
      <c r="L851" s="3">
        <v>8.6999999999999993</v>
      </c>
      <c r="M851" t="s">
        <v>1034</v>
      </c>
      <c r="N851">
        <v>83.5</v>
      </c>
    </row>
    <row r="852" spans="1:14" x14ac:dyDescent="0.3">
      <c r="A852" t="s">
        <v>862</v>
      </c>
      <c r="B852" t="s">
        <v>1016</v>
      </c>
      <c r="C852" t="s">
        <v>1033</v>
      </c>
      <c r="D852">
        <v>32</v>
      </c>
      <c r="E852">
        <v>0</v>
      </c>
      <c r="F852" s="3">
        <v>28943</v>
      </c>
      <c r="G852">
        <v>50</v>
      </c>
      <c r="H852">
        <v>5</v>
      </c>
      <c r="I852">
        <v>19</v>
      </c>
      <c r="J852">
        <v>16</v>
      </c>
      <c r="K852">
        <v>4.5</v>
      </c>
      <c r="L852" s="3">
        <v>5.7</v>
      </c>
      <c r="M852" t="s">
        <v>1036</v>
      </c>
      <c r="N852">
        <v>56.03</v>
      </c>
    </row>
    <row r="853" spans="1:14" x14ac:dyDescent="0.3">
      <c r="A853" t="s">
        <v>863</v>
      </c>
      <c r="B853" t="s">
        <v>1018</v>
      </c>
      <c r="C853" t="s">
        <v>1027</v>
      </c>
      <c r="D853">
        <v>54</v>
      </c>
      <c r="E853">
        <v>9</v>
      </c>
      <c r="F853" s="3">
        <v>27980</v>
      </c>
      <c r="G853">
        <v>40</v>
      </c>
      <c r="H853">
        <v>12</v>
      </c>
      <c r="I853">
        <v>17</v>
      </c>
      <c r="J853">
        <v>36</v>
      </c>
      <c r="K853">
        <v>2.2000000000000002</v>
      </c>
      <c r="L853" s="3">
        <v>3.6</v>
      </c>
      <c r="M853" t="s">
        <v>1036</v>
      </c>
      <c r="N853">
        <v>48.2</v>
      </c>
    </row>
    <row r="854" spans="1:14" x14ac:dyDescent="0.3">
      <c r="A854" t="s">
        <v>864</v>
      </c>
      <c r="B854" t="s">
        <v>1014</v>
      </c>
      <c r="C854" t="s">
        <v>1025</v>
      </c>
      <c r="D854">
        <v>30</v>
      </c>
      <c r="E854">
        <v>8</v>
      </c>
      <c r="F854" s="3">
        <v>43314</v>
      </c>
      <c r="G854">
        <v>48</v>
      </c>
      <c r="H854">
        <v>4</v>
      </c>
      <c r="I854">
        <v>19</v>
      </c>
      <c r="J854">
        <v>32</v>
      </c>
      <c r="K854">
        <v>4.9000000000000004</v>
      </c>
      <c r="L854" s="3">
        <v>5.2</v>
      </c>
      <c r="M854" t="s">
        <v>1036</v>
      </c>
      <c r="N854">
        <v>52.57</v>
      </c>
    </row>
    <row r="855" spans="1:14" x14ac:dyDescent="0.3">
      <c r="A855" t="s">
        <v>865</v>
      </c>
      <c r="B855" t="s">
        <v>1016</v>
      </c>
      <c r="C855" t="s">
        <v>1033</v>
      </c>
      <c r="D855">
        <v>38</v>
      </c>
      <c r="E855">
        <v>14</v>
      </c>
      <c r="F855" s="3">
        <v>42892</v>
      </c>
      <c r="G855">
        <v>42</v>
      </c>
      <c r="H855">
        <v>11</v>
      </c>
      <c r="I855">
        <v>10</v>
      </c>
      <c r="J855">
        <v>21</v>
      </c>
      <c r="K855">
        <v>2.6</v>
      </c>
      <c r="L855" s="3">
        <v>9.6999999999999993</v>
      </c>
      <c r="M855" t="s">
        <v>1034</v>
      </c>
      <c r="N855">
        <v>84.33</v>
      </c>
    </row>
    <row r="856" spans="1:14" x14ac:dyDescent="0.3">
      <c r="A856" t="s">
        <v>866</v>
      </c>
      <c r="B856" t="s">
        <v>1014</v>
      </c>
      <c r="C856" t="s">
        <v>1025</v>
      </c>
      <c r="D856">
        <v>30</v>
      </c>
      <c r="E856">
        <v>0</v>
      </c>
      <c r="F856" s="3">
        <v>64897</v>
      </c>
      <c r="G856">
        <v>50</v>
      </c>
      <c r="H856">
        <v>1</v>
      </c>
      <c r="I856">
        <v>0</v>
      </c>
      <c r="J856">
        <v>11</v>
      </c>
      <c r="K856">
        <v>3.2</v>
      </c>
      <c r="L856" s="3">
        <v>9.3000000000000007</v>
      </c>
      <c r="M856" t="s">
        <v>1034</v>
      </c>
      <c r="N856">
        <v>67.069999999999993</v>
      </c>
    </row>
    <row r="857" spans="1:14" x14ac:dyDescent="0.3">
      <c r="A857" t="s">
        <v>867</v>
      </c>
      <c r="B857" t="s">
        <v>1017</v>
      </c>
      <c r="C857" t="s">
        <v>1024</v>
      </c>
      <c r="D857">
        <v>47</v>
      </c>
      <c r="E857">
        <v>2</v>
      </c>
      <c r="F857" s="3">
        <v>76596</v>
      </c>
      <c r="G857">
        <v>55</v>
      </c>
      <c r="H857">
        <v>11</v>
      </c>
      <c r="I857">
        <v>2</v>
      </c>
      <c r="J857">
        <v>34</v>
      </c>
      <c r="K857">
        <v>2.1</v>
      </c>
      <c r="L857" s="3">
        <v>8.8000000000000007</v>
      </c>
      <c r="M857" t="s">
        <v>1034</v>
      </c>
      <c r="N857">
        <v>77.430000000000007</v>
      </c>
    </row>
    <row r="858" spans="1:14" x14ac:dyDescent="0.3">
      <c r="A858" t="s">
        <v>868</v>
      </c>
      <c r="B858" t="s">
        <v>1017</v>
      </c>
      <c r="C858" t="s">
        <v>1024</v>
      </c>
      <c r="D858">
        <v>29</v>
      </c>
      <c r="E858">
        <v>5</v>
      </c>
      <c r="F858" s="3">
        <v>88703</v>
      </c>
      <c r="G858">
        <v>47</v>
      </c>
      <c r="H858">
        <v>14</v>
      </c>
      <c r="I858">
        <v>19</v>
      </c>
      <c r="J858">
        <v>22</v>
      </c>
      <c r="K858">
        <v>3.2</v>
      </c>
      <c r="L858" s="3">
        <v>8.9</v>
      </c>
      <c r="M858" t="s">
        <v>1034</v>
      </c>
      <c r="N858">
        <v>86.33</v>
      </c>
    </row>
    <row r="859" spans="1:14" x14ac:dyDescent="0.3">
      <c r="A859" t="s">
        <v>869</v>
      </c>
      <c r="B859" t="s">
        <v>1014</v>
      </c>
      <c r="C859" t="s">
        <v>1025</v>
      </c>
      <c r="D859">
        <v>29</v>
      </c>
      <c r="E859">
        <v>7</v>
      </c>
      <c r="F859" s="3">
        <v>49279</v>
      </c>
      <c r="G859">
        <v>41</v>
      </c>
      <c r="H859">
        <v>8</v>
      </c>
      <c r="I859">
        <v>0</v>
      </c>
      <c r="J859">
        <v>14</v>
      </c>
      <c r="K859">
        <v>4.2</v>
      </c>
      <c r="L859" s="3">
        <v>8.3000000000000007</v>
      </c>
      <c r="M859" t="s">
        <v>1034</v>
      </c>
      <c r="N859">
        <v>75.73</v>
      </c>
    </row>
    <row r="860" spans="1:14" x14ac:dyDescent="0.3">
      <c r="A860" t="s">
        <v>870</v>
      </c>
      <c r="B860" t="s">
        <v>1016</v>
      </c>
      <c r="C860" t="s">
        <v>1033</v>
      </c>
      <c r="D860">
        <v>34</v>
      </c>
      <c r="E860">
        <v>1</v>
      </c>
      <c r="F860" s="3">
        <v>78495</v>
      </c>
      <c r="G860">
        <v>54</v>
      </c>
      <c r="H860">
        <v>11</v>
      </c>
      <c r="I860">
        <v>9</v>
      </c>
      <c r="J860">
        <v>14</v>
      </c>
      <c r="K860">
        <v>2.7</v>
      </c>
      <c r="L860" s="3">
        <v>6.5</v>
      </c>
      <c r="M860" t="s">
        <v>1035</v>
      </c>
      <c r="N860">
        <v>65.430000000000007</v>
      </c>
    </row>
    <row r="861" spans="1:14" x14ac:dyDescent="0.3">
      <c r="A861" t="s">
        <v>871</v>
      </c>
      <c r="B861" t="s">
        <v>1014</v>
      </c>
      <c r="C861" t="s">
        <v>1019</v>
      </c>
      <c r="D861">
        <v>39</v>
      </c>
      <c r="E861">
        <v>15</v>
      </c>
      <c r="F861" s="3">
        <v>84277</v>
      </c>
      <c r="G861">
        <v>54</v>
      </c>
      <c r="H861">
        <v>4</v>
      </c>
      <c r="I861">
        <v>0</v>
      </c>
      <c r="J861">
        <v>12</v>
      </c>
      <c r="K861">
        <v>5</v>
      </c>
      <c r="L861" s="3">
        <v>7.5</v>
      </c>
      <c r="M861" t="s">
        <v>1035</v>
      </c>
      <c r="N861">
        <v>66.67</v>
      </c>
    </row>
    <row r="862" spans="1:14" x14ac:dyDescent="0.3">
      <c r="A862" t="s">
        <v>872</v>
      </c>
      <c r="B862" t="s">
        <v>1016</v>
      </c>
      <c r="C862" t="s">
        <v>1023</v>
      </c>
      <c r="D862">
        <v>54</v>
      </c>
      <c r="E862">
        <v>15</v>
      </c>
      <c r="F862" s="3">
        <v>36172</v>
      </c>
      <c r="G862">
        <v>52</v>
      </c>
      <c r="H862">
        <v>4</v>
      </c>
      <c r="I862">
        <v>21</v>
      </c>
      <c r="J862">
        <v>36</v>
      </c>
      <c r="K862">
        <v>4</v>
      </c>
      <c r="L862" s="3">
        <v>7.2</v>
      </c>
      <c r="M862" t="s">
        <v>1035</v>
      </c>
      <c r="N862">
        <v>61.87</v>
      </c>
    </row>
    <row r="863" spans="1:14" x14ac:dyDescent="0.3">
      <c r="A863" t="s">
        <v>873</v>
      </c>
      <c r="B863" t="s">
        <v>1014</v>
      </c>
      <c r="C863" t="s">
        <v>1031</v>
      </c>
      <c r="D863">
        <v>30</v>
      </c>
      <c r="E863">
        <v>1</v>
      </c>
      <c r="F863" s="3">
        <v>33351</v>
      </c>
      <c r="G863">
        <v>43</v>
      </c>
      <c r="H863">
        <v>15</v>
      </c>
      <c r="I863">
        <v>18</v>
      </c>
      <c r="J863">
        <v>14</v>
      </c>
      <c r="K863">
        <v>4.5999999999999996</v>
      </c>
      <c r="L863" s="3">
        <v>8.1</v>
      </c>
      <c r="M863" t="s">
        <v>1034</v>
      </c>
      <c r="N863">
        <v>87.4</v>
      </c>
    </row>
    <row r="864" spans="1:14" x14ac:dyDescent="0.3">
      <c r="A864" t="s">
        <v>874</v>
      </c>
      <c r="B864" t="s">
        <v>1018</v>
      </c>
      <c r="C864" t="s">
        <v>1032</v>
      </c>
      <c r="D864">
        <v>23</v>
      </c>
      <c r="E864">
        <v>2</v>
      </c>
      <c r="F864" s="3">
        <v>69416</v>
      </c>
      <c r="G864">
        <v>52</v>
      </c>
      <c r="H864">
        <v>10</v>
      </c>
      <c r="I864">
        <v>8</v>
      </c>
      <c r="J864">
        <v>35</v>
      </c>
      <c r="K864">
        <v>4.5999999999999996</v>
      </c>
      <c r="L864" s="3">
        <v>3</v>
      </c>
      <c r="M864" t="s">
        <v>1036</v>
      </c>
      <c r="N864">
        <v>48.47</v>
      </c>
    </row>
    <row r="865" spans="1:14" x14ac:dyDescent="0.3">
      <c r="A865" t="s">
        <v>875</v>
      </c>
      <c r="B865" t="s">
        <v>1014</v>
      </c>
      <c r="C865" t="s">
        <v>1019</v>
      </c>
      <c r="D865">
        <v>42</v>
      </c>
      <c r="E865">
        <v>13</v>
      </c>
      <c r="F865" s="3">
        <v>80334</v>
      </c>
      <c r="G865">
        <v>48</v>
      </c>
      <c r="H865">
        <v>5</v>
      </c>
      <c r="I865">
        <v>3</v>
      </c>
      <c r="J865">
        <v>33</v>
      </c>
      <c r="K865">
        <v>3.4</v>
      </c>
      <c r="L865" s="3">
        <v>5.5</v>
      </c>
      <c r="M865" t="s">
        <v>1036</v>
      </c>
      <c r="N865">
        <v>51.53</v>
      </c>
    </row>
    <row r="866" spans="1:14" x14ac:dyDescent="0.3">
      <c r="A866" t="s">
        <v>876</v>
      </c>
      <c r="B866" t="s">
        <v>1018</v>
      </c>
      <c r="C866" t="s">
        <v>1028</v>
      </c>
      <c r="D866">
        <v>25</v>
      </c>
      <c r="E866">
        <v>2</v>
      </c>
      <c r="F866" s="3">
        <v>85187</v>
      </c>
      <c r="G866">
        <v>48</v>
      </c>
      <c r="H866">
        <v>9</v>
      </c>
      <c r="I866">
        <v>14</v>
      </c>
      <c r="J866">
        <v>20</v>
      </c>
      <c r="K866">
        <v>2</v>
      </c>
      <c r="L866" s="3">
        <v>4.4000000000000004</v>
      </c>
      <c r="M866" t="s">
        <v>1036</v>
      </c>
      <c r="N866">
        <v>47.4</v>
      </c>
    </row>
    <row r="867" spans="1:14" x14ac:dyDescent="0.3">
      <c r="A867" t="s">
        <v>877</v>
      </c>
      <c r="B867" t="s">
        <v>1015</v>
      </c>
      <c r="C867" t="s">
        <v>1020</v>
      </c>
      <c r="D867">
        <v>23</v>
      </c>
      <c r="E867">
        <v>2</v>
      </c>
      <c r="F867" s="3">
        <v>39786</v>
      </c>
      <c r="G867">
        <v>48</v>
      </c>
      <c r="H867">
        <v>2</v>
      </c>
      <c r="I867">
        <v>7</v>
      </c>
      <c r="J867">
        <v>12</v>
      </c>
      <c r="K867">
        <v>2.5</v>
      </c>
      <c r="L867" s="3">
        <v>5.2</v>
      </c>
      <c r="M867" t="s">
        <v>1036</v>
      </c>
      <c r="N867">
        <v>42.03</v>
      </c>
    </row>
    <row r="868" spans="1:14" x14ac:dyDescent="0.3">
      <c r="A868" t="s">
        <v>878</v>
      </c>
      <c r="B868" t="s">
        <v>1014</v>
      </c>
      <c r="C868" t="s">
        <v>1019</v>
      </c>
      <c r="D868">
        <v>23</v>
      </c>
      <c r="E868">
        <v>1</v>
      </c>
      <c r="F868" s="3">
        <v>53308</v>
      </c>
      <c r="G868">
        <v>35</v>
      </c>
      <c r="H868">
        <v>10</v>
      </c>
      <c r="I868">
        <v>25</v>
      </c>
      <c r="J868">
        <v>40</v>
      </c>
      <c r="K868">
        <v>4.8</v>
      </c>
      <c r="L868" s="3">
        <v>8.9</v>
      </c>
      <c r="M868" t="s">
        <v>1034</v>
      </c>
      <c r="N868">
        <v>84.47</v>
      </c>
    </row>
    <row r="869" spans="1:14" x14ac:dyDescent="0.3">
      <c r="A869" t="s">
        <v>879</v>
      </c>
      <c r="B869" t="s">
        <v>1014</v>
      </c>
      <c r="C869" t="s">
        <v>1019</v>
      </c>
      <c r="D869">
        <v>52</v>
      </c>
      <c r="E869">
        <v>7</v>
      </c>
      <c r="F869" s="3">
        <v>87836</v>
      </c>
      <c r="G869">
        <v>45</v>
      </c>
      <c r="H869">
        <v>14</v>
      </c>
      <c r="I869">
        <v>1</v>
      </c>
      <c r="J869">
        <v>21</v>
      </c>
      <c r="K869">
        <v>3.6</v>
      </c>
      <c r="L869" s="3">
        <v>4.7</v>
      </c>
      <c r="M869" t="s">
        <v>1036</v>
      </c>
      <c r="N869">
        <v>62.33</v>
      </c>
    </row>
    <row r="870" spans="1:14" x14ac:dyDescent="0.3">
      <c r="A870" t="s">
        <v>880</v>
      </c>
      <c r="B870" t="s">
        <v>1015</v>
      </c>
      <c r="C870" t="s">
        <v>1021</v>
      </c>
      <c r="D870">
        <v>50</v>
      </c>
      <c r="E870">
        <v>3</v>
      </c>
      <c r="F870" s="3">
        <v>65982</v>
      </c>
      <c r="G870">
        <v>49</v>
      </c>
      <c r="H870">
        <v>10</v>
      </c>
      <c r="I870">
        <v>3</v>
      </c>
      <c r="J870">
        <v>5</v>
      </c>
      <c r="K870">
        <v>4.9000000000000004</v>
      </c>
      <c r="L870" s="3">
        <v>9.4</v>
      </c>
      <c r="M870" t="s">
        <v>1034</v>
      </c>
      <c r="N870">
        <v>87.77</v>
      </c>
    </row>
    <row r="871" spans="1:14" x14ac:dyDescent="0.3">
      <c r="A871" t="s">
        <v>881</v>
      </c>
      <c r="B871" t="s">
        <v>1016</v>
      </c>
      <c r="C871" t="s">
        <v>1022</v>
      </c>
      <c r="D871">
        <v>26</v>
      </c>
      <c r="E871">
        <v>1</v>
      </c>
      <c r="F871" s="3">
        <v>29063</v>
      </c>
      <c r="G871">
        <v>49</v>
      </c>
      <c r="H871">
        <v>1</v>
      </c>
      <c r="I871">
        <v>9</v>
      </c>
      <c r="J871">
        <v>39</v>
      </c>
      <c r="K871">
        <v>3.9</v>
      </c>
      <c r="L871" s="3">
        <v>3.5</v>
      </c>
      <c r="M871" t="s">
        <v>1036</v>
      </c>
      <c r="N871">
        <v>34.369999999999997</v>
      </c>
    </row>
    <row r="872" spans="1:14" x14ac:dyDescent="0.3">
      <c r="A872" t="s">
        <v>882</v>
      </c>
      <c r="B872" t="s">
        <v>1014</v>
      </c>
      <c r="C872" t="s">
        <v>1025</v>
      </c>
      <c r="D872">
        <v>25</v>
      </c>
      <c r="E872">
        <v>2</v>
      </c>
      <c r="F872" s="3">
        <v>80700</v>
      </c>
      <c r="G872">
        <v>47</v>
      </c>
      <c r="H872">
        <v>7</v>
      </c>
      <c r="I872">
        <v>3</v>
      </c>
      <c r="J872">
        <v>39</v>
      </c>
      <c r="K872">
        <v>4.3</v>
      </c>
      <c r="L872" s="3">
        <v>4.5999999999999996</v>
      </c>
      <c r="M872" t="s">
        <v>1036</v>
      </c>
      <c r="N872">
        <v>52.17</v>
      </c>
    </row>
    <row r="873" spans="1:14" x14ac:dyDescent="0.3">
      <c r="A873" t="s">
        <v>883</v>
      </c>
      <c r="B873" t="s">
        <v>1015</v>
      </c>
      <c r="C873" t="s">
        <v>1020</v>
      </c>
      <c r="D873">
        <v>22</v>
      </c>
      <c r="E873">
        <v>1</v>
      </c>
      <c r="F873" s="3">
        <v>50160</v>
      </c>
      <c r="G873">
        <v>49</v>
      </c>
      <c r="H873">
        <v>13</v>
      </c>
      <c r="I873">
        <v>13</v>
      </c>
      <c r="J873">
        <v>39</v>
      </c>
      <c r="K873">
        <v>3.9</v>
      </c>
      <c r="L873" s="3">
        <v>5.4</v>
      </c>
      <c r="M873" t="s">
        <v>1036</v>
      </c>
      <c r="N873">
        <v>65.77</v>
      </c>
    </row>
    <row r="874" spans="1:14" x14ac:dyDescent="0.3">
      <c r="A874" t="s">
        <v>884</v>
      </c>
      <c r="B874" t="s">
        <v>1014</v>
      </c>
      <c r="C874" t="s">
        <v>1019</v>
      </c>
      <c r="D874">
        <v>51</v>
      </c>
      <c r="E874">
        <v>10</v>
      </c>
      <c r="F874" s="3">
        <v>63522</v>
      </c>
      <c r="G874">
        <v>41</v>
      </c>
      <c r="H874">
        <v>2</v>
      </c>
      <c r="I874">
        <v>3</v>
      </c>
      <c r="J874">
        <v>0</v>
      </c>
      <c r="K874">
        <v>3.8</v>
      </c>
      <c r="L874" s="3">
        <v>3.5</v>
      </c>
      <c r="M874" t="s">
        <v>1036</v>
      </c>
      <c r="N874">
        <v>35.729999999999997</v>
      </c>
    </row>
    <row r="875" spans="1:14" x14ac:dyDescent="0.3">
      <c r="A875" t="s">
        <v>885</v>
      </c>
      <c r="B875" t="s">
        <v>1015</v>
      </c>
      <c r="C875" t="s">
        <v>1029</v>
      </c>
      <c r="D875">
        <v>30</v>
      </c>
      <c r="E875">
        <v>8</v>
      </c>
      <c r="F875" s="3">
        <v>41795</v>
      </c>
      <c r="G875">
        <v>46</v>
      </c>
      <c r="H875">
        <v>7</v>
      </c>
      <c r="I875">
        <v>15</v>
      </c>
      <c r="J875">
        <v>39</v>
      </c>
      <c r="K875">
        <v>3.3</v>
      </c>
      <c r="L875" s="3">
        <v>4.7</v>
      </c>
      <c r="M875" t="s">
        <v>1036</v>
      </c>
      <c r="N875">
        <v>49.77</v>
      </c>
    </row>
    <row r="876" spans="1:14" x14ac:dyDescent="0.3">
      <c r="A876" t="s">
        <v>886</v>
      </c>
      <c r="B876" t="s">
        <v>1014</v>
      </c>
      <c r="C876" t="s">
        <v>1019</v>
      </c>
      <c r="D876">
        <v>30</v>
      </c>
      <c r="E876">
        <v>4</v>
      </c>
      <c r="F876" s="3">
        <v>63307</v>
      </c>
      <c r="G876">
        <v>48</v>
      </c>
      <c r="H876">
        <v>9</v>
      </c>
      <c r="I876">
        <v>20</v>
      </c>
      <c r="J876">
        <v>22</v>
      </c>
      <c r="K876">
        <v>2.9</v>
      </c>
      <c r="L876" s="3">
        <v>9.1999999999999993</v>
      </c>
      <c r="M876" t="s">
        <v>1034</v>
      </c>
      <c r="N876">
        <v>78.900000000000006</v>
      </c>
    </row>
    <row r="877" spans="1:14" x14ac:dyDescent="0.3">
      <c r="A877" t="s">
        <v>887</v>
      </c>
      <c r="B877" t="s">
        <v>1018</v>
      </c>
      <c r="C877" t="s">
        <v>1028</v>
      </c>
      <c r="D877">
        <v>52</v>
      </c>
      <c r="E877">
        <v>9</v>
      </c>
      <c r="F877" s="3">
        <v>64539</v>
      </c>
      <c r="G877">
        <v>45</v>
      </c>
      <c r="H877">
        <v>5</v>
      </c>
      <c r="I877">
        <v>11</v>
      </c>
      <c r="J877">
        <v>0</v>
      </c>
      <c r="K877">
        <v>3.6</v>
      </c>
      <c r="L877" s="3">
        <v>7.6</v>
      </c>
      <c r="M877" t="s">
        <v>1035</v>
      </c>
      <c r="N877">
        <v>64.73</v>
      </c>
    </row>
    <row r="878" spans="1:14" x14ac:dyDescent="0.3">
      <c r="A878" t="s">
        <v>888</v>
      </c>
      <c r="B878" t="s">
        <v>1014</v>
      </c>
      <c r="C878" t="s">
        <v>1031</v>
      </c>
      <c r="D878">
        <v>37</v>
      </c>
      <c r="E878">
        <v>1</v>
      </c>
      <c r="F878" s="3">
        <v>52660</v>
      </c>
      <c r="G878">
        <v>46</v>
      </c>
      <c r="H878">
        <v>4</v>
      </c>
      <c r="I878">
        <v>6</v>
      </c>
      <c r="J878">
        <v>40</v>
      </c>
      <c r="K878">
        <v>4.7</v>
      </c>
      <c r="L878" s="3">
        <v>8.5</v>
      </c>
      <c r="M878" t="s">
        <v>1034</v>
      </c>
      <c r="N878">
        <v>71.77</v>
      </c>
    </row>
    <row r="879" spans="1:14" x14ac:dyDescent="0.3">
      <c r="A879" t="s">
        <v>889</v>
      </c>
      <c r="B879" t="s">
        <v>1018</v>
      </c>
      <c r="C879" t="s">
        <v>1032</v>
      </c>
      <c r="D879">
        <v>52</v>
      </c>
      <c r="E879">
        <v>14</v>
      </c>
      <c r="F879" s="3">
        <v>64306</v>
      </c>
      <c r="G879">
        <v>45</v>
      </c>
      <c r="H879">
        <v>14</v>
      </c>
      <c r="I879">
        <v>18</v>
      </c>
      <c r="J879">
        <v>36</v>
      </c>
      <c r="K879">
        <v>4.9000000000000004</v>
      </c>
      <c r="L879" s="3">
        <v>7.3</v>
      </c>
      <c r="M879" t="s">
        <v>1035</v>
      </c>
      <c r="N879">
        <v>81.83</v>
      </c>
    </row>
    <row r="880" spans="1:14" x14ac:dyDescent="0.3">
      <c r="A880" t="s">
        <v>890</v>
      </c>
      <c r="B880" t="s">
        <v>1016</v>
      </c>
      <c r="C880" t="s">
        <v>1033</v>
      </c>
      <c r="D880">
        <v>32</v>
      </c>
      <c r="E880">
        <v>1</v>
      </c>
      <c r="F880" s="3">
        <v>54773</v>
      </c>
      <c r="G880">
        <v>36</v>
      </c>
      <c r="H880">
        <v>8</v>
      </c>
      <c r="I880">
        <v>7</v>
      </c>
      <c r="J880">
        <v>0</v>
      </c>
      <c r="K880">
        <v>3.9</v>
      </c>
      <c r="L880" s="3">
        <v>7.9</v>
      </c>
      <c r="M880" t="s">
        <v>1035</v>
      </c>
      <c r="N880">
        <v>72.430000000000007</v>
      </c>
    </row>
    <row r="881" spans="1:14" x14ac:dyDescent="0.3">
      <c r="A881" t="s">
        <v>891</v>
      </c>
      <c r="B881" t="s">
        <v>1015</v>
      </c>
      <c r="C881" t="s">
        <v>1029</v>
      </c>
      <c r="D881">
        <v>35</v>
      </c>
      <c r="E881">
        <v>3</v>
      </c>
      <c r="F881" s="3">
        <v>56506</v>
      </c>
      <c r="G881">
        <v>45</v>
      </c>
      <c r="H881">
        <v>13</v>
      </c>
      <c r="I881">
        <v>23</v>
      </c>
      <c r="J881">
        <v>24</v>
      </c>
      <c r="K881">
        <v>2.6</v>
      </c>
      <c r="L881" s="3">
        <v>4.3</v>
      </c>
      <c r="M881" t="s">
        <v>1036</v>
      </c>
      <c r="N881">
        <v>55.27</v>
      </c>
    </row>
    <row r="882" spans="1:14" x14ac:dyDescent="0.3">
      <c r="A882" t="s">
        <v>892</v>
      </c>
      <c r="B882" t="s">
        <v>1016</v>
      </c>
      <c r="C882" t="s">
        <v>1022</v>
      </c>
      <c r="D882">
        <v>22</v>
      </c>
      <c r="E882">
        <v>0</v>
      </c>
      <c r="F882" s="3">
        <v>48454</v>
      </c>
      <c r="G882">
        <v>35</v>
      </c>
      <c r="H882">
        <v>9</v>
      </c>
      <c r="I882">
        <v>3</v>
      </c>
      <c r="J882">
        <v>9</v>
      </c>
      <c r="K882">
        <v>2.9</v>
      </c>
      <c r="L882" s="3">
        <v>4.4000000000000004</v>
      </c>
      <c r="M882" t="s">
        <v>1036</v>
      </c>
      <c r="N882">
        <v>50.1</v>
      </c>
    </row>
    <row r="883" spans="1:14" x14ac:dyDescent="0.3">
      <c r="A883" t="s">
        <v>893</v>
      </c>
      <c r="B883" t="s">
        <v>1016</v>
      </c>
      <c r="C883" t="s">
        <v>1033</v>
      </c>
      <c r="D883">
        <v>24</v>
      </c>
      <c r="E883">
        <v>0</v>
      </c>
      <c r="F883" s="3">
        <v>38049</v>
      </c>
      <c r="G883">
        <v>41</v>
      </c>
      <c r="H883">
        <v>5</v>
      </c>
      <c r="I883">
        <v>5</v>
      </c>
      <c r="J883">
        <v>14</v>
      </c>
      <c r="K883">
        <v>4.7</v>
      </c>
      <c r="L883" s="3">
        <v>8</v>
      </c>
      <c r="M883" t="s">
        <v>1034</v>
      </c>
      <c r="N883">
        <v>70.430000000000007</v>
      </c>
    </row>
    <row r="884" spans="1:14" x14ac:dyDescent="0.3">
      <c r="A884" t="s">
        <v>894</v>
      </c>
      <c r="B884" t="s">
        <v>1015</v>
      </c>
      <c r="C884" t="s">
        <v>1021</v>
      </c>
      <c r="D884">
        <v>37</v>
      </c>
      <c r="E884">
        <v>5</v>
      </c>
      <c r="F884" s="3">
        <v>37844</v>
      </c>
      <c r="G884">
        <v>35</v>
      </c>
      <c r="H884">
        <v>3</v>
      </c>
      <c r="I884">
        <v>8</v>
      </c>
      <c r="J884">
        <v>6</v>
      </c>
      <c r="K884">
        <v>2.1</v>
      </c>
      <c r="L884" s="3">
        <v>7.7</v>
      </c>
      <c r="M884" t="s">
        <v>1035</v>
      </c>
      <c r="N884">
        <v>57.5</v>
      </c>
    </row>
    <row r="885" spans="1:14" x14ac:dyDescent="0.3">
      <c r="A885" t="s">
        <v>895</v>
      </c>
      <c r="B885" t="s">
        <v>1014</v>
      </c>
      <c r="C885" t="s">
        <v>1025</v>
      </c>
      <c r="D885">
        <v>43</v>
      </c>
      <c r="E885">
        <v>6</v>
      </c>
      <c r="F885" s="3">
        <v>44993</v>
      </c>
      <c r="G885">
        <v>49</v>
      </c>
      <c r="H885">
        <v>4</v>
      </c>
      <c r="I885">
        <v>11</v>
      </c>
      <c r="J885">
        <v>23</v>
      </c>
      <c r="K885">
        <v>4</v>
      </c>
      <c r="L885" s="3">
        <v>9.6</v>
      </c>
      <c r="M885" t="s">
        <v>1034</v>
      </c>
      <c r="N885">
        <v>76.27</v>
      </c>
    </row>
    <row r="886" spans="1:14" x14ac:dyDescent="0.3">
      <c r="A886" t="s">
        <v>896</v>
      </c>
      <c r="B886" t="s">
        <v>1017</v>
      </c>
      <c r="C886" t="s">
        <v>1026</v>
      </c>
      <c r="D886">
        <v>26</v>
      </c>
      <c r="E886">
        <v>0</v>
      </c>
      <c r="F886" s="3">
        <v>34465</v>
      </c>
      <c r="G886">
        <v>39</v>
      </c>
      <c r="H886">
        <v>13</v>
      </c>
      <c r="I886">
        <v>6</v>
      </c>
      <c r="J886">
        <v>12</v>
      </c>
      <c r="K886">
        <v>3.6</v>
      </c>
      <c r="L886" s="3">
        <v>7.9</v>
      </c>
      <c r="M886" t="s">
        <v>1035</v>
      </c>
      <c r="N886">
        <v>79.87</v>
      </c>
    </row>
    <row r="887" spans="1:14" x14ac:dyDescent="0.3">
      <c r="A887" t="s">
        <v>897</v>
      </c>
      <c r="B887" t="s">
        <v>1015</v>
      </c>
      <c r="C887" t="s">
        <v>1029</v>
      </c>
      <c r="D887">
        <v>49</v>
      </c>
      <c r="E887">
        <v>7</v>
      </c>
      <c r="F887" s="3">
        <v>85359</v>
      </c>
      <c r="G887">
        <v>36</v>
      </c>
      <c r="H887">
        <v>13</v>
      </c>
      <c r="I887">
        <v>19</v>
      </c>
      <c r="J887">
        <v>37</v>
      </c>
      <c r="K887">
        <v>2.6</v>
      </c>
      <c r="L887" s="3">
        <v>6.7</v>
      </c>
      <c r="M887" t="s">
        <v>1035</v>
      </c>
      <c r="N887">
        <v>69.67</v>
      </c>
    </row>
    <row r="888" spans="1:14" x14ac:dyDescent="0.3">
      <c r="A888" t="s">
        <v>898</v>
      </c>
      <c r="B888" t="s">
        <v>1016</v>
      </c>
      <c r="C888" t="s">
        <v>1023</v>
      </c>
      <c r="D888">
        <v>37</v>
      </c>
      <c r="E888">
        <v>1</v>
      </c>
      <c r="F888" s="3">
        <v>66252</v>
      </c>
      <c r="G888">
        <v>43</v>
      </c>
      <c r="H888">
        <v>14</v>
      </c>
      <c r="I888">
        <v>4</v>
      </c>
      <c r="J888">
        <v>32</v>
      </c>
      <c r="K888">
        <v>4.9000000000000004</v>
      </c>
      <c r="L888" s="3">
        <v>9.1999999999999993</v>
      </c>
      <c r="M888" t="s">
        <v>1034</v>
      </c>
      <c r="N888">
        <v>93.23</v>
      </c>
    </row>
    <row r="889" spans="1:14" x14ac:dyDescent="0.3">
      <c r="A889" t="s">
        <v>899</v>
      </c>
      <c r="B889" t="s">
        <v>1014</v>
      </c>
      <c r="C889" t="s">
        <v>1019</v>
      </c>
      <c r="D889">
        <v>52</v>
      </c>
      <c r="E889">
        <v>2</v>
      </c>
      <c r="F889" s="3">
        <v>35972</v>
      </c>
      <c r="G889">
        <v>51</v>
      </c>
      <c r="H889">
        <v>7</v>
      </c>
      <c r="I889">
        <v>24</v>
      </c>
      <c r="J889">
        <v>32</v>
      </c>
      <c r="K889">
        <v>3.1</v>
      </c>
      <c r="L889" s="3">
        <v>6.6</v>
      </c>
      <c r="M889" t="s">
        <v>1035</v>
      </c>
      <c r="N889">
        <v>60.57</v>
      </c>
    </row>
    <row r="890" spans="1:14" x14ac:dyDescent="0.3">
      <c r="A890" t="s">
        <v>900</v>
      </c>
      <c r="B890" t="s">
        <v>1016</v>
      </c>
      <c r="C890" t="s">
        <v>1022</v>
      </c>
      <c r="D890">
        <v>45</v>
      </c>
      <c r="E890">
        <v>15</v>
      </c>
      <c r="F890" s="3">
        <v>71900</v>
      </c>
      <c r="G890">
        <v>50</v>
      </c>
      <c r="H890">
        <v>8</v>
      </c>
      <c r="I890">
        <v>8</v>
      </c>
      <c r="J890">
        <v>37</v>
      </c>
      <c r="K890">
        <v>3.2</v>
      </c>
      <c r="L890" s="3">
        <v>9.4</v>
      </c>
      <c r="M890" t="s">
        <v>1034</v>
      </c>
      <c r="N890">
        <v>79.33</v>
      </c>
    </row>
    <row r="891" spans="1:14" x14ac:dyDescent="0.3">
      <c r="A891" t="s">
        <v>901</v>
      </c>
      <c r="B891" t="s">
        <v>1014</v>
      </c>
      <c r="C891" t="s">
        <v>1031</v>
      </c>
      <c r="D891">
        <v>35</v>
      </c>
      <c r="E891">
        <v>3</v>
      </c>
      <c r="F891" s="3">
        <v>83647</v>
      </c>
      <c r="G891">
        <v>41</v>
      </c>
      <c r="H891">
        <v>8</v>
      </c>
      <c r="I891">
        <v>7</v>
      </c>
      <c r="J891">
        <v>25</v>
      </c>
      <c r="K891">
        <v>2.7</v>
      </c>
      <c r="L891" s="3">
        <v>6</v>
      </c>
      <c r="M891" t="s">
        <v>1035</v>
      </c>
      <c r="N891">
        <v>57.43</v>
      </c>
    </row>
    <row r="892" spans="1:14" x14ac:dyDescent="0.3">
      <c r="A892" t="s">
        <v>902</v>
      </c>
      <c r="B892" t="s">
        <v>1015</v>
      </c>
      <c r="C892" t="s">
        <v>1029</v>
      </c>
      <c r="D892">
        <v>32</v>
      </c>
      <c r="E892">
        <v>5</v>
      </c>
      <c r="F892" s="3">
        <v>41680</v>
      </c>
      <c r="G892">
        <v>52</v>
      </c>
      <c r="H892">
        <v>2</v>
      </c>
      <c r="I892">
        <v>4</v>
      </c>
      <c r="J892">
        <v>5</v>
      </c>
      <c r="K892">
        <v>2.9</v>
      </c>
      <c r="L892" s="3">
        <v>6.6</v>
      </c>
      <c r="M892" t="s">
        <v>1035</v>
      </c>
      <c r="N892">
        <v>51.63</v>
      </c>
    </row>
    <row r="893" spans="1:14" x14ac:dyDescent="0.3">
      <c r="A893" t="s">
        <v>903</v>
      </c>
      <c r="B893" t="s">
        <v>1015</v>
      </c>
      <c r="C893" t="s">
        <v>1021</v>
      </c>
      <c r="D893">
        <v>24</v>
      </c>
      <c r="E893">
        <v>3</v>
      </c>
      <c r="F893" s="3">
        <v>58571</v>
      </c>
      <c r="G893">
        <v>54</v>
      </c>
      <c r="H893">
        <v>6</v>
      </c>
      <c r="I893">
        <v>13</v>
      </c>
      <c r="J893">
        <v>28</v>
      </c>
      <c r="K893">
        <v>3.4</v>
      </c>
      <c r="L893" s="3">
        <v>5.9</v>
      </c>
      <c r="M893" t="s">
        <v>1036</v>
      </c>
      <c r="N893">
        <v>55.6</v>
      </c>
    </row>
    <row r="894" spans="1:14" x14ac:dyDescent="0.3">
      <c r="A894" t="s">
        <v>904</v>
      </c>
      <c r="B894" t="s">
        <v>1016</v>
      </c>
      <c r="C894" t="s">
        <v>1023</v>
      </c>
      <c r="D894">
        <v>39</v>
      </c>
      <c r="E894">
        <v>12</v>
      </c>
      <c r="F894" s="3">
        <v>26619</v>
      </c>
      <c r="G894">
        <v>40</v>
      </c>
      <c r="H894">
        <v>8</v>
      </c>
      <c r="I894">
        <v>7</v>
      </c>
      <c r="J894">
        <v>16</v>
      </c>
      <c r="K894">
        <v>3.9</v>
      </c>
      <c r="L894" s="3">
        <v>5.5</v>
      </c>
      <c r="M894" t="s">
        <v>1036</v>
      </c>
      <c r="N894">
        <v>58.03</v>
      </c>
    </row>
    <row r="895" spans="1:14" x14ac:dyDescent="0.3">
      <c r="A895" t="s">
        <v>905</v>
      </c>
      <c r="B895" t="s">
        <v>1016</v>
      </c>
      <c r="C895" t="s">
        <v>1022</v>
      </c>
      <c r="D895">
        <v>54</v>
      </c>
      <c r="E895">
        <v>2</v>
      </c>
      <c r="F895" s="3">
        <v>76502</v>
      </c>
      <c r="G895">
        <v>43</v>
      </c>
      <c r="H895">
        <v>15</v>
      </c>
      <c r="I895">
        <v>7</v>
      </c>
      <c r="J895">
        <v>6</v>
      </c>
      <c r="K895">
        <v>2.4</v>
      </c>
      <c r="L895" s="3">
        <v>5.5</v>
      </c>
      <c r="M895" t="s">
        <v>1036</v>
      </c>
      <c r="N895">
        <v>65.2</v>
      </c>
    </row>
    <row r="896" spans="1:14" x14ac:dyDescent="0.3">
      <c r="A896" t="s">
        <v>906</v>
      </c>
      <c r="B896" t="s">
        <v>1018</v>
      </c>
      <c r="C896" t="s">
        <v>1028</v>
      </c>
      <c r="D896">
        <v>43</v>
      </c>
      <c r="E896">
        <v>6</v>
      </c>
      <c r="F896" s="3">
        <v>69243</v>
      </c>
      <c r="G896">
        <v>45</v>
      </c>
      <c r="H896">
        <v>5</v>
      </c>
      <c r="I896">
        <v>9</v>
      </c>
      <c r="J896">
        <v>17</v>
      </c>
      <c r="K896">
        <v>2.6</v>
      </c>
      <c r="L896" s="3">
        <v>7.2</v>
      </c>
      <c r="M896" t="s">
        <v>1035</v>
      </c>
      <c r="N896">
        <v>59.33</v>
      </c>
    </row>
    <row r="897" spans="1:14" x14ac:dyDescent="0.3">
      <c r="A897" t="s">
        <v>907</v>
      </c>
      <c r="B897" t="s">
        <v>1015</v>
      </c>
      <c r="C897" t="s">
        <v>1020</v>
      </c>
      <c r="D897">
        <v>38</v>
      </c>
      <c r="E897">
        <v>0</v>
      </c>
      <c r="F897" s="3">
        <v>75467</v>
      </c>
      <c r="G897">
        <v>44</v>
      </c>
      <c r="H897">
        <v>5</v>
      </c>
      <c r="I897">
        <v>11</v>
      </c>
      <c r="J897">
        <v>25</v>
      </c>
      <c r="K897">
        <v>4.8</v>
      </c>
      <c r="L897" s="3">
        <v>8.8000000000000007</v>
      </c>
      <c r="M897" t="s">
        <v>1034</v>
      </c>
      <c r="N897">
        <v>75.53</v>
      </c>
    </row>
    <row r="898" spans="1:14" x14ac:dyDescent="0.3">
      <c r="A898" t="s">
        <v>908</v>
      </c>
      <c r="B898" t="s">
        <v>1014</v>
      </c>
      <c r="C898" t="s">
        <v>1025</v>
      </c>
      <c r="D898">
        <v>52</v>
      </c>
      <c r="E898">
        <v>4</v>
      </c>
      <c r="F898" s="3">
        <v>81719</v>
      </c>
      <c r="G898">
        <v>47</v>
      </c>
      <c r="H898">
        <v>4</v>
      </c>
      <c r="I898">
        <v>7</v>
      </c>
      <c r="J898">
        <v>13</v>
      </c>
      <c r="K898">
        <v>3.4</v>
      </c>
      <c r="L898" s="3">
        <v>6.6</v>
      </c>
      <c r="M898" t="s">
        <v>1035</v>
      </c>
      <c r="N898">
        <v>56.47</v>
      </c>
    </row>
    <row r="899" spans="1:14" x14ac:dyDescent="0.3">
      <c r="A899" t="s">
        <v>909</v>
      </c>
      <c r="B899" t="s">
        <v>1017</v>
      </c>
      <c r="C899" t="s">
        <v>1030</v>
      </c>
      <c r="D899">
        <v>51</v>
      </c>
      <c r="E899">
        <v>10</v>
      </c>
      <c r="F899" s="3">
        <v>76898</v>
      </c>
      <c r="G899">
        <v>37</v>
      </c>
      <c r="H899">
        <v>6</v>
      </c>
      <c r="I899">
        <v>6</v>
      </c>
      <c r="J899">
        <v>27</v>
      </c>
      <c r="K899">
        <v>4.3</v>
      </c>
      <c r="L899" s="3">
        <v>7.9</v>
      </c>
      <c r="M899" t="s">
        <v>1035</v>
      </c>
      <c r="N899">
        <v>70.3</v>
      </c>
    </row>
    <row r="900" spans="1:14" x14ac:dyDescent="0.3">
      <c r="A900" t="s">
        <v>910</v>
      </c>
      <c r="B900" t="s">
        <v>1017</v>
      </c>
      <c r="C900" t="s">
        <v>1024</v>
      </c>
      <c r="D900">
        <v>50</v>
      </c>
      <c r="E900">
        <v>0</v>
      </c>
      <c r="F900" s="3">
        <v>49556</v>
      </c>
      <c r="G900">
        <v>39</v>
      </c>
      <c r="H900">
        <v>10</v>
      </c>
      <c r="I900">
        <v>4</v>
      </c>
      <c r="J900">
        <v>19</v>
      </c>
      <c r="K900">
        <v>4.8</v>
      </c>
      <c r="L900" s="3">
        <v>3.1</v>
      </c>
      <c r="M900" t="s">
        <v>1036</v>
      </c>
      <c r="N900">
        <v>49.67</v>
      </c>
    </row>
    <row r="901" spans="1:14" x14ac:dyDescent="0.3">
      <c r="A901" t="s">
        <v>911</v>
      </c>
      <c r="B901" t="s">
        <v>1016</v>
      </c>
      <c r="C901" t="s">
        <v>1033</v>
      </c>
      <c r="D901">
        <v>43</v>
      </c>
      <c r="E901">
        <v>7</v>
      </c>
      <c r="F901" s="3">
        <v>52469</v>
      </c>
      <c r="G901">
        <v>48</v>
      </c>
      <c r="H901">
        <v>11</v>
      </c>
      <c r="I901">
        <v>24</v>
      </c>
      <c r="J901">
        <v>25</v>
      </c>
      <c r="K901">
        <v>4.3</v>
      </c>
      <c r="L901" s="3">
        <v>7.8</v>
      </c>
      <c r="M901" t="s">
        <v>1035</v>
      </c>
      <c r="N901">
        <v>78.03</v>
      </c>
    </row>
    <row r="902" spans="1:14" x14ac:dyDescent="0.3">
      <c r="A902" t="s">
        <v>912</v>
      </c>
      <c r="B902" t="s">
        <v>1016</v>
      </c>
      <c r="C902" t="s">
        <v>1022</v>
      </c>
      <c r="D902">
        <v>23</v>
      </c>
      <c r="E902">
        <v>2</v>
      </c>
      <c r="F902" s="3">
        <v>76469</v>
      </c>
      <c r="G902">
        <v>36</v>
      </c>
      <c r="H902">
        <v>15</v>
      </c>
      <c r="I902">
        <v>4</v>
      </c>
      <c r="J902">
        <v>9</v>
      </c>
      <c r="K902">
        <v>4.9000000000000004</v>
      </c>
      <c r="L902" s="3">
        <v>10</v>
      </c>
      <c r="M902" t="s">
        <v>1034</v>
      </c>
      <c r="N902">
        <v>99.7</v>
      </c>
    </row>
    <row r="903" spans="1:14" x14ac:dyDescent="0.3">
      <c r="A903" t="s">
        <v>913</v>
      </c>
      <c r="B903" t="s">
        <v>1015</v>
      </c>
      <c r="C903" t="s">
        <v>1020</v>
      </c>
      <c r="D903">
        <v>47</v>
      </c>
      <c r="E903">
        <v>12</v>
      </c>
      <c r="F903" s="3">
        <v>38382</v>
      </c>
      <c r="G903">
        <v>47</v>
      </c>
      <c r="H903">
        <v>2</v>
      </c>
      <c r="I903">
        <v>17</v>
      </c>
      <c r="J903">
        <v>24</v>
      </c>
      <c r="K903">
        <v>2.6</v>
      </c>
      <c r="L903" s="3">
        <v>3.8</v>
      </c>
      <c r="M903" t="s">
        <v>1036</v>
      </c>
      <c r="N903">
        <v>33.93</v>
      </c>
    </row>
    <row r="904" spans="1:14" x14ac:dyDescent="0.3">
      <c r="A904" t="s">
        <v>914</v>
      </c>
      <c r="B904" t="s">
        <v>1017</v>
      </c>
      <c r="C904" t="s">
        <v>1026</v>
      </c>
      <c r="D904">
        <v>41</v>
      </c>
      <c r="E904">
        <v>2</v>
      </c>
      <c r="F904" s="3">
        <v>36234</v>
      </c>
      <c r="G904">
        <v>38</v>
      </c>
      <c r="H904">
        <v>11</v>
      </c>
      <c r="I904">
        <v>17</v>
      </c>
      <c r="J904">
        <v>11</v>
      </c>
      <c r="K904">
        <v>2.1</v>
      </c>
      <c r="L904" s="3">
        <v>7.8</v>
      </c>
      <c r="M904" t="s">
        <v>1035</v>
      </c>
      <c r="N904">
        <v>71.430000000000007</v>
      </c>
    </row>
    <row r="905" spans="1:14" x14ac:dyDescent="0.3">
      <c r="A905" t="s">
        <v>915</v>
      </c>
      <c r="B905" t="s">
        <v>1014</v>
      </c>
      <c r="C905" t="s">
        <v>1031</v>
      </c>
      <c r="D905">
        <v>33</v>
      </c>
      <c r="E905">
        <v>3</v>
      </c>
      <c r="F905" s="3">
        <v>29554</v>
      </c>
      <c r="G905">
        <v>47</v>
      </c>
      <c r="H905">
        <v>5</v>
      </c>
      <c r="I905">
        <v>6</v>
      </c>
      <c r="J905">
        <v>14</v>
      </c>
      <c r="K905">
        <v>2.9</v>
      </c>
      <c r="L905" s="3">
        <v>6.7</v>
      </c>
      <c r="M905" t="s">
        <v>1035</v>
      </c>
      <c r="N905">
        <v>57.23</v>
      </c>
    </row>
    <row r="906" spans="1:14" x14ac:dyDescent="0.3">
      <c r="A906" t="s">
        <v>916</v>
      </c>
      <c r="B906" t="s">
        <v>1014</v>
      </c>
      <c r="C906" t="s">
        <v>1025</v>
      </c>
      <c r="D906">
        <v>45</v>
      </c>
      <c r="E906">
        <v>0</v>
      </c>
      <c r="F906" s="3">
        <v>36260</v>
      </c>
      <c r="G906">
        <v>45</v>
      </c>
      <c r="H906">
        <v>14</v>
      </c>
      <c r="I906">
        <v>13</v>
      </c>
      <c r="J906">
        <v>25</v>
      </c>
      <c r="K906">
        <v>2.5</v>
      </c>
      <c r="L906" s="3">
        <v>3.8</v>
      </c>
      <c r="M906" t="s">
        <v>1036</v>
      </c>
      <c r="N906">
        <v>53.63</v>
      </c>
    </row>
    <row r="907" spans="1:14" x14ac:dyDescent="0.3">
      <c r="A907" t="s">
        <v>917</v>
      </c>
      <c r="B907" t="s">
        <v>1017</v>
      </c>
      <c r="C907" t="s">
        <v>1026</v>
      </c>
      <c r="D907">
        <v>52</v>
      </c>
      <c r="E907">
        <v>2</v>
      </c>
      <c r="F907" s="3">
        <v>50493</v>
      </c>
      <c r="G907">
        <v>41</v>
      </c>
      <c r="H907">
        <v>3</v>
      </c>
      <c r="I907">
        <v>6</v>
      </c>
      <c r="J907">
        <v>19</v>
      </c>
      <c r="K907">
        <v>3.3</v>
      </c>
      <c r="L907" s="3">
        <v>8</v>
      </c>
      <c r="M907" t="s">
        <v>1034</v>
      </c>
      <c r="N907">
        <v>62.9</v>
      </c>
    </row>
    <row r="908" spans="1:14" x14ac:dyDescent="0.3">
      <c r="A908" t="s">
        <v>918</v>
      </c>
      <c r="B908" t="s">
        <v>1018</v>
      </c>
      <c r="C908" t="s">
        <v>1032</v>
      </c>
      <c r="D908">
        <v>41</v>
      </c>
      <c r="E908">
        <v>6</v>
      </c>
      <c r="F908" s="3">
        <v>57930</v>
      </c>
      <c r="G908">
        <v>49</v>
      </c>
      <c r="H908">
        <v>5</v>
      </c>
      <c r="I908">
        <v>6</v>
      </c>
      <c r="J908">
        <v>0</v>
      </c>
      <c r="K908">
        <v>5</v>
      </c>
      <c r="L908" s="3">
        <v>6.1</v>
      </c>
      <c r="M908" t="s">
        <v>1035</v>
      </c>
      <c r="N908">
        <v>59.93</v>
      </c>
    </row>
    <row r="909" spans="1:14" x14ac:dyDescent="0.3">
      <c r="A909" t="s">
        <v>919</v>
      </c>
      <c r="B909" t="s">
        <v>1015</v>
      </c>
      <c r="C909" t="s">
        <v>1029</v>
      </c>
      <c r="D909">
        <v>37</v>
      </c>
      <c r="E909">
        <v>10</v>
      </c>
      <c r="F909" s="3">
        <v>84657</v>
      </c>
      <c r="G909">
        <v>53</v>
      </c>
      <c r="H909">
        <v>15</v>
      </c>
      <c r="I909">
        <v>15</v>
      </c>
      <c r="J909">
        <v>29</v>
      </c>
      <c r="K909">
        <v>3.4</v>
      </c>
      <c r="L909" s="3">
        <v>3.3</v>
      </c>
      <c r="M909" t="s">
        <v>1036</v>
      </c>
      <c r="N909">
        <v>55</v>
      </c>
    </row>
    <row r="910" spans="1:14" x14ac:dyDescent="0.3">
      <c r="A910" t="s">
        <v>920</v>
      </c>
      <c r="B910" t="s">
        <v>1016</v>
      </c>
      <c r="C910" t="s">
        <v>1022</v>
      </c>
      <c r="D910">
        <v>51</v>
      </c>
      <c r="E910">
        <v>11</v>
      </c>
      <c r="F910" s="3">
        <v>70895</v>
      </c>
      <c r="G910">
        <v>44</v>
      </c>
      <c r="H910">
        <v>7</v>
      </c>
      <c r="I910">
        <v>19</v>
      </c>
      <c r="J910">
        <v>11</v>
      </c>
      <c r="K910">
        <v>3.2</v>
      </c>
      <c r="L910" s="3">
        <v>4.3</v>
      </c>
      <c r="M910" t="s">
        <v>1036</v>
      </c>
      <c r="N910">
        <v>47.07</v>
      </c>
    </row>
    <row r="911" spans="1:14" x14ac:dyDescent="0.3">
      <c r="A911" t="s">
        <v>921</v>
      </c>
      <c r="B911" t="s">
        <v>1017</v>
      </c>
      <c r="C911" t="s">
        <v>1030</v>
      </c>
      <c r="D911">
        <v>51</v>
      </c>
      <c r="E911">
        <v>12</v>
      </c>
      <c r="F911" s="3">
        <v>84692</v>
      </c>
      <c r="G911">
        <v>40</v>
      </c>
      <c r="H911">
        <v>12</v>
      </c>
      <c r="I911">
        <v>18</v>
      </c>
      <c r="J911">
        <v>6</v>
      </c>
      <c r="K911">
        <v>3.2</v>
      </c>
      <c r="L911" s="3">
        <v>9.6</v>
      </c>
      <c r="M911" t="s">
        <v>1034</v>
      </c>
      <c r="N911">
        <v>87.2</v>
      </c>
    </row>
    <row r="912" spans="1:14" x14ac:dyDescent="0.3">
      <c r="A912" t="s">
        <v>922</v>
      </c>
      <c r="B912" t="s">
        <v>1018</v>
      </c>
      <c r="C912" t="s">
        <v>1027</v>
      </c>
      <c r="D912">
        <v>39</v>
      </c>
      <c r="E912">
        <v>9</v>
      </c>
      <c r="F912" s="3">
        <v>68690</v>
      </c>
      <c r="G912">
        <v>37</v>
      </c>
      <c r="H912">
        <v>12</v>
      </c>
      <c r="I912">
        <v>23</v>
      </c>
      <c r="J912">
        <v>13</v>
      </c>
      <c r="K912">
        <v>4.7</v>
      </c>
      <c r="L912" s="3">
        <v>5.9</v>
      </c>
      <c r="M912" t="s">
        <v>1036</v>
      </c>
      <c r="N912">
        <v>69.5</v>
      </c>
    </row>
    <row r="913" spans="1:14" x14ac:dyDescent="0.3">
      <c r="A913" t="s">
        <v>923</v>
      </c>
      <c r="B913" t="s">
        <v>1014</v>
      </c>
      <c r="C913" t="s">
        <v>1019</v>
      </c>
      <c r="D913">
        <v>45</v>
      </c>
      <c r="E913">
        <v>2</v>
      </c>
      <c r="F913" s="3">
        <v>74505</v>
      </c>
      <c r="G913">
        <v>38</v>
      </c>
      <c r="H913">
        <v>9</v>
      </c>
      <c r="I913">
        <v>24</v>
      </c>
      <c r="J913">
        <v>20</v>
      </c>
      <c r="K913">
        <v>3.2</v>
      </c>
      <c r="L913" s="3">
        <v>4.2</v>
      </c>
      <c r="M913" t="s">
        <v>1036</v>
      </c>
      <c r="N913">
        <v>49.8</v>
      </c>
    </row>
    <row r="914" spans="1:14" x14ac:dyDescent="0.3">
      <c r="A914" t="s">
        <v>924</v>
      </c>
      <c r="B914" t="s">
        <v>1015</v>
      </c>
      <c r="C914" t="s">
        <v>1029</v>
      </c>
      <c r="D914">
        <v>24</v>
      </c>
      <c r="E914">
        <v>3</v>
      </c>
      <c r="F914" s="3">
        <v>26750</v>
      </c>
      <c r="G914">
        <v>37</v>
      </c>
      <c r="H914">
        <v>11</v>
      </c>
      <c r="I914">
        <v>22</v>
      </c>
      <c r="J914">
        <v>29</v>
      </c>
      <c r="K914">
        <v>3.1</v>
      </c>
      <c r="L914" s="3">
        <v>8.1999999999999993</v>
      </c>
      <c r="M914" t="s">
        <v>1034</v>
      </c>
      <c r="N914">
        <v>76.83</v>
      </c>
    </row>
    <row r="915" spans="1:14" x14ac:dyDescent="0.3">
      <c r="A915" t="s">
        <v>925</v>
      </c>
      <c r="B915" t="s">
        <v>1017</v>
      </c>
      <c r="C915" t="s">
        <v>1026</v>
      </c>
      <c r="D915">
        <v>24</v>
      </c>
      <c r="E915">
        <v>0</v>
      </c>
      <c r="F915" s="3">
        <v>41423</v>
      </c>
      <c r="G915">
        <v>38</v>
      </c>
      <c r="H915">
        <v>12</v>
      </c>
      <c r="I915">
        <v>4</v>
      </c>
      <c r="J915">
        <v>20</v>
      </c>
      <c r="K915">
        <v>4</v>
      </c>
      <c r="L915" s="3">
        <v>6.2</v>
      </c>
      <c r="M915" t="s">
        <v>1035</v>
      </c>
      <c r="N915">
        <v>69.2</v>
      </c>
    </row>
    <row r="916" spans="1:14" x14ac:dyDescent="0.3">
      <c r="A916" t="s">
        <v>926</v>
      </c>
      <c r="B916" t="s">
        <v>1014</v>
      </c>
      <c r="C916" t="s">
        <v>1019</v>
      </c>
      <c r="D916">
        <v>27</v>
      </c>
      <c r="E916">
        <v>4</v>
      </c>
      <c r="F916" s="3">
        <v>68058</v>
      </c>
      <c r="G916">
        <v>42</v>
      </c>
      <c r="H916">
        <v>12</v>
      </c>
      <c r="I916">
        <v>14</v>
      </c>
      <c r="J916">
        <v>8</v>
      </c>
      <c r="K916">
        <v>3.4</v>
      </c>
      <c r="L916" s="3">
        <v>5</v>
      </c>
      <c r="M916" t="s">
        <v>1036</v>
      </c>
      <c r="N916">
        <v>60.2</v>
      </c>
    </row>
    <row r="917" spans="1:14" x14ac:dyDescent="0.3">
      <c r="A917" t="s">
        <v>927</v>
      </c>
      <c r="B917" t="s">
        <v>1018</v>
      </c>
      <c r="C917" t="s">
        <v>1027</v>
      </c>
      <c r="D917">
        <v>23</v>
      </c>
      <c r="E917">
        <v>2</v>
      </c>
      <c r="F917" s="3">
        <v>31587</v>
      </c>
      <c r="G917">
        <v>40</v>
      </c>
      <c r="H917">
        <v>5</v>
      </c>
      <c r="I917">
        <v>3</v>
      </c>
      <c r="J917">
        <v>34</v>
      </c>
      <c r="K917">
        <v>4.2</v>
      </c>
      <c r="L917" s="3">
        <v>4.2</v>
      </c>
      <c r="M917" t="s">
        <v>1036</v>
      </c>
      <c r="N917">
        <v>46.13</v>
      </c>
    </row>
    <row r="918" spans="1:14" x14ac:dyDescent="0.3">
      <c r="A918" t="s">
        <v>928</v>
      </c>
      <c r="B918" t="s">
        <v>1014</v>
      </c>
      <c r="C918" t="s">
        <v>1031</v>
      </c>
      <c r="D918">
        <v>39</v>
      </c>
      <c r="E918">
        <v>4</v>
      </c>
      <c r="F918" s="3">
        <v>53878</v>
      </c>
      <c r="G918">
        <v>46</v>
      </c>
      <c r="H918">
        <v>3</v>
      </c>
      <c r="I918">
        <v>6</v>
      </c>
      <c r="J918">
        <v>2</v>
      </c>
      <c r="K918">
        <v>4.7</v>
      </c>
      <c r="L918" s="3">
        <v>6.7</v>
      </c>
      <c r="M918" t="s">
        <v>1035</v>
      </c>
      <c r="N918">
        <v>59.3</v>
      </c>
    </row>
    <row r="919" spans="1:14" x14ac:dyDescent="0.3">
      <c r="A919" t="s">
        <v>929</v>
      </c>
      <c r="B919" t="s">
        <v>1014</v>
      </c>
      <c r="C919" t="s">
        <v>1019</v>
      </c>
      <c r="D919">
        <v>55</v>
      </c>
      <c r="E919">
        <v>3</v>
      </c>
      <c r="F919" s="3">
        <v>50599</v>
      </c>
      <c r="G919">
        <v>44</v>
      </c>
      <c r="H919">
        <v>8</v>
      </c>
      <c r="I919">
        <v>1</v>
      </c>
      <c r="J919">
        <v>38</v>
      </c>
      <c r="K919">
        <v>2</v>
      </c>
      <c r="L919" s="3">
        <v>8.4</v>
      </c>
      <c r="M919" t="s">
        <v>1034</v>
      </c>
      <c r="N919">
        <v>69.73</v>
      </c>
    </row>
    <row r="920" spans="1:14" x14ac:dyDescent="0.3">
      <c r="A920" t="s">
        <v>930</v>
      </c>
      <c r="B920" t="s">
        <v>1018</v>
      </c>
      <c r="C920" t="s">
        <v>1028</v>
      </c>
      <c r="D920">
        <v>45</v>
      </c>
      <c r="E920">
        <v>7</v>
      </c>
      <c r="F920" s="3">
        <v>38106</v>
      </c>
      <c r="G920">
        <v>37</v>
      </c>
      <c r="H920">
        <v>1</v>
      </c>
      <c r="I920">
        <v>13</v>
      </c>
      <c r="J920">
        <v>1</v>
      </c>
      <c r="K920">
        <v>5</v>
      </c>
      <c r="L920" s="3">
        <v>5.4</v>
      </c>
      <c r="M920" t="s">
        <v>1036</v>
      </c>
      <c r="N920">
        <v>49.07</v>
      </c>
    </row>
    <row r="921" spans="1:14" x14ac:dyDescent="0.3">
      <c r="A921" t="s">
        <v>931</v>
      </c>
      <c r="B921" t="s">
        <v>1014</v>
      </c>
      <c r="C921" t="s">
        <v>1031</v>
      </c>
      <c r="D921">
        <v>36</v>
      </c>
      <c r="E921">
        <v>3</v>
      </c>
      <c r="F921" s="3">
        <v>77227</v>
      </c>
      <c r="G921">
        <v>40</v>
      </c>
      <c r="H921">
        <v>12</v>
      </c>
      <c r="I921">
        <v>5</v>
      </c>
      <c r="J921">
        <v>2</v>
      </c>
      <c r="K921">
        <v>3.2</v>
      </c>
      <c r="L921" s="3">
        <v>3.8</v>
      </c>
      <c r="M921" t="s">
        <v>1036</v>
      </c>
      <c r="N921">
        <v>52.4</v>
      </c>
    </row>
    <row r="922" spans="1:14" x14ac:dyDescent="0.3">
      <c r="A922" t="s">
        <v>932</v>
      </c>
      <c r="B922" t="s">
        <v>1016</v>
      </c>
      <c r="C922" t="s">
        <v>1033</v>
      </c>
      <c r="D922">
        <v>34</v>
      </c>
      <c r="E922">
        <v>9</v>
      </c>
      <c r="F922" s="3">
        <v>38573</v>
      </c>
      <c r="G922">
        <v>52</v>
      </c>
      <c r="H922">
        <v>7</v>
      </c>
      <c r="I922">
        <v>13</v>
      </c>
      <c r="J922">
        <v>7</v>
      </c>
      <c r="K922">
        <v>2.7</v>
      </c>
      <c r="L922" s="3">
        <v>3.7</v>
      </c>
      <c r="M922" t="s">
        <v>1036</v>
      </c>
      <c r="N922">
        <v>41.97</v>
      </c>
    </row>
    <row r="923" spans="1:14" x14ac:dyDescent="0.3">
      <c r="A923" t="s">
        <v>933</v>
      </c>
      <c r="B923" t="s">
        <v>1018</v>
      </c>
      <c r="C923" t="s">
        <v>1032</v>
      </c>
      <c r="D923">
        <v>22</v>
      </c>
      <c r="E923">
        <v>1</v>
      </c>
      <c r="F923" s="3">
        <v>67860</v>
      </c>
      <c r="G923">
        <v>45</v>
      </c>
      <c r="H923">
        <v>1</v>
      </c>
      <c r="I923">
        <v>12</v>
      </c>
      <c r="J923">
        <v>13</v>
      </c>
      <c r="K923">
        <v>3.4</v>
      </c>
      <c r="L923" s="3">
        <v>3.5</v>
      </c>
      <c r="M923" t="s">
        <v>1036</v>
      </c>
      <c r="N923">
        <v>32.869999999999997</v>
      </c>
    </row>
    <row r="924" spans="1:14" x14ac:dyDescent="0.3">
      <c r="A924" t="s">
        <v>934</v>
      </c>
      <c r="B924" t="s">
        <v>1015</v>
      </c>
      <c r="C924" t="s">
        <v>1020</v>
      </c>
      <c r="D924">
        <v>45</v>
      </c>
      <c r="E924">
        <v>1</v>
      </c>
      <c r="F924" s="3">
        <v>29412</v>
      </c>
      <c r="G924">
        <v>41</v>
      </c>
      <c r="H924">
        <v>7</v>
      </c>
      <c r="I924">
        <v>9</v>
      </c>
      <c r="J924">
        <v>38</v>
      </c>
      <c r="K924">
        <v>3.5</v>
      </c>
      <c r="L924" s="3">
        <v>9.9</v>
      </c>
      <c r="M924" t="s">
        <v>1034</v>
      </c>
      <c r="N924">
        <v>81.569999999999993</v>
      </c>
    </row>
    <row r="925" spans="1:14" x14ac:dyDescent="0.3">
      <c r="A925" t="s">
        <v>935</v>
      </c>
      <c r="B925" t="s">
        <v>1015</v>
      </c>
      <c r="C925" t="s">
        <v>1020</v>
      </c>
      <c r="D925">
        <v>32</v>
      </c>
      <c r="E925">
        <v>4</v>
      </c>
      <c r="F925" s="3">
        <v>87851</v>
      </c>
      <c r="G925">
        <v>38</v>
      </c>
      <c r="H925">
        <v>10</v>
      </c>
      <c r="I925">
        <v>10</v>
      </c>
      <c r="J925">
        <v>40</v>
      </c>
      <c r="K925">
        <v>4.0999999999999996</v>
      </c>
      <c r="L925" s="3">
        <v>7.7</v>
      </c>
      <c r="M925" t="s">
        <v>1035</v>
      </c>
      <c r="N925">
        <v>75.17</v>
      </c>
    </row>
    <row r="926" spans="1:14" x14ac:dyDescent="0.3">
      <c r="A926" t="s">
        <v>936</v>
      </c>
      <c r="B926" t="s">
        <v>1018</v>
      </c>
      <c r="C926" t="s">
        <v>1027</v>
      </c>
      <c r="D926">
        <v>43</v>
      </c>
      <c r="E926">
        <v>5</v>
      </c>
      <c r="F926" s="3">
        <v>66638</v>
      </c>
      <c r="G926">
        <v>45</v>
      </c>
      <c r="H926">
        <v>14</v>
      </c>
      <c r="I926">
        <v>21</v>
      </c>
      <c r="J926">
        <v>30</v>
      </c>
      <c r="K926">
        <v>2.2000000000000002</v>
      </c>
      <c r="L926" s="3">
        <v>3.1</v>
      </c>
      <c r="M926" t="s">
        <v>1036</v>
      </c>
      <c r="N926">
        <v>48.53</v>
      </c>
    </row>
    <row r="927" spans="1:14" x14ac:dyDescent="0.3">
      <c r="A927" t="s">
        <v>937</v>
      </c>
      <c r="B927" t="s">
        <v>1017</v>
      </c>
      <c r="C927" t="s">
        <v>1030</v>
      </c>
      <c r="D927">
        <v>46</v>
      </c>
      <c r="E927">
        <v>7</v>
      </c>
      <c r="F927" s="3">
        <v>57992</v>
      </c>
      <c r="G927">
        <v>53</v>
      </c>
      <c r="H927">
        <v>12</v>
      </c>
      <c r="I927">
        <v>0</v>
      </c>
      <c r="J927">
        <v>14</v>
      </c>
      <c r="K927">
        <v>2.1</v>
      </c>
      <c r="L927" s="3">
        <v>8.3000000000000007</v>
      </c>
      <c r="M927" t="s">
        <v>1034</v>
      </c>
      <c r="N927">
        <v>76.099999999999994</v>
      </c>
    </row>
    <row r="928" spans="1:14" x14ac:dyDescent="0.3">
      <c r="A928" t="s">
        <v>938</v>
      </c>
      <c r="B928" t="s">
        <v>1016</v>
      </c>
      <c r="C928" t="s">
        <v>1023</v>
      </c>
      <c r="D928">
        <v>37</v>
      </c>
      <c r="E928">
        <v>13</v>
      </c>
      <c r="F928" s="3">
        <v>74626</v>
      </c>
      <c r="G928">
        <v>42</v>
      </c>
      <c r="H928">
        <v>10</v>
      </c>
      <c r="I928">
        <v>2</v>
      </c>
      <c r="J928">
        <v>3</v>
      </c>
      <c r="K928">
        <v>2.4</v>
      </c>
      <c r="L928" s="3">
        <v>6.5</v>
      </c>
      <c r="M928" t="s">
        <v>1035</v>
      </c>
      <c r="N928">
        <v>62.87</v>
      </c>
    </row>
    <row r="929" spans="1:14" x14ac:dyDescent="0.3">
      <c r="A929" t="s">
        <v>939</v>
      </c>
      <c r="B929" t="s">
        <v>1018</v>
      </c>
      <c r="C929" t="s">
        <v>1032</v>
      </c>
      <c r="D929">
        <v>46</v>
      </c>
      <c r="E929">
        <v>6</v>
      </c>
      <c r="F929" s="3">
        <v>67076</v>
      </c>
      <c r="G929">
        <v>36</v>
      </c>
      <c r="H929">
        <v>4</v>
      </c>
      <c r="I929">
        <v>23</v>
      </c>
      <c r="J929">
        <v>38</v>
      </c>
      <c r="K929">
        <v>5</v>
      </c>
      <c r="L929" s="3">
        <v>6.1</v>
      </c>
      <c r="M929" t="s">
        <v>1035</v>
      </c>
      <c r="N929">
        <v>58.27</v>
      </c>
    </row>
    <row r="930" spans="1:14" x14ac:dyDescent="0.3">
      <c r="A930" t="s">
        <v>940</v>
      </c>
      <c r="B930" t="s">
        <v>1018</v>
      </c>
      <c r="C930" t="s">
        <v>1028</v>
      </c>
      <c r="D930">
        <v>39</v>
      </c>
      <c r="E930">
        <v>10</v>
      </c>
      <c r="F930" s="3">
        <v>67179</v>
      </c>
      <c r="G930">
        <v>36</v>
      </c>
      <c r="H930">
        <v>9</v>
      </c>
      <c r="I930">
        <v>25</v>
      </c>
      <c r="J930">
        <v>26</v>
      </c>
      <c r="K930">
        <v>3.9</v>
      </c>
      <c r="L930" s="3">
        <v>5</v>
      </c>
      <c r="M930" t="s">
        <v>1036</v>
      </c>
      <c r="N930">
        <v>56.7</v>
      </c>
    </row>
    <row r="931" spans="1:14" x14ac:dyDescent="0.3">
      <c r="A931" t="s">
        <v>941</v>
      </c>
      <c r="B931" t="s">
        <v>1018</v>
      </c>
      <c r="C931" t="s">
        <v>1028</v>
      </c>
      <c r="D931">
        <v>43</v>
      </c>
      <c r="E931">
        <v>10</v>
      </c>
      <c r="F931" s="3">
        <v>40876</v>
      </c>
      <c r="G931">
        <v>41</v>
      </c>
      <c r="H931">
        <v>9</v>
      </c>
      <c r="I931">
        <v>1</v>
      </c>
      <c r="J931">
        <v>15</v>
      </c>
      <c r="K931">
        <v>4.4000000000000004</v>
      </c>
      <c r="L931" s="3">
        <v>7.9</v>
      </c>
      <c r="M931" t="s">
        <v>1035</v>
      </c>
      <c r="N931">
        <v>75.599999999999994</v>
      </c>
    </row>
    <row r="932" spans="1:14" x14ac:dyDescent="0.3">
      <c r="A932" t="s">
        <v>942</v>
      </c>
      <c r="B932" t="s">
        <v>1015</v>
      </c>
      <c r="C932" t="s">
        <v>1029</v>
      </c>
      <c r="D932">
        <v>46</v>
      </c>
      <c r="E932">
        <v>10</v>
      </c>
      <c r="F932" s="3">
        <v>37028</v>
      </c>
      <c r="G932">
        <v>49</v>
      </c>
      <c r="H932">
        <v>11</v>
      </c>
      <c r="I932">
        <v>0</v>
      </c>
      <c r="J932">
        <v>4</v>
      </c>
      <c r="K932">
        <v>4.5999999999999996</v>
      </c>
      <c r="L932" s="3">
        <v>3.5</v>
      </c>
      <c r="M932" t="s">
        <v>1036</v>
      </c>
      <c r="N932">
        <v>53.13</v>
      </c>
    </row>
    <row r="933" spans="1:14" x14ac:dyDescent="0.3">
      <c r="A933" t="s">
        <v>943</v>
      </c>
      <c r="B933" t="s">
        <v>1014</v>
      </c>
      <c r="C933" t="s">
        <v>1019</v>
      </c>
      <c r="D933">
        <v>31</v>
      </c>
      <c r="E933">
        <v>3</v>
      </c>
      <c r="F933" s="3">
        <v>33228</v>
      </c>
      <c r="G933">
        <v>37</v>
      </c>
      <c r="H933">
        <v>3</v>
      </c>
      <c r="I933">
        <v>18</v>
      </c>
      <c r="J933">
        <v>35</v>
      </c>
      <c r="K933">
        <v>4.5</v>
      </c>
      <c r="L933" s="3">
        <v>9.5</v>
      </c>
      <c r="M933" t="s">
        <v>1034</v>
      </c>
      <c r="N933">
        <v>75.5</v>
      </c>
    </row>
    <row r="934" spans="1:14" x14ac:dyDescent="0.3">
      <c r="A934" t="s">
        <v>944</v>
      </c>
      <c r="B934" t="s">
        <v>1015</v>
      </c>
      <c r="C934" t="s">
        <v>1029</v>
      </c>
      <c r="D934">
        <v>27</v>
      </c>
      <c r="E934">
        <v>3</v>
      </c>
      <c r="F934" s="3">
        <v>72512</v>
      </c>
      <c r="G934">
        <v>49</v>
      </c>
      <c r="H934">
        <v>5</v>
      </c>
      <c r="I934">
        <v>5</v>
      </c>
      <c r="J934">
        <v>12</v>
      </c>
      <c r="K934">
        <v>2.7</v>
      </c>
      <c r="L934" s="3">
        <v>4.2</v>
      </c>
      <c r="M934" t="s">
        <v>1036</v>
      </c>
      <c r="N934">
        <v>41.63</v>
      </c>
    </row>
    <row r="935" spans="1:14" x14ac:dyDescent="0.3">
      <c r="A935" t="s">
        <v>945</v>
      </c>
      <c r="B935" t="s">
        <v>1016</v>
      </c>
      <c r="C935" t="s">
        <v>1033</v>
      </c>
      <c r="D935">
        <v>40</v>
      </c>
      <c r="E935">
        <v>14</v>
      </c>
      <c r="F935" s="3">
        <v>88420</v>
      </c>
      <c r="G935">
        <v>55</v>
      </c>
      <c r="H935">
        <v>4</v>
      </c>
      <c r="I935">
        <v>8</v>
      </c>
      <c r="J935">
        <v>30</v>
      </c>
      <c r="K935">
        <v>2.2000000000000002</v>
      </c>
      <c r="L935" s="3">
        <v>9.8000000000000007</v>
      </c>
      <c r="M935" t="s">
        <v>1034</v>
      </c>
      <c r="N935">
        <v>72.069999999999993</v>
      </c>
    </row>
    <row r="936" spans="1:14" x14ac:dyDescent="0.3">
      <c r="A936" t="s">
        <v>946</v>
      </c>
      <c r="B936" t="s">
        <v>1017</v>
      </c>
      <c r="C936" t="s">
        <v>1026</v>
      </c>
      <c r="D936">
        <v>32</v>
      </c>
      <c r="E936">
        <v>7</v>
      </c>
      <c r="F936" s="3">
        <v>53926</v>
      </c>
      <c r="G936">
        <v>48</v>
      </c>
      <c r="H936">
        <v>9</v>
      </c>
      <c r="I936">
        <v>19</v>
      </c>
      <c r="J936">
        <v>27</v>
      </c>
      <c r="K936">
        <v>4.3</v>
      </c>
      <c r="L936" s="3">
        <v>8.6999999999999993</v>
      </c>
      <c r="M936" t="s">
        <v>1034</v>
      </c>
      <c r="N936">
        <v>80.099999999999994</v>
      </c>
    </row>
    <row r="937" spans="1:14" x14ac:dyDescent="0.3">
      <c r="A937" t="s">
        <v>947</v>
      </c>
      <c r="B937" t="s">
        <v>1014</v>
      </c>
      <c r="C937" t="s">
        <v>1019</v>
      </c>
      <c r="D937">
        <v>46</v>
      </c>
      <c r="E937">
        <v>13</v>
      </c>
      <c r="F937" s="3">
        <v>80970</v>
      </c>
      <c r="G937">
        <v>37</v>
      </c>
      <c r="H937">
        <v>13</v>
      </c>
      <c r="I937">
        <v>9</v>
      </c>
      <c r="J937">
        <v>38</v>
      </c>
      <c r="K937">
        <v>3.6</v>
      </c>
      <c r="L937" s="3">
        <v>6.9</v>
      </c>
      <c r="M937" t="s">
        <v>1035</v>
      </c>
      <c r="N937">
        <v>73.87</v>
      </c>
    </row>
    <row r="938" spans="1:14" x14ac:dyDescent="0.3">
      <c r="A938" t="s">
        <v>948</v>
      </c>
      <c r="B938" t="s">
        <v>1016</v>
      </c>
      <c r="C938" t="s">
        <v>1023</v>
      </c>
      <c r="D938">
        <v>46</v>
      </c>
      <c r="E938">
        <v>14</v>
      </c>
      <c r="F938" s="3">
        <v>45044</v>
      </c>
      <c r="G938">
        <v>49</v>
      </c>
      <c r="H938">
        <v>5</v>
      </c>
      <c r="I938">
        <v>12</v>
      </c>
      <c r="J938">
        <v>35</v>
      </c>
      <c r="K938">
        <v>3.8</v>
      </c>
      <c r="L938" s="3">
        <v>3.5</v>
      </c>
      <c r="M938" t="s">
        <v>1036</v>
      </c>
      <c r="N938">
        <v>40.729999999999997</v>
      </c>
    </row>
    <row r="939" spans="1:14" x14ac:dyDescent="0.3">
      <c r="A939" t="s">
        <v>949</v>
      </c>
      <c r="B939" t="s">
        <v>1017</v>
      </c>
      <c r="C939" t="s">
        <v>1026</v>
      </c>
      <c r="D939">
        <v>34</v>
      </c>
      <c r="E939">
        <v>2</v>
      </c>
      <c r="F939" s="3">
        <v>85039</v>
      </c>
      <c r="G939">
        <v>41</v>
      </c>
      <c r="H939">
        <v>1</v>
      </c>
      <c r="I939">
        <v>0</v>
      </c>
      <c r="J939">
        <v>32</v>
      </c>
      <c r="K939">
        <v>4.2</v>
      </c>
      <c r="L939" s="3">
        <v>5.6</v>
      </c>
      <c r="M939" t="s">
        <v>1036</v>
      </c>
      <c r="N939">
        <v>47.87</v>
      </c>
    </row>
    <row r="940" spans="1:14" x14ac:dyDescent="0.3">
      <c r="A940" t="s">
        <v>950</v>
      </c>
      <c r="B940" t="s">
        <v>1017</v>
      </c>
      <c r="C940" t="s">
        <v>1030</v>
      </c>
      <c r="D940">
        <v>47</v>
      </c>
      <c r="E940">
        <v>11</v>
      </c>
      <c r="F940" s="3">
        <v>50168</v>
      </c>
      <c r="G940">
        <v>50</v>
      </c>
      <c r="H940">
        <v>5</v>
      </c>
      <c r="I940">
        <v>20</v>
      </c>
      <c r="J940">
        <v>37</v>
      </c>
      <c r="K940">
        <v>2.2000000000000002</v>
      </c>
      <c r="L940" s="3">
        <v>9.1999999999999993</v>
      </c>
      <c r="M940" t="s">
        <v>1034</v>
      </c>
      <c r="N940">
        <v>70.13</v>
      </c>
    </row>
    <row r="941" spans="1:14" x14ac:dyDescent="0.3">
      <c r="A941" t="s">
        <v>951</v>
      </c>
      <c r="B941" t="s">
        <v>1017</v>
      </c>
      <c r="C941" t="s">
        <v>1024</v>
      </c>
      <c r="D941">
        <v>32</v>
      </c>
      <c r="E941">
        <v>3</v>
      </c>
      <c r="F941" s="3">
        <v>75000</v>
      </c>
      <c r="G941">
        <v>48</v>
      </c>
      <c r="H941">
        <v>5</v>
      </c>
      <c r="I941">
        <v>24</v>
      </c>
      <c r="J941">
        <v>22</v>
      </c>
      <c r="K941">
        <v>3.5</v>
      </c>
      <c r="L941" s="3">
        <v>6.4</v>
      </c>
      <c r="M941" t="s">
        <v>1035</v>
      </c>
      <c r="N941">
        <v>57.23</v>
      </c>
    </row>
    <row r="942" spans="1:14" x14ac:dyDescent="0.3">
      <c r="A942" t="s">
        <v>952</v>
      </c>
      <c r="B942" t="s">
        <v>1016</v>
      </c>
      <c r="C942" t="s">
        <v>1033</v>
      </c>
      <c r="D942">
        <v>25</v>
      </c>
      <c r="E942">
        <v>3</v>
      </c>
      <c r="F942" s="3">
        <v>85720</v>
      </c>
      <c r="G942">
        <v>48</v>
      </c>
      <c r="H942">
        <v>12</v>
      </c>
      <c r="I942">
        <v>7</v>
      </c>
      <c r="J942">
        <v>15</v>
      </c>
      <c r="K942">
        <v>3.4</v>
      </c>
      <c r="L942" s="3">
        <v>9.5</v>
      </c>
      <c r="M942" t="s">
        <v>1034</v>
      </c>
      <c r="N942">
        <v>87.2</v>
      </c>
    </row>
    <row r="943" spans="1:14" x14ac:dyDescent="0.3">
      <c r="A943" t="s">
        <v>953</v>
      </c>
      <c r="B943" t="s">
        <v>1014</v>
      </c>
      <c r="C943" t="s">
        <v>1025</v>
      </c>
      <c r="D943">
        <v>31</v>
      </c>
      <c r="E943">
        <v>4</v>
      </c>
      <c r="F943" s="3">
        <v>64677</v>
      </c>
      <c r="G943">
        <v>49</v>
      </c>
      <c r="H943">
        <v>11</v>
      </c>
      <c r="I943">
        <v>4</v>
      </c>
      <c r="J943">
        <v>16</v>
      </c>
      <c r="K943">
        <v>2.7</v>
      </c>
      <c r="L943" s="3">
        <v>7</v>
      </c>
      <c r="M943" t="s">
        <v>1035</v>
      </c>
      <c r="N943">
        <v>68.430000000000007</v>
      </c>
    </row>
    <row r="944" spans="1:14" x14ac:dyDescent="0.3">
      <c r="A944" t="s">
        <v>954</v>
      </c>
      <c r="B944" t="s">
        <v>1018</v>
      </c>
      <c r="C944" t="s">
        <v>1028</v>
      </c>
      <c r="D944">
        <v>22</v>
      </c>
      <c r="E944">
        <v>0</v>
      </c>
      <c r="F944" s="3">
        <v>75526</v>
      </c>
      <c r="G944">
        <v>37</v>
      </c>
      <c r="H944">
        <v>11</v>
      </c>
      <c r="I944">
        <v>22</v>
      </c>
      <c r="J944">
        <v>24</v>
      </c>
      <c r="K944">
        <v>3.2</v>
      </c>
      <c r="L944" s="3">
        <v>7.1</v>
      </c>
      <c r="M944" t="s">
        <v>1035</v>
      </c>
      <c r="N944">
        <v>70.53</v>
      </c>
    </row>
    <row r="945" spans="1:14" x14ac:dyDescent="0.3">
      <c r="A945" t="s">
        <v>955</v>
      </c>
      <c r="B945" t="s">
        <v>1015</v>
      </c>
      <c r="C945" t="s">
        <v>1021</v>
      </c>
      <c r="D945">
        <v>34</v>
      </c>
      <c r="E945">
        <v>6</v>
      </c>
      <c r="F945" s="3">
        <v>35867</v>
      </c>
      <c r="G945">
        <v>48</v>
      </c>
      <c r="H945">
        <v>5</v>
      </c>
      <c r="I945">
        <v>22</v>
      </c>
      <c r="J945">
        <v>19</v>
      </c>
      <c r="K945">
        <v>3.5</v>
      </c>
      <c r="L945" s="3">
        <v>6.7</v>
      </c>
      <c r="M945" t="s">
        <v>1035</v>
      </c>
      <c r="N945">
        <v>59.03</v>
      </c>
    </row>
    <row r="946" spans="1:14" x14ac:dyDescent="0.3">
      <c r="A946" t="s">
        <v>956</v>
      </c>
      <c r="B946" t="s">
        <v>1015</v>
      </c>
      <c r="C946" t="s">
        <v>1029</v>
      </c>
      <c r="D946">
        <v>41</v>
      </c>
      <c r="E946">
        <v>13</v>
      </c>
      <c r="F946" s="3">
        <v>74313</v>
      </c>
      <c r="G946">
        <v>37</v>
      </c>
      <c r="H946">
        <v>2</v>
      </c>
      <c r="I946">
        <v>20</v>
      </c>
      <c r="J946">
        <v>36</v>
      </c>
      <c r="K946">
        <v>4.3</v>
      </c>
      <c r="L946" s="3">
        <v>5.4</v>
      </c>
      <c r="M946" t="s">
        <v>1036</v>
      </c>
      <c r="N946">
        <v>48.63</v>
      </c>
    </row>
    <row r="947" spans="1:14" x14ac:dyDescent="0.3">
      <c r="A947" t="s">
        <v>957</v>
      </c>
      <c r="B947" t="s">
        <v>1016</v>
      </c>
      <c r="C947" t="s">
        <v>1023</v>
      </c>
      <c r="D947">
        <v>35</v>
      </c>
      <c r="E947">
        <v>14</v>
      </c>
      <c r="F947" s="3">
        <v>74039</v>
      </c>
      <c r="G947">
        <v>47</v>
      </c>
      <c r="H947">
        <v>12</v>
      </c>
      <c r="I947">
        <v>9</v>
      </c>
      <c r="J947">
        <v>0</v>
      </c>
      <c r="K947">
        <v>5</v>
      </c>
      <c r="L947" s="3">
        <v>8.6999999999999993</v>
      </c>
      <c r="M947" t="s">
        <v>1034</v>
      </c>
      <c r="N947">
        <v>87.2</v>
      </c>
    </row>
    <row r="948" spans="1:14" x14ac:dyDescent="0.3">
      <c r="A948" t="s">
        <v>958</v>
      </c>
      <c r="B948" t="s">
        <v>1014</v>
      </c>
      <c r="C948" t="s">
        <v>1031</v>
      </c>
      <c r="D948">
        <v>26</v>
      </c>
      <c r="E948">
        <v>5</v>
      </c>
      <c r="F948" s="3">
        <v>52383</v>
      </c>
      <c r="G948">
        <v>51</v>
      </c>
      <c r="H948">
        <v>7</v>
      </c>
      <c r="I948">
        <v>20</v>
      </c>
      <c r="J948">
        <v>18</v>
      </c>
      <c r="K948">
        <v>4.2</v>
      </c>
      <c r="L948" s="3">
        <v>4.2</v>
      </c>
      <c r="M948" t="s">
        <v>1036</v>
      </c>
      <c r="N948">
        <v>49.47</v>
      </c>
    </row>
    <row r="949" spans="1:14" x14ac:dyDescent="0.3">
      <c r="A949" t="s">
        <v>959</v>
      </c>
      <c r="B949" t="s">
        <v>1018</v>
      </c>
      <c r="C949" t="s">
        <v>1028</v>
      </c>
      <c r="D949">
        <v>30</v>
      </c>
      <c r="E949">
        <v>3</v>
      </c>
      <c r="F949" s="3">
        <v>56881</v>
      </c>
      <c r="G949">
        <v>40</v>
      </c>
      <c r="H949">
        <v>9</v>
      </c>
      <c r="I949">
        <v>3</v>
      </c>
      <c r="J949">
        <v>28</v>
      </c>
      <c r="K949">
        <v>3.7</v>
      </c>
      <c r="L949" s="3">
        <v>4.5</v>
      </c>
      <c r="M949" t="s">
        <v>1036</v>
      </c>
      <c r="N949">
        <v>53.1</v>
      </c>
    </row>
    <row r="950" spans="1:14" x14ac:dyDescent="0.3">
      <c r="A950" t="s">
        <v>960</v>
      </c>
      <c r="B950" t="s">
        <v>1014</v>
      </c>
      <c r="C950" t="s">
        <v>1025</v>
      </c>
      <c r="D950">
        <v>33</v>
      </c>
      <c r="E950">
        <v>12</v>
      </c>
      <c r="F950" s="3">
        <v>74752</v>
      </c>
      <c r="G950">
        <v>41</v>
      </c>
      <c r="H950">
        <v>5</v>
      </c>
      <c r="I950">
        <v>13</v>
      </c>
      <c r="J950">
        <v>28</v>
      </c>
      <c r="K950">
        <v>3.9</v>
      </c>
      <c r="L950" s="3">
        <v>7.4</v>
      </c>
      <c r="M950" t="s">
        <v>1035</v>
      </c>
      <c r="N950">
        <v>64.430000000000007</v>
      </c>
    </row>
    <row r="951" spans="1:14" x14ac:dyDescent="0.3">
      <c r="A951" t="s">
        <v>961</v>
      </c>
      <c r="B951" t="s">
        <v>1018</v>
      </c>
      <c r="C951" t="s">
        <v>1032</v>
      </c>
      <c r="D951">
        <v>27</v>
      </c>
      <c r="E951">
        <v>2</v>
      </c>
      <c r="F951" s="3">
        <v>30616</v>
      </c>
      <c r="G951">
        <v>47</v>
      </c>
      <c r="H951">
        <v>2</v>
      </c>
      <c r="I951">
        <v>8</v>
      </c>
      <c r="J951">
        <v>4</v>
      </c>
      <c r="K951">
        <v>3</v>
      </c>
      <c r="L951" s="3">
        <v>7.1</v>
      </c>
      <c r="M951" t="s">
        <v>1035</v>
      </c>
      <c r="N951">
        <v>54.93</v>
      </c>
    </row>
    <row r="952" spans="1:14" x14ac:dyDescent="0.3">
      <c r="A952" t="s">
        <v>962</v>
      </c>
      <c r="B952" t="s">
        <v>1017</v>
      </c>
      <c r="C952" t="s">
        <v>1030</v>
      </c>
      <c r="D952">
        <v>28</v>
      </c>
      <c r="E952">
        <v>0</v>
      </c>
      <c r="F952" s="3">
        <v>29001</v>
      </c>
      <c r="G952">
        <v>43</v>
      </c>
      <c r="H952">
        <v>13</v>
      </c>
      <c r="I952">
        <v>0</v>
      </c>
      <c r="J952">
        <v>37</v>
      </c>
      <c r="K952">
        <v>4.4000000000000004</v>
      </c>
      <c r="L952" s="3">
        <v>3.3</v>
      </c>
      <c r="M952" t="s">
        <v>1036</v>
      </c>
      <c r="N952">
        <v>54.67</v>
      </c>
    </row>
    <row r="953" spans="1:14" x14ac:dyDescent="0.3">
      <c r="A953" t="s">
        <v>963</v>
      </c>
      <c r="B953" t="s">
        <v>1015</v>
      </c>
      <c r="C953" t="s">
        <v>1021</v>
      </c>
      <c r="D953">
        <v>22</v>
      </c>
      <c r="E953">
        <v>1</v>
      </c>
      <c r="F953" s="3">
        <v>64517</v>
      </c>
      <c r="G953">
        <v>51</v>
      </c>
      <c r="H953">
        <v>13</v>
      </c>
      <c r="I953">
        <v>8</v>
      </c>
      <c r="J953">
        <v>31</v>
      </c>
      <c r="K953">
        <v>3.4</v>
      </c>
      <c r="L953" s="3">
        <v>5.4</v>
      </c>
      <c r="M953" t="s">
        <v>1036</v>
      </c>
      <c r="N953">
        <v>64.27</v>
      </c>
    </row>
    <row r="954" spans="1:14" x14ac:dyDescent="0.3">
      <c r="A954" t="s">
        <v>964</v>
      </c>
      <c r="B954" t="s">
        <v>1016</v>
      </c>
      <c r="C954" t="s">
        <v>1033</v>
      </c>
      <c r="D954">
        <v>45</v>
      </c>
      <c r="E954">
        <v>10</v>
      </c>
      <c r="F954" s="3">
        <v>45658</v>
      </c>
      <c r="G954">
        <v>42</v>
      </c>
      <c r="H954">
        <v>6</v>
      </c>
      <c r="I954">
        <v>21</v>
      </c>
      <c r="J954">
        <v>25</v>
      </c>
      <c r="K954">
        <v>3.1</v>
      </c>
      <c r="L954" s="3">
        <v>3.4</v>
      </c>
      <c r="M954" t="s">
        <v>1036</v>
      </c>
      <c r="N954">
        <v>39.700000000000003</v>
      </c>
    </row>
    <row r="955" spans="1:14" x14ac:dyDescent="0.3">
      <c r="A955" t="s">
        <v>965</v>
      </c>
      <c r="B955" t="s">
        <v>1016</v>
      </c>
      <c r="C955" t="s">
        <v>1033</v>
      </c>
      <c r="D955">
        <v>28</v>
      </c>
      <c r="E955">
        <v>0</v>
      </c>
      <c r="F955" s="3">
        <v>54944</v>
      </c>
      <c r="G955">
        <v>47</v>
      </c>
      <c r="H955">
        <v>12</v>
      </c>
      <c r="I955">
        <v>4</v>
      </c>
      <c r="J955">
        <v>1</v>
      </c>
      <c r="K955">
        <v>3.8</v>
      </c>
      <c r="L955" s="3">
        <v>9.1</v>
      </c>
      <c r="M955" t="s">
        <v>1034</v>
      </c>
      <c r="N955">
        <v>86</v>
      </c>
    </row>
    <row r="956" spans="1:14" x14ac:dyDescent="0.3">
      <c r="A956" t="s">
        <v>966</v>
      </c>
      <c r="B956" t="s">
        <v>1018</v>
      </c>
      <c r="C956" t="s">
        <v>1032</v>
      </c>
      <c r="D956">
        <v>45</v>
      </c>
      <c r="E956">
        <v>14</v>
      </c>
      <c r="F956" s="3">
        <v>65524</v>
      </c>
      <c r="G956">
        <v>50</v>
      </c>
      <c r="H956">
        <v>9</v>
      </c>
      <c r="I956">
        <v>13</v>
      </c>
      <c r="J956">
        <v>12</v>
      </c>
      <c r="K956">
        <v>2</v>
      </c>
      <c r="L956" s="3">
        <v>7.5</v>
      </c>
      <c r="M956" t="s">
        <v>1035</v>
      </c>
      <c r="N956">
        <v>66</v>
      </c>
    </row>
    <row r="957" spans="1:14" x14ac:dyDescent="0.3">
      <c r="A957" t="s">
        <v>967</v>
      </c>
      <c r="B957" t="s">
        <v>1014</v>
      </c>
      <c r="C957" t="s">
        <v>1025</v>
      </c>
      <c r="D957">
        <v>45</v>
      </c>
      <c r="E957">
        <v>1</v>
      </c>
      <c r="F957" s="3">
        <v>88543</v>
      </c>
      <c r="G957">
        <v>45</v>
      </c>
      <c r="H957">
        <v>11</v>
      </c>
      <c r="I957">
        <v>14</v>
      </c>
      <c r="J957">
        <v>14</v>
      </c>
      <c r="K957">
        <v>3.8</v>
      </c>
      <c r="L957" s="3">
        <v>5.8</v>
      </c>
      <c r="M957" t="s">
        <v>1036</v>
      </c>
      <c r="N957">
        <v>64.53</v>
      </c>
    </row>
    <row r="958" spans="1:14" x14ac:dyDescent="0.3">
      <c r="A958" t="s">
        <v>968</v>
      </c>
      <c r="B958" t="s">
        <v>1014</v>
      </c>
      <c r="C958" t="s">
        <v>1019</v>
      </c>
      <c r="D958">
        <v>44</v>
      </c>
      <c r="E958">
        <v>13</v>
      </c>
      <c r="F958" s="3">
        <v>86543</v>
      </c>
      <c r="G958">
        <v>50</v>
      </c>
      <c r="H958">
        <v>11</v>
      </c>
      <c r="I958">
        <v>22</v>
      </c>
      <c r="J958">
        <v>6</v>
      </c>
      <c r="K958">
        <v>4.2</v>
      </c>
      <c r="L958" s="3">
        <v>5.0999999999999996</v>
      </c>
      <c r="M958" t="s">
        <v>1036</v>
      </c>
      <c r="N958">
        <v>61.53</v>
      </c>
    </row>
    <row r="959" spans="1:14" x14ac:dyDescent="0.3">
      <c r="A959" t="s">
        <v>969</v>
      </c>
      <c r="B959" t="s">
        <v>1018</v>
      </c>
      <c r="C959" t="s">
        <v>1032</v>
      </c>
      <c r="D959">
        <v>55</v>
      </c>
      <c r="E959">
        <v>1</v>
      </c>
      <c r="F959" s="3">
        <v>33379</v>
      </c>
      <c r="G959">
        <v>50</v>
      </c>
      <c r="H959">
        <v>13</v>
      </c>
      <c r="I959">
        <v>2</v>
      </c>
      <c r="J959">
        <v>19</v>
      </c>
      <c r="K959">
        <v>4.5</v>
      </c>
      <c r="L959" s="3">
        <v>10</v>
      </c>
      <c r="M959" t="s">
        <v>1034</v>
      </c>
      <c r="N959">
        <v>95.17</v>
      </c>
    </row>
    <row r="960" spans="1:14" x14ac:dyDescent="0.3">
      <c r="A960" t="s">
        <v>970</v>
      </c>
      <c r="B960" t="s">
        <v>1018</v>
      </c>
      <c r="C960" t="s">
        <v>1027</v>
      </c>
      <c r="D960">
        <v>50</v>
      </c>
      <c r="E960">
        <v>3</v>
      </c>
      <c r="F960" s="3">
        <v>56599</v>
      </c>
      <c r="G960">
        <v>52</v>
      </c>
      <c r="H960">
        <v>4</v>
      </c>
      <c r="I960">
        <v>7</v>
      </c>
      <c r="J960">
        <v>13</v>
      </c>
      <c r="K960">
        <v>2.5</v>
      </c>
      <c r="L960" s="3">
        <v>9.6</v>
      </c>
      <c r="M960" t="s">
        <v>1034</v>
      </c>
      <c r="N960">
        <v>71.77</v>
      </c>
    </row>
    <row r="961" spans="1:14" x14ac:dyDescent="0.3">
      <c r="A961" t="s">
        <v>971</v>
      </c>
      <c r="B961" t="s">
        <v>1014</v>
      </c>
      <c r="C961" t="s">
        <v>1031</v>
      </c>
      <c r="D961">
        <v>28</v>
      </c>
      <c r="E961">
        <v>6</v>
      </c>
      <c r="F961" s="3">
        <v>71908</v>
      </c>
      <c r="G961">
        <v>35</v>
      </c>
      <c r="H961">
        <v>3</v>
      </c>
      <c r="I961">
        <v>10</v>
      </c>
      <c r="J961">
        <v>24</v>
      </c>
      <c r="K961">
        <v>4.3</v>
      </c>
      <c r="L961" s="3">
        <v>4.5</v>
      </c>
      <c r="M961" t="s">
        <v>1036</v>
      </c>
      <c r="N961">
        <v>44.9</v>
      </c>
    </row>
    <row r="962" spans="1:14" x14ac:dyDescent="0.3">
      <c r="A962" t="s">
        <v>972</v>
      </c>
      <c r="B962" t="s">
        <v>1017</v>
      </c>
      <c r="C962" t="s">
        <v>1030</v>
      </c>
      <c r="D962">
        <v>29</v>
      </c>
      <c r="E962">
        <v>2</v>
      </c>
      <c r="F962" s="3">
        <v>85472</v>
      </c>
      <c r="G962">
        <v>52</v>
      </c>
      <c r="H962">
        <v>11</v>
      </c>
      <c r="I962">
        <v>23</v>
      </c>
      <c r="J962">
        <v>31</v>
      </c>
      <c r="K962">
        <v>2.2999999999999998</v>
      </c>
      <c r="L962" s="3">
        <v>7.8</v>
      </c>
      <c r="M962" t="s">
        <v>1035</v>
      </c>
      <c r="N962">
        <v>72.03</v>
      </c>
    </row>
    <row r="963" spans="1:14" x14ac:dyDescent="0.3">
      <c r="A963" t="s">
        <v>973</v>
      </c>
      <c r="B963" t="s">
        <v>1015</v>
      </c>
      <c r="C963" t="s">
        <v>1021</v>
      </c>
      <c r="D963">
        <v>26</v>
      </c>
      <c r="E963">
        <v>5</v>
      </c>
      <c r="F963" s="3">
        <v>47493</v>
      </c>
      <c r="G963">
        <v>47</v>
      </c>
      <c r="H963">
        <v>15</v>
      </c>
      <c r="I963">
        <v>22</v>
      </c>
      <c r="J963">
        <v>24</v>
      </c>
      <c r="K963">
        <v>4</v>
      </c>
      <c r="L963" s="3">
        <v>8.5</v>
      </c>
      <c r="M963" t="s">
        <v>1034</v>
      </c>
      <c r="N963">
        <v>88</v>
      </c>
    </row>
    <row r="964" spans="1:14" x14ac:dyDescent="0.3">
      <c r="A964" t="s">
        <v>974</v>
      </c>
      <c r="B964" t="s">
        <v>1018</v>
      </c>
      <c r="C964" t="s">
        <v>1028</v>
      </c>
      <c r="D964">
        <v>36</v>
      </c>
      <c r="E964">
        <v>8</v>
      </c>
      <c r="F964" s="3">
        <v>32581</v>
      </c>
      <c r="G964">
        <v>44</v>
      </c>
      <c r="H964">
        <v>2</v>
      </c>
      <c r="I964">
        <v>3</v>
      </c>
      <c r="J964">
        <v>5</v>
      </c>
      <c r="K964">
        <v>3</v>
      </c>
      <c r="L964" s="3">
        <v>7.1</v>
      </c>
      <c r="M964" t="s">
        <v>1035</v>
      </c>
      <c r="N964">
        <v>54.93</v>
      </c>
    </row>
    <row r="965" spans="1:14" x14ac:dyDescent="0.3">
      <c r="A965" t="s">
        <v>975</v>
      </c>
      <c r="B965" t="s">
        <v>1014</v>
      </c>
      <c r="C965" t="s">
        <v>1019</v>
      </c>
      <c r="D965">
        <v>45</v>
      </c>
      <c r="E965">
        <v>4</v>
      </c>
      <c r="F965" s="3">
        <v>80923</v>
      </c>
      <c r="G965">
        <v>45</v>
      </c>
      <c r="H965">
        <v>7</v>
      </c>
      <c r="I965">
        <v>18</v>
      </c>
      <c r="J965">
        <v>0</v>
      </c>
      <c r="K965">
        <v>2.9</v>
      </c>
      <c r="L965" s="3">
        <v>7.1</v>
      </c>
      <c r="M965" t="s">
        <v>1035</v>
      </c>
      <c r="N965">
        <v>62.97</v>
      </c>
    </row>
    <row r="966" spans="1:14" x14ac:dyDescent="0.3">
      <c r="A966" t="s">
        <v>976</v>
      </c>
      <c r="B966" t="s">
        <v>1017</v>
      </c>
      <c r="C966" t="s">
        <v>1030</v>
      </c>
      <c r="D966">
        <v>49</v>
      </c>
      <c r="E966">
        <v>10</v>
      </c>
      <c r="F966" s="3">
        <v>75546</v>
      </c>
      <c r="G966">
        <v>46</v>
      </c>
      <c r="H966">
        <v>13</v>
      </c>
      <c r="I966">
        <v>21</v>
      </c>
      <c r="J966">
        <v>8</v>
      </c>
      <c r="K966">
        <v>3.6</v>
      </c>
      <c r="L966" s="3">
        <v>7.2</v>
      </c>
      <c r="M966" t="s">
        <v>1035</v>
      </c>
      <c r="N966">
        <v>75.67</v>
      </c>
    </row>
    <row r="967" spans="1:14" x14ac:dyDescent="0.3">
      <c r="A967" t="s">
        <v>977</v>
      </c>
      <c r="B967" t="s">
        <v>1014</v>
      </c>
      <c r="C967" t="s">
        <v>1031</v>
      </c>
      <c r="D967">
        <v>47</v>
      </c>
      <c r="E967">
        <v>0</v>
      </c>
      <c r="F967" s="3">
        <v>60277</v>
      </c>
      <c r="G967">
        <v>49</v>
      </c>
      <c r="H967">
        <v>6</v>
      </c>
      <c r="I967">
        <v>4</v>
      </c>
      <c r="J967">
        <v>18</v>
      </c>
      <c r="K967">
        <v>4.5</v>
      </c>
      <c r="L967" s="3">
        <v>6.5</v>
      </c>
      <c r="M967" t="s">
        <v>1035</v>
      </c>
      <c r="N967">
        <v>62.5</v>
      </c>
    </row>
    <row r="968" spans="1:14" x14ac:dyDescent="0.3">
      <c r="A968" t="s">
        <v>978</v>
      </c>
      <c r="B968" t="s">
        <v>1018</v>
      </c>
      <c r="C968" t="s">
        <v>1032</v>
      </c>
      <c r="D968">
        <v>40</v>
      </c>
      <c r="E968">
        <v>4</v>
      </c>
      <c r="F968" s="3">
        <v>73959</v>
      </c>
      <c r="G968">
        <v>36</v>
      </c>
      <c r="H968">
        <v>10</v>
      </c>
      <c r="I968">
        <v>10</v>
      </c>
      <c r="J968">
        <v>19</v>
      </c>
      <c r="K968">
        <v>3.5</v>
      </c>
      <c r="L968" s="3">
        <v>7.8</v>
      </c>
      <c r="M968" t="s">
        <v>1035</v>
      </c>
      <c r="N968">
        <v>73.97</v>
      </c>
    </row>
    <row r="969" spans="1:14" x14ac:dyDescent="0.3">
      <c r="A969" t="s">
        <v>979</v>
      </c>
      <c r="B969" t="s">
        <v>1015</v>
      </c>
      <c r="C969" t="s">
        <v>1020</v>
      </c>
      <c r="D969">
        <v>52</v>
      </c>
      <c r="E969">
        <v>6</v>
      </c>
      <c r="F969" s="3">
        <v>57441</v>
      </c>
      <c r="G969">
        <v>44</v>
      </c>
      <c r="H969">
        <v>12</v>
      </c>
      <c r="I969">
        <v>12</v>
      </c>
      <c r="J969">
        <v>3</v>
      </c>
      <c r="K969">
        <v>4.9000000000000004</v>
      </c>
      <c r="L969" s="3">
        <v>5.3</v>
      </c>
      <c r="M969" t="s">
        <v>1036</v>
      </c>
      <c r="N969">
        <v>66.5</v>
      </c>
    </row>
    <row r="970" spans="1:14" x14ac:dyDescent="0.3">
      <c r="A970" t="s">
        <v>980</v>
      </c>
      <c r="B970" t="s">
        <v>1018</v>
      </c>
      <c r="C970" t="s">
        <v>1028</v>
      </c>
      <c r="D970">
        <v>36</v>
      </c>
      <c r="E970">
        <v>1</v>
      </c>
      <c r="F970" s="3">
        <v>85500</v>
      </c>
      <c r="G970">
        <v>40</v>
      </c>
      <c r="H970">
        <v>14</v>
      </c>
      <c r="I970">
        <v>15</v>
      </c>
      <c r="J970">
        <v>25</v>
      </c>
      <c r="K970">
        <v>2.9</v>
      </c>
      <c r="L970" s="3">
        <v>8.6999999999999993</v>
      </c>
      <c r="M970" t="s">
        <v>1034</v>
      </c>
      <c r="N970">
        <v>84.23</v>
      </c>
    </row>
    <row r="971" spans="1:14" x14ac:dyDescent="0.3">
      <c r="A971" t="s">
        <v>981</v>
      </c>
      <c r="B971" t="s">
        <v>1014</v>
      </c>
      <c r="C971" t="s">
        <v>1031</v>
      </c>
      <c r="D971">
        <v>47</v>
      </c>
      <c r="E971">
        <v>10</v>
      </c>
      <c r="F971" s="3">
        <v>52684</v>
      </c>
      <c r="G971">
        <v>50</v>
      </c>
      <c r="H971">
        <v>6</v>
      </c>
      <c r="I971">
        <v>24</v>
      </c>
      <c r="J971">
        <v>25</v>
      </c>
      <c r="K971">
        <v>3.2</v>
      </c>
      <c r="L971" s="3">
        <v>6.7</v>
      </c>
      <c r="M971" t="s">
        <v>1035</v>
      </c>
      <c r="N971">
        <v>59.8</v>
      </c>
    </row>
    <row r="972" spans="1:14" x14ac:dyDescent="0.3">
      <c r="A972" t="s">
        <v>982</v>
      </c>
      <c r="B972" t="s">
        <v>1016</v>
      </c>
      <c r="C972" t="s">
        <v>1023</v>
      </c>
      <c r="D972">
        <v>34</v>
      </c>
      <c r="E972">
        <v>11</v>
      </c>
      <c r="F972" s="3">
        <v>81115</v>
      </c>
      <c r="G972">
        <v>52</v>
      </c>
      <c r="H972">
        <v>7</v>
      </c>
      <c r="I972">
        <v>3</v>
      </c>
      <c r="J972">
        <v>8</v>
      </c>
      <c r="K972">
        <v>3</v>
      </c>
      <c r="L972" s="3">
        <v>8.5</v>
      </c>
      <c r="M972" t="s">
        <v>1034</v>
      </c>
      <c r="N972">
        <v>71.67</v>
      </c>
    </row>
    <row r="973" spans="1:14" x14ac:dyDescent="0.3">
      <c r="A973" t="s">
        <v>983</v>
      </c>
      <c r="B973" t="s">
        <v>1016</v>
      </c>
      <c r="C973" t="s">
        <v>1023</v>
      </c>
      <c r="D973">
        <v>51</v>
      </c>
      <c r="E973">
        <v>5</v>
      </c>
      <c r="F973" s="3">
        <v>62824</v>
      </c>
      <c r="G973">
        <v>39</v>
      </c>
      <c r="H973">
        <v>8</v>
      </c>
      <c r="I973">
        <v>22</v>
      </c>
      <c r="J973">
        <v>30</v>
      </c>
      <c r="K973">
        <v>2.9</v>
      </c>
      <c r="L973" s="3">
        <v>4</v>
      </c>
      <c r="M973" t="s">
        <v>1036</v>
      </c>
      <c r="N973">
        <v>46.03</v>
      </c>
    </row>
    <row r="974" spans="1:14" x14ac:dyDescent="0.3">
      <c r="A974" t="s">
        <v>984</v>
      </c>
      <c r="B974" t="s">
        <v>1018</v>
      </c>
      <c r="C974" t="s">
        <v>1027</v>
      </c>
      <c r="D974">
        <v>22</v>
      </c>
      <c r="E974">
        <v>1</v>
      </c>
      <c r="F974" s="3">
        <v>72576</v>
      </c>
      <c r="G974">
        <v>53</v>
      </c>
      <c r="H974">
        <v>2</v>
      </c>
      <c r="I974">
        <v>21</v>
      </c>
      <c r="J974">
        <v>9</v>
      </c>
      <c r="K974">
        <v>3.1</v>
      </c>
      <c r="L974" s="3">
        <v>9.9</v>
      </c>
      <c r="M974" t="s">
        <v>1034</v>
      </c>
      <c r="N974">
        <v>72.03</v>
      </c>
    </row>
    <row r="975" spans="1:14" x14ac:dyDescent="0.3">
      <c r="A975" t="s">
        <v>985</v>
      </c>
      <c r="B975" t="s">
        <v>1018</v>
      </c>
      <c r="C975" t="s">
        <v>1027</v>
      </c>
      <c r="D975">
        <v>25</v>
      </c>
      <c r="E975">
        <v>0</v>
      </c>
      <c r="F975" s="3">
        <v>48303</v>
      </c>
      <c r="G975">
        <v>50</v>
      </c>
      <c r="H975">
        <v>3</v>
      </c>
      <c r="I975">
        <v>1</v>
      </c>
      <c r="J975">
        <v>7</v>
      </c>
      <c r="K975">
        <v>4.9000000000000004</v>
      </c>
      <c r="L975" s="3">
        <v>7.6</v>
      </c>
      <c r="M975" t="s">
        <v>1035</v>
      </c>
      <c r="N975">
        <v>65.3</v>
      </c>
    </row>
    <row r="976" spans="1:14" x14ac:dyDescent="0.3">
      <c r="A976" t="s">
        <v>986</v>
      </c>
      <c r="B976" t="s">
        <v>1017</v>
      </c>
      <c r="C976" t="s">
        <v>1024</v>
      </c>
      <c r="D976">
        <v>31</v>
      </c>
      <c r="E976">
        <v>10</v>
      </c>
      <c r="F976" s="3">
        <v>72353</v>
      </c>
      <c r="G976">
        <v>47</v>
      </c>
      <c r="H976">
        <v>4</v>
      </c>
      <c r="I976">
        <v>1</v>
      </c>
      <c r="J976">
        <v>7</v>
      </c>
      <c r="K976">
        <v>2.7</v>
      </c>
      <c r="L976" s="3">
        <v>6.4</v>
      </c>
      <c r="M976" t="s">
        <v>1035</v>
      </c>
      <c r="N976">
        <v>53.17</v>
      </c>
    </row>
    <row r="977" spans="1:14" x14ac:dyDescent="0.3">
      <c r="A977" t="s">
        <v>987</v>
      </c>
      <c r="B977" t="s">
        <v>1015</v>
      </c>
      <c r="C977" t="s">
        <v>1020</v>
      </c>
      <c r="D977">
        <v>33</v>
      </c>
      <c r="E977">
        <v>10</v>
      </c>
      <c r="F977" s="3">
        <v>73837</v>
      </c>
      <c r="G977">
        <v>47</v>
      </c>
      <c r="H977">
        <v>13</v>
      </c>
      <c r="I977">
        <v>22</v>
      </c>
      <c r="J977">
        <v>5</v>
      </c>
      <c r="K977">
        <v>4.3</v>
      </c>
      <c r="L977" s="3">
        <v>9.1</v>
      </c>
      <c r="M977" t="s">
        <v>1034</v>
      </c>
      <c r="N977">
        <v>89.17</v>
      </c>
    </row>
    <row r="978" spans="1:14" x14ac:dyDescent="0.3">
      <c r="A978" t="s">
        <v>988</v>
      </c>
      <c r="B978" t="s">
        <v>1017</v>
      </c>
      <c r="C978" t="s">
        <v>1024</v>
      </c>
      <c r="D978">
        <v>39</v>
      </c>
      <c r="E978">
        <v>14</v>
      </c>
      <c r="F978" s="3">
        <v>49072</v>
      </c>
      <c r="G978">
        <v>35</v>
      </c>
      <c r="H978">
        <v>2</v>
      </c>
      <c r="I978">
        <v>3</v>
      </c>
      <c r="J978">
        <v>5</v>
      </c>
      <c r="K978">
        <v>2.4</v>
      </c>
      <c r="L978" s="3">
        <v>7.5</v>
      </c>
      <c r="M978" t="s">
        <v>1035</v>
      </c>
      <c r="N978">
        <v>55.53</v>
      </c>
    </row>
    <row r="979" spans="1:14" x14ac:dyDescent="0.3">
      <c r="A979" t="s">
        <v>989</v>
      </c>
      <c r="B979" t="s">
        <v>1018</v>
      </c>
      <c r="C979" t="s">
        <v>1032</v>
      </c>
      <c r="D979">
        <v>23</v>
      </c>
      <c r="E979">
        <v>2</v>
      </c>
      <c r="F979" s="3">
        <v>62550</v>
      </c>
      <c r="G979">
        <v>53</v>
      </c>
      <c r="H979">
        <v>8</v>
      </c>
      <c r="I979">
        <v>8</v>
      </c>
      <c r="J979">
        <v>6</v>
      </c>
      <c r="K979">
        <v>4.4000000000000004</v>
      </c>
      <c r="L979" s="3">
        <v>4.3</v>
      </c>
      <c r="M979" t="s">
        <v>1036</v>
      </c>
      <c r="N979">
        <v>52.33</v>
      </c>
    </row>
    <row r="980" spans="1:14" x14ac:dyDescent="0.3">
      <c r="A980" t="s">
        <v>990</v>
      </c>
      <c r="B980" t="s">
        <v>1017</v>
      </c>
      <c r="C980" t="s">
        <v>1030</v>
      </c>
      <c r="D980">
        <v>41</v>
      </c>
      <c r="E980">
        <v>4</v>
      </c>
      <c r="F980" s="3">
        <v>31516</v>
      </c>
      <c r="G980">
        <v>45</v>
      </c>
      <c r="H980">
        <v>2</v>
      </c>
      <c r="I980">
        <v>22</v>
      </c>
      <c r="J980">
        <v>34</v>
      </c>
      <c r="K980">
        <v>2.6</v>
      </c>
      <c r="L980" s="3">
        <v>8.6999999999999993</v>
      </c>
      <c r="M980" t="s">
        <v>1034</v>
      </c>
      <c r="N980">
        <v>63.33</v>
      </c>
    </row>
    <row r="981" spans="1:14" x14ac:dyDescent="0.3">
      <c r="A981" t="s">
        <v>991</v>
      </c>
      <c r="B981" t="s">
        <v>1017</v>
      </c>
      <c r="C981" t="s">
        <v>1030</v>
      </c>
      <c r="D981">
        <v>55</v>
      </c>
      <c r="E981">
        <v>15</v>
      </c>
      <c r="F981" s="3">
        <v>29189</v>
      </c>
      <c r="G981">
        <v>51</v>
      </c>
      <c r="H981">
        <v>14</v>
      </c>
      <c r="I981">
        <v>18</v>
      </c>
      <c r="J981">
        <v>34</v>
      </c>
      <c r="K981">
        <v>4.0999999999999996</v>
      </c>
      <c r="L981" s="3">
        <v>8.5</v>
      </c>
      <c r="M981" t="s">
        <v>1034</v>
      </c>
      <c r="N981">
        <v>86.63</v>
      </c>
    </row>
    <row r="982" spans="1:14" x14ac:dyDescent="0.3">
      <c r="A982" t="s">
        <v>992</v>
      </c>
      <c r="B982" t="s">
        <v>1018</v>
      </c>
      <c r="C982" t="s">
        <v>1028</v>
      </c>
      <c r="D982">
        <v>29</v>
      </c>
      <c r="E982">
        <v>2</v>
      </c>
      <c r="F982" s="3">
        <v>81492</v>
      </c>
      <c r="G982">
        <v>54</v>
      </c>
      <c r="H982">
        <v>12</v>
      </c>
      <c r="I982">
        <v>5</v>
      </c>
      <c r="J982">
        <v>0</v>
      </c>
      <c r="K982">
        <v>3.7</v>
      </c>
      <c r="L982" s="3">
        <v>8.6</v>
      </c>
      <c r="M982" t="s">
        <v>1034</v>
      </c>
      <c r="N982">
        <v>82.7</v>
      </c>
    </row>
    <row r="983" spans="1:14" x14ac:dyDescent="0.3">
      <c r="A983" t="s">
        <v>993</v>
      </c>
      <c r="B983" t="s">
        <v>1014</v>
      </c>
      <c r="C983" t="s">
        <v>1019</v>
      </c>
      <c r="D983">
        <v>30</v>
      </c>
      <c r="E983">
        <v>9</v>
      </c>
      <c r="F983" s="3">
        <v>38515</v>
      </c>
      <c r="G983">
        <v>55</v>
      </c>
      <c r="H983">
        <v>3</v>
      </c>
      <c r="I983">
        <v>2</v>
      </c>
      <c r="J983">
        <v>35</v>
      </c>
      <c r="K983">
        <v>2.8</v>
      </c>
      <c r="L983" s="3">
        <v>8.3000000000000007</v>
      </c>
      <c r="M983" t="s">
        <v>1034</v>
      </c>
      <c r="N983">
        <v>63.2</v>
      </c>
    </row>
    <row r="984" spans="1:14" x14ac:dyDescent="0.3">
      <c r="A984" t="s">
        <v>994</v>
      </c>
      <c r="B984" t="s">
        <v>1014</v>
      </c>
      <c r="C984" t="s">
        <v>1025</v>
      </c>
      <c r="D984">
        <v>54</v>
      </c>
      <c r="E984">
        <v>9</v>
      </c>
      <c r="F984" s="3">
        <v>48826</v>
      </c>
      <c r="G984">
        <v>52</v>
      </c>
      <c r="H984">
        <v>3</v>
      </c>
      <c r="I984">
        <v>13</v>
      </c>
      <c r="J984">
        <v>0</v>
      </c>
      <c r="K984">
        <v>2.7</v>
      </c>
      <c r="L984" s="3">
        <v>3.3</v>
      </c>
      <c r="M984" t="s">
        <v>1036</v>
      </c>
      <c r="N984">
        <v>32.9</v>
      </c>
    </row>
    <row r="985" spans="1:14" x14ac:dyDescent="0.3">
      <c r="A985" t="s">
        <v>995</v>
      </c>
      <c r="B985" t="s">
        <v>1016</v>
      </c>
      <c r="C985" t="s">
        <v>1022</v>
      </c>
      <c r="D985">
        <v>50</v>
      </c>
      <c r="E985">
        <v>4</v>
      </c>
      <c r="F985" s="3">
        <v>62818</v>
      </c>
      <c r="G985">
        <v>50</v>
      </c>
      <c r="H985">
        <v>12</v>
      </c>
      <c r="I985">
        <v>10</v>
      </c>
      <c r="J985">
        <v>33</v>
      </c>
      <c r="K985">
        <v>4.7</v>
      </c>
      <c r="L985" s="3">
        <v>10</v>
      </c>
      <c r="M985" t="s">
        <v>1034</v>
      </c>
      <c r="N985">
        <v>94.1</v>
      </c>
    </row>
    <row r="986" spans="1:14" x14ac:dyDescent="0.3">
      <c r="A986" t="s">
        <v>996</v>
      </c>
      <c r="B986" t="s">
        <v>1015</v>
      </c>
      <c r="C986" t="s">
        <v>1029</v>
      </c>
      <c r="D986">
        <v>54</v>
      </c>
      <c r="E986">
        <v>6</v>
      </c>
      <c r="F986" s="3">
        <v>70084</v>
      </c>
      <c r="G986">
        <v>38</v>
      </c>
      <c r="H986">
        <v>11</v>
      </c>
      <c r="I986">
        <v>1</v>
      </c>
      <c r="J986">
        <v>15</v>
      </c>
      <c r="K986">
        <v>2.1</v>
      </c>
      <c r="L986" s="3">
        <v>4</v>
      </c>
      <c r="M986" t="s">
        <v>1036</v>
      </c>
      <c r="N986">
        <v>48.63</v>
      </c>
    </row>
    <row r="987" spans="1:14" x14ac:dyDescent="0.3">
      <c r="A987" t="s">
        <v>997</v>
      </c>
      <c r="B987" t="s">
        <v>1018</v>
      </c>
      <c r="C987" t="s">
        <v>1032</v>
      </c>
      <c r="D987">
        <v>35</v>
      </c>
      <c r="E987">
        <v>9</v>
      </c>
      <c r="F987" s="3">
        <v>48531</v>
      </c>
      <c r="G987">
        <v>43</v>
      </c>
      <c r="H987">
        <v>3</v>
      </c>
      <c r="I987">
        <v>23</v>
      </c>
      <c r="J987">
        <v>39</v>
      </c>
      <c r="K987">
        <v>3.3</v>
      </c>
      <c r="L987" s="3">
        <v>6.8</v>
      </c>
      <c r="M987" t="s">
        <v>1035</v>
      </c>
      <c r="N987">
        <v>55.7</v>
      </c>
    </row>
    <row r="988" spans="1:14" x14ac:dyDescent="0.3">
      <c r="A988" t="s">
        <v>998</v>
      </c>
      <c r="B988" t="s">
        <v>1017</v>
      </c>
      <c r="C988" t="s">
        <v>1030</v>
      </c>
      <c r="D988">
        <v>32</v>
      </c>
      <c r="E988">
        <v>6</v>
      </c>
      <c r="F988" s="3">
        <v>54888</v>
      </c>
      <c r="G988">
        <v>37</v>
      </c>
      <c r="H988">
        <v>5</v>
      </c>
      <c r="I988">
        <v>21</v>
      </c>
      <c r="J988">
        <v>27</v>
      </c>
      <c r="K988">
        <v>4.8</v>
      </c>
      <c r="L988" s="3">
        <v>4</v>
      </c>
      <c r="M988" t="s">
        <v>1036</v>
      </c>
      <c r="N988">
        <v>46.73</v>
      </c>
    </row>
    <row r="989" spans="1:14" x14ac:dyDescent="0.3">
      <c r="A989" t="s">
        <v>999</v>
      </c>
      <c r="B989" t="s">
        <v>1014</v>
      </c>
      <c r="C989" t="s">
        <v>1019</v>
      </c>
      <c r="D989">
        <v>39</v>
      </c>
      <c r="E989">
        <v>6</v>
      </c>
      <c r="F989" s="3">
        <v>71821</v>
      </c>
      <c r="G989">
        <v>46</v>
      </c>
      <c r="H989">
        <v>10</v>
      </c>
      <c r="I989">
        <v>21</v>
      </c>
      <c r="J989">
        <v>32</v>
      </c>
      <c r="K989">
        <v>3.8</v>
      </c>
      <c r="L989" s="3">
        <v>5.9</v>
      </c>
      <c r="M989" t="s">
        <v>1036</v>
      </c>
      <c r="N989">
        <v>63.47</v>
      </c>
    </row>
    <row r="990" spans="1:14" x14ac:dyDescent="0.3">
      <c r="A990" t="s">
        <v>1000</v>
      </c>
      <c r="B990" t="s">
        <v>1016</v>
      </c>
      <c r="C990" t="s">
        <v>1022</v>
      </c>
      <c r="D990">
        <v>49</v>
      </c>
      <c r="E990">
        <v>12</v>
      </c>
      <c r="F990" s="3">
        <v>26698</v>
      </c>
      <c r="G990">
        <v>54</v>
      </c>
      <c r="H990">
        <v>4</v>
      </c>
      <c r="I990">
        <v>2</v>
      </c>
      <c r="J990">
        <v>17</v>
      </c>
      <c r="K990">
        <v>2.4</v>
      </c>
      <c r="L990" s="3">
        <v>3.8</v>
      </c>
      <c r="M990" t="s">
        <v>1036</v>
      </c>
      <c r="N990">
        <v>36.67</v>
      </c>
    </row>
    <row r="991" spans="1:14" x14ac:dyDescent="0.3">
      <c r="A991" t="s">
        <v>1001</v>
      </c>
      <c r="B991" t="s">
        <v>1017</v>
      </c>
      <c r="C991" t="s">
        <v>1026</v>
      </c>
      <c r="D991">
        <v>26</v>
      </c>
      <c r="E991">
        <v>2</v>
      </c>
      <c r="F991" s="3">
        <v>66954</v>
      </c>
      <c r="G991">
        <v>37</v>
      </c>
      <c r="H991">
        <v>6</v>
      </c>
      <c r="I991">
        <v>10</v>
      </c>
      <c r="J991">
        <v>17</v>
      </c>
      <c r="K991">
        <v>2.4</v>
      </c>
      <c r="L991" s="3">
        <v>8.6</v>
      </c>
      <c r="M991" t="s">
        <v>1034</v>
      </c>
      <c r="N991">
        <v>68.8</v>
      </c>
    </row>
    <row r="992" spans="1:14" x14ac:dyDescent="0.3">
      <c r="A992" t="s">
        <v>1002</v>
      </c>
      <c r="B992" t="s">
        <v>1014</v>
      </c>
      <c r="C992" t="s">
        <v>1031</v>
      </c>
      <c r="D992">
        <v>28</v>
      </c>
      <c r="E992">
        <v>6</v>
      </c>
      <c r="F992" s="3">
        <v>89191</v>
      </c>
      <c r="G992">
        <v>42</v>
      </c>
      <c r="H992">
        <v>7</v>
      </c>
      <c r="I992">
        <v>3</v>
      </c>
      <c r="J992">
        <v>7</v>
      </c>
      <c r="K992">
        <v>2.5</v>
      </c>
      <c r="L992" s="3">
        <v>8.1</v>
      </c>
      <c r="M992" t="s">
        <v>1034</v>
      </c>
      <c r="N992">
        <v>67.77</v>
      </c>
    </row>
    <row r="993" spans="1:14" x14ac:dyDescent="0.3">
      <c r="A993" t="s">
        <v>1003</v>
      </c>
      <c r="B993" t="s">
        <v>1015</v>
      </c>
      <c r="C993" t="s">
        <v>1029</v>
      </c>
      <c r="D993">
        <v>53</v>
      </c>
      <c r="E993">
        <v>3</v>
      </c>
      <c r="F993" s="3">
        <v>59665</v>
      </c>
      <c r="G993">
        <v>46</v>
      </c>
      <c r="H993">
        <v>12</v>
      </c>
      <c r="I993">
        <v>18</v>
      </c>
      <c r="J993">
        <v>18</v>
      </c>
      <c r="K993">
        <v>3.7</v>
      </c>
      <c r="L993" s="3">
        <v>7.3</v>
      </c>
      <c r="M993" t="s">
        <v>1035</v>
      </c>
      <c r="N993">
        <v>74.900000000000006</v>
      </c>
    </row>
    <row r="994" spans="1:14" x14ac:dyDescent="0.3">
      <c r="A994" t="s">
        <v>1004</v>
      </c>
      <c r="B994" t="s">
        <v>1018</v>
      </c>
      <c r="C994" t="s">
        <v>1032</v>
      </c>
      <c r="D994">
        <v>42</v>
      </c>
      <c r="E994">
        <v>12</v>
      </c>
      <c r="F994" s="3">
        <v>36840</v>
      </c>
      <c r="G994">
        <v>46</v>
      </c>
      <c r="H994">
        <v>13</v>
      </c>
      <c r="I994">
        <v>23</v>
      </c>
      <c r="J994">
        <v>34</v>
      </c>
      <c r="K994">
        <v>3.7</v>
      </c>
      <c r="L994" s="3">
        <v>9.1999999999999993</v>
      </c>
      <c r="M994" t="s">
        <v>1034</v>
      </c>
      <c r="N994">
        <v>87.97</v>
      </c>
    </row>
    <row r="995" spans="1:14" x14ac:dyDescent="0.3">
      <c r="A995" t="s">
        <v>1005</v>
      </c>
      <c r="B995" t="s">
        <v>1017</v>
      </c>
      <c r="C995" t="s">
        <v>1026</v>
      </c>
      <c r="D995">
        <v>30</v>
      </c>
      <c r="E995">
        <v>4</v>
      </c>
      <c r="F995" s="3">
        <v>25622</v>
      </c>
      <c r="G995">
        <v>51</v>
      </c>
      <c r="H995">
        <v>12</v>
      </c>
      <c r="I995">
        <v>4</v>
      </c>
      <c r="J995">
        <v>8</v>
      </c>
      <c r="K995">
        <v>2.4</v>
      </c>
      <c r="L995" s="3">
        <v>7</v>
      </c>
      <c r="M995" t="s">
        <v>1035</v>
      </c>
      <c r="N995">
        <v>69.2</v>
      </c>
    </row>
    <row r="996" spans="1:14" x14ac:dyDescent="0.3">
      <c r="A996" t="s">
        <v>1006</v>
      </c>
      <c r="B996" t="s">
        <v>1014</v>
      </c>
      <c r="C996" t="s">
        <v>1031</v>
      </c>
      <c r="D996">
        <v>45</v>
      </c>
      <c r="E996">
        <v>7</v>
      </c>
      <c r="F996" s="3">
        <v>69447</v>
      </c>
      <c r="G996">
        <v>54</v>
      </c>
      <c r="H996">
        <v>7</v>
      </c>
      <c r="I996">
        <v>22</v>
      </c>
      <c r="J996">
        <v>29</v>
      </c>
      <c r="K996">
        <v>2.5</v>
      </c>
      <c r="L996" s="3">
        <v>9.9</v>
      </c>
      <c r="M996" t="s">
        <v>1034</v>
      </c>
      <c r="N996">
        <v>78.569999999999993</v>
      </c>
    </row>
    <row r="997" spans="1:14" x14ac:dyDescent="0.3">
      <c r="A997" t="s">
        <v>1007</v>
      </c>
      <c r="B997" t="s">
        <v>1015</v>
      </c>
      <c r="C997" t="s">
        <v>1021</v>
      </c>
      <c r="D997">
        <v>40</v>
      </c>
      <c r="E997">
        <v>8</v>
      </c>
      <c r="F997" s="3">
        <v>87430</v>
      </c>
      <c r="G997">
        <v>48</v>
      </c>
      <c r="H997">
        <v>9</v>
      </c>
      <c r="I997">
        <v>22</v>
      </c>
      <c r="J997">
        <v>14</v>
      </c>
      <c r="K997">
        <v>2.9</v>
      </c>
      <c r="L997" s="3">
        <v>9</v>
      </c>
      <c r="M997" t="s">
        <v>1034</v>
      </c>
      <c r="N997">
        <v>77.7</v>
      </c>
    </row>
    <row r="998" spans="1:14" x14ac:dyDescent="0.3">
      <c r="A998" t="s">
        <v>1008</v>
      </c>
      <c r="B998" t="s">
        <v>1017</v>
      </c>
      <c r="C998" t="s">
        <v>1030</v>
      </c>
      <c r="D998">
        <v>42</v>
      </c>
      <c r="E998">
        <v>2</v>
      </c>
      <c r="F998" s="3">
        <v>66594</v>
      </c>
      <c r="G998">
        <v>37</v>
      </c>
      <c r="H998">
        <v>2</v>
      </c>
      <c r="I998">
        <v>23</v>
      </c>
      <c r="J998">
        <v>15</v>
      </c>
      <c r="K998">
        <v>4.8</v>
      </c>
      <c r="L998" s="3">
        <v>4.2</v>
      </c>
      <c r="M998" t="s">
        <v>1036</v>
      </c>
      <c r="N998">
        <v>42.93</v>
      </c>
    </row>
    <row r="999" spans="1:14" x14ac:dyDescent="0.3">
      <c r="A999" t="s">
        <v>1009</v>
      </c>
      <c r="B999" t="s">
        <v>1014</v>
      </c>
      <c r="C999" t="s">
        <v>1031</v>
      </c>
      <c r="D999">
        <v>40</v>
      </c>
      <c r="E999">
        <v>15</v>
      </c>
      <c r="F999" s="3">
        <v>77975</v>
      </c>
      <c r="G999">
        <v>35</v>
      </c>
      <c r="H999">
        <v>7</v>
      </c>
      <c r="I999">
        <v>21</v>
      </c>
      <c r="J999">
        <v>32</v>
      </c>
      <c r="K999">
        <v>4.8</v>
      </c>
      <c r="L999" s="3">
        <v>4</v>
      </c>
      <c r="M999" t="s">
        <v>1036</v>
      </c>
      <c r="N999">
        <v>50.07</v>
      </c>
    </row>
    <row r="1000" spans="1:14" x14ac:dyDescent="0.3">
      <c r="A1000" t="s">
        <v>1010</v>
      </c>
      <c r="B1000" t="s">
        <v>1015</v>
      </c>
      <c r="C1000" t="s">
        <v>1020</v>
      </c>
      <c r="D1000">
        <v>29</v>
      </c>
      <c r="E1000">
        <v>6</v>
      </c>
      <c r="F1000" s="3">
        <v>25910</v>
      </c>
      <c r="G1000">
        <v>54</v>
      </c>
      <c r="H1000">
        <v>4</v>
      </c>
      <c r="I1000">
        <v>23</v>
      </c>
      <c r="J1000">
        <v>0</v>
      </c>
      <c r="K1000">
        <v>4.0999999999999996</v>
      </c>
      <c r="L1000" s="3">
        <v>7.9</v>
      </c>
      <c r="M1000" t="s">
        <v>1035</v>
      </c>
      <c r="N1000">
        <v>66.37</v>
      </c>
    </row>
    <row r="1001" spans="1:14" x14ac:dyDescent="0.3">
      <c r="A1001" t="s">
        <v>1011</v>
      </c>
      <c r="B1001" t="s">
        <v>1016</v>
      </c>
      <c r="C1001" t="s">
        <v>1033</v>
      </c>
      <c r="D1001">
        <v>37</v>
      </c>
      <c r="E1001">
        <v>1</v>
      </c>
      <c r="F1001" s="3">
        <v>64804</v>
      </c>
      <c r="G1001">
        <v>49</v>
      </c>
      <c r="H1001">
        <v>3</v>
      </c>
      <c r="I1001">
        <v>21</v>
      </c>
      <c r="J1001">
        <v>33</v>
      </c>
      <c r="K1001">
        <v>4.7</v>
      </c>
      <c r="L1001" s="3">
        <v>4.2</v>
      </c>
      <c r="M1001" t="s">
        <v>1036</v>
      </c>
      <c r="N1001">
        <v>44.3</v>
      </c>
    </row>
    <row r="1002" spans="1:14" x14ac:dyDescent="0.3">
      <c r="A1002" t="s">
        <v>1012</v>
      </c>
      <c r="B1002" t="s">
        <v>1018</v>
      </c>
      <c r="C1002" t="s">
        <v>1032</v>
      </c>
      <c r="D1002">
        <v>54</v>
      </c>
      <c r="E1002">
        <v>11</v>
      </c>
      <c r="F1002" s="3">
        <v>87421</v>
      </c>
      <c r="G1002">
        <v>36</v>
      </c>
      <c r="H1002">
        <v>7</v>
      </c>
      <c r="I1002">
        <v>15</v>
      </c>
      <c r="J1002">
        <v>24</v>
      </c>
      <c r="K1002">
        <v>2.5</v>
      </c>
      <c r="L1002" s="3">
        <v>9.8000000000000007</v>
      </c>
      <c r="M1002" t="s">
        <v>1034</v>
      </c>
      <c r="N1002">
        <v>77.97</v>
      </c>
    </row>
    <row r="1003" spans="1:14" x14ac:dyDescent="0.3">
      <c r="A1003" t="s">
        <v>1013</v>
      </c>
      <c r="B1003" t="s">
        <v>1018</v>
      </c>
      <c r="C1003" t="s">
        <v>1032</v>
      </c>
      <c r="D1003">
        <v>29</v>
      </c>
      <c r="E1003">
        <v>4</v>
      </c>
      <c r="F1003" s="3">
        <v>44606</v>
      </c>
      <c r="G1003">
        <v>50</v>
      </c>
      <c r="H1003">
        <v>5</v>
      </c>
      <c r="I1003">
        <v>8</v>
      </c>
      <c r="J1003">
        <v>13</v>
      </c>
      <c r="K1003">
        <v>2</v>
      </c>
      <c r="L1003" s="3">
        <v>7.4</v>
      </c>
      <c r="M1003" t="s">
        <v>1035</v>
      </c>
      <c r="N1003">
        <v>58.73</v>
      </c>
    </row>
  </sheetData>
  <conditionalFormatting sqref="L1:L1048576">
    <cfRule type="cellIs" dxfId="1" priority="1" operator="lessThan">
      <formula>6</formula>
    </cfRule>
    <cfRule type="cellIs" dxfId="0" priority="2" operator="greaterThan">
      <formula>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BE2A-A6B0-4445-AD42-0D60517D8A35}">
  <dimension ref="A1:N1004"/>
  <sheetViews>
    <sheetView workbookViewId="0"/>
  </sheetViews>
  <sheetFormatPr defaultRowHeight="14.4" x14ac:dyDescent="0.3"/>
  <cols>
    <col min="1" max="1" width="18.5546875" customWidth="1"/>
    <col min="2" max="2" width="28" customWidth="1"/>
    <col min="3" max="3" width="23.109375" customWidth="1"/>
    <col min="4" max="4" width="24" customWidth="1"/>
    <col min="5" max="5" width="29.88671875" customWidth="1"/>
    <col min="6" max="6" width="24.109375" customWidth="1"/>
    <col min="7" max="7" width="25.5546875" customWidth="1"/>
    <col min="8" max="8" width="25.6640625" customWidth="1"/>
    <col min="9" max="9" width="30.77734375" customWidth="1"/>
    <col min="10" max="10" width="25.88671875" customWidth="1"/>
    <col min="11" max="11" width="29.5546875" customWidth="1"/>
    <col min="12" max="12" width="36.5546875" customWidth="1"/>
    <col min="13" max="13" width="41.88671875" customWidth="1"/>
    <col min="14" max="14" width="60.33203125" customWidth="1"/>
  </cols>
  <sheetData>
    <row r="1" spans="1:14" ht="16.2" x14ac:dyDescent="0.4">
      <c r="A1" s="17" t="s">
        <v>1084</v>
      </c>
    </row>
    <row r="4" spans="1:14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2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2" t="s">
        <v>11</v>
      </c>
      <c r="M4" s="1" t="s">
        <v>12</v>
      </c>
      <c r="N4" s="1" t="s">
        <v>13</v>
      </c>
    </row>
    <row r="5" spans="1:14" x14ac:dyDescent="0.3">
      <c r="A5" t="s">
        <v>107</v>
      </c>
      <c r="B5" t="s">
        <v>1015</v>
      </c>
      <c r="C5" t="s">
        <v>1020</v>
      </c>
      <c r="D5">
        <v>30</v>
      </c>
      <c r="E5">
        <v>1</v>
      </c>
      <c r="F5" s="3">
        <v>43104</v>
      </c>
      <c r="G5">
        <v>48</v>
      </c>
      <c r="H5">
        <v>6</v>
      </c>
      <c r="I5">
        <v>25</v>
      </c>
      <c r="J5">
        <v>32</v>
      </c>
      <c r="K5">
        <v>2.8</v>
      </c>
      <c r="L5" s="3">
        <v>3</v>
      </c>
      <c r="M5" t="s">
        <v>1036</v>
      </c>
      <c r="N5">
        <v>36.4</v>
      </c>
    </row>
    <row r="6" spans="1:14" x14ac:dyDescent="0.3">
      <c r="A6" t="s">
        <v>178</v>
      </c>
      <c r="B6" t="s">
        <v>1014</v>
      </c>
      <c r="C6" t="s">
        <v>1031</v>
      </c>
      <c r="D6">
        <v>53</v>
      </c>
      <c r="E6">
        <v>0</v>
      </c>
      <c r="F6" s="3">
        <v>66415</v>
      </c>
      <c r="G6">
        <v>51</v>
      </c>
      <c r="H6">
        <v>10</v>
      </c>
      <c r="I6">
        <v>7</v>
      </c>
      <c r="J6">
        <v>9</v>
      </c>
      <c r="K6">
        <v>2.9</v>
      </c>
      <c r="L6" s="3">
        <v>3</v>
      </c>
      <c r="M6" t="s">
        <v>1036</v>
      </c>
      <c r="N6">
        <v>43.37</v>
      </c>
    </row>
    <row r="7" spans="1:14" x14ac:dyDescent="0.3">
      <c r="A7" t="s">
        <v>239</v>
      </c>
      <c r="B7" t="s">
        <v>1015</v>
      </c>
      <c r="C7" t="s">
        <v>1029</v>
      </c>
      <c r="D7">
        <v>25</v>
      </c>
      <c r="E7">
        <v>4</v>
      </c>
      <c r="F7" s="3">
        <v>55302</v>
      </c>
      <c r="G7">
        <v>44</v>
      </c>
      <c r="H7">
        <v>12</v>
      </c>
      <c r="I7">
        <v>0</v>
      </c>
      <c r="J7">
        <v>25</v>
      </c>
      <c r="K7">
        <v>2.8</v>
      </c>
      <c r="L7" s="3">
        <v>3</v>
      </c>
      <c r="M7" t="s">
        <v>1036</v>
      </c>
      <c r="N7">
        <v>46.4</v>
      </c>
    </row>
    <row r="8" spans="1:14" x14ac:dyDescent="0.3">
      <c r="A8" t="s">
        <v>311</v>
      </c>
      <c r="B8" t="s">
        <v>1014</v>
      </c>
      <c r="C8" t="s">
        <v>1031</v>
      </c>
      <c r="D8">
        <v>24</v>
      </c>
      <c r="E8">
        <v>0</v>
      </c>
      <c r="F8" s="3">
        <v>66037</v>
      </c>
      <c r="G8">
        <v>49</v>
      </c>
      <c r="H8">
        <v>1</v>
      </c>
      <c r="I8">
        <v>3</v>
      </c>
      <c r="J8">
        <v>10</v>
      </c>
      <c r="K8">
        <v>3.3</v>
      </c>
      <c r="L8" s="3">
        <v>3</v>
      </c>
      <c r="M8" t="s">
        <v>1036</v>
      </c>
      <c r="N8">
        <v>29.57</v>
      </c>
    </row>
    <row r="9" spans="1:14" x14ac:dyDescent="0.3">
      <c r="A9" t="s">
        <v>459</v>
      </c>
      <c r="B9" t="s">
        <v>1018</v>
      </c>
      <c r="C9" t="s">
        <v>1027</v>
      </c>
      <c r="D9">
        <v>41</v>
      </c>
      <c r="E9">
        <v>11</v>
      </c>
      <c r="F9" s="3">
        <v>87743</v>
      </c>
      <c r="G9">
        <v>35</v>
      </c>
      <c r="H9">
        <v>9</v>
      </c>
      <c r="I9">
        <v>17</v>
      </c>
      <c r="J9">
        <v>9</v>
      </c>
      <c r="K9">
        <v>2.4</v>
      </c>
      <c r="L9" s="3">
        <v>3</v>
      </c>
      <c r="M9" t="s">
        <v>1036</v>
      </c>
      <c r="N9">
        <v>40.200000000000003</v>
      </c>
    </row>
    <row r="10" spans="1:14" x14ac:dyDescent="0.3">
      <c r="A10" t="s">
        <v>677</v>
      </c>
      <c r="B10" t="s">
        <v>1014</v>
      </c>
      <c r="C10" t="s">
        <v>1019</v>
      </c>
      <c r="D10">
        <v>33</v>
      </c>
      <c r="E10">
        <v>11</v>
      </c>
      <c r="F10" s="3">
        <v>57760</v>
      </c>
      <c r="G10">
        <v>54</v>
      </c>
      <c r="H10">
        <v>2</v>
      </c>
      <c r="I10">
        <v>20</v>
      </c>
      <c r="J10">
        <v>19</v>
      </c>
      <c r="K10">
        <v>3</v>
      </c>
      <c r="L10" s="3">
        <v>3</v>
      </c>
      <c r="M10" t="s">
        <v>1036</v>
      </c>
      <c r="N10">
        <v>30.33</v>
      </c>
    </row>
    <row r="11" spans="1:14" x14ac:dyDescent="0.3">
      <c r="A11" t="s">
        <v>874</v>
      </c>
      <c r="B11" t="s">
        <v>1018</v>
      </c>
      <c r="C11" t="s">
        <v>1032</v>
      </c>
      <c r="D11">
        <v>23</v>
      </c>
      <c r="E11">
        <v>2</v>
      </c>
      <c r="F11" s="3">
        <v>69416</v>
      </c>
      <c r="G11">
        <v>52</v>
      </c>
      <c r="H11">
        <v>10</v>
      </c>
      <c r="I11">
        <v>8</v>
      </c>
      <c r="J11">
        <v>35</v>
      </c>
      <c r="K11">
        <v>4.5999999999999996</v>
      </c>
      <c r="L11" s="3">
        <v>3</v>
      </c>
      <c r="M11" t="s">
        <v>1036</v>
      </c>
      <c r="N11">
        <v>48.47</v>
      </c>
    </row>
    <row r="12" spans="1:14" x14ac:dyDescent="0.3">
      <c r="A12" t="s">
        <v>209</v>
      </c>
      <c r="B12" t="s">
        <v>1016</v>
      </c>
      <c r="C12" t="s">
        <v>1023</v>
      </c>
      <c r="D12">
        <v>25</v>
      </c>
      <c r="E12">
        <v>0</v>
      </c>
      <c r="F12" s="3">
        <v>43438</v>
      </c>
      <c r="G12">
        <v>50</v>
      </c>
      <c r="H12">
        <v>10</v>
      </c>
      <c r="I12">
        <v>20</v>
      </c>
      <c r="J12">
        <v>30</v>
      </c>
      <c r="K12">
        <v>2.9</v>
      </c>
      <c r="L12" s="3">
        <v>3.1</v>
      </c>
      <c r="M12" t="s">
        <v>1036</v>
      </c>
      <c r="N12">
        <v>43.97</v>
      </c>
    </row>
    <row r="13" spans="1:14" x14ac:dyDescent="0.3">
      <c r="A13" t="s">
        <v>314</v>
      </c>
      <c r="B13" t="s">
        <v>1014</v>
      </c>
      <c r="C13" t="s">
        <v>1025</v>
      </c>
      <c r="D13">
        <v>35</v>
      </c>
      <c r="E13">
        <v>7</v>
      </c>
      <c r="F13" s="3">
        <v>30107</v>
      </c>
      <c r="G13">
        <v>39</v>
      </c>
      <c r="H13">
        <v>10</v>
      </c>
      <c r="I13">
        <v>7</v>
      </c>
      <c r="J13">
        <v>33</v>
      </c>
      <c r="K13">
        <v>4</v>
      </c>
      <c r="L13" s="3">
        <v>3.1</v>
      </c>
      <c r="M13" t="s">
        <v>1036</v>
      </c>
      <c r="N13">
        <v>47.27</v>
      </c>
    </row>
    <row r="14" spans="1:14" x14ac:dyDescent="0.3">
      <c r="A14" t="s">
        <v>511</v>
      </c>
      <c r="B14" t="s">
        <v>1016</v>
      </c>
      <c r="C14" t="s">
        <v>1033</v>
      </c>
      <c r="D14">
        <v>37</v>
      </c>
      <c r="E14">
        <v>13</v>
      </c>
      <c r="F14" s="3">
        <v>81119</v>
      </c>
      <c r="G14">
        <v>47</v>
      </c>
      <c r="H14">
        <v>4</v>
      </c>
      <c r="I14">
        <v>4</v>
      </c>
      <c r="J14">
        <v>9</v>
      </c>
      <c r="K14">
        <v>3.4</v>
      </c>
      <c r="L14" s="3">
        <v>3.1</v>
      </c>
      <c r="M14" t="s">
        <v>1036</v>
      </c>
      <c r="N14">
        <v>35.47</v>
      </c>
    </row>
    <row r="15" spans="1:14" x14ac:dyDescent="0.3">
      <c r="A15" t="s">
        <v>526</v>
      </c>
      <c r="B15" t="s">
        <v>1017</v>
      </c>
      <c r="C15" t="s">
        <v>1026</v>
      </c>
      <c r="D15">
        <v>52</v>
      </c>
      <c r="E15">
        <v>9</v>
      </c>
      <c r="F15" s="3">
        <v>25598</v>
      </c>
      <c r="G15">
        <v>48</v>
      </c>
      <c r="H15">
        <v>13</v>
      </c>
      <c r="I15">
        <v>9</v>
      </c>
      <c r="J15">
        <v>38</v>
      </c>
      <c r="K15">
        <v>2.7</v>
      </c>
      <c r="L15" s="3">
        <v>3.1</v>
      </c>
      <c r="M15" t="s">
        <v>1036</v>
      </c>
      <c r="N15">
        <v>48.37</v>
      </c>
    </row>
    <row r="16" spans="1:14" x14ac:dyDescent="0.3">
      <c r="A16" t="s">
        <v>537</v>
      </c>
      <c r="B16" t="s">
        <v>1016</v>
      </c>
      <c r="C16" t="s">
        <v>1023</v>
      </c>
      <c r="D16">
        <v>22</v>
      </c>
      <c r="E16">
        <v>0</v>
      </c>
      <c r="F16" s="3">
        <v>77061</v>
      </c>
      <c r="G16">
        <v>43</v>
      </c>
      <c r="H16">
        <v>10</v>
      </c>
      <c r="I16">
        <v>3</v>
      </c>
      <c r="J16">
        <v>25</v>
      </c>
      <c r="K16">
        <v>4.4000000000000004</v>
      </c>
      <c r="L16" s="3">
        <v>3.1</v>
      </c>
      <c r="M16" t="s">
        <v>1036</v>
      </c>
      <c r="N16">
        <v>48.47</v>
      </c>
    </row>
    <row r="17" spans="1:14" x14ac:dyDescent="0.3">
      <c r="A17" t="s">
        <v>571</v>
      </c>
      <c r="B17" t="s">
        <v>1017</v>
      </c>
      <c r="C17" t="s">
        <v>1024</v>
      </c>
      <c r="D17">
        <v>22</v>
      </c>
      <c r="E17">
        <v>0</v>
      </c>
      <c r="F17" s="3">
        <v>50470</v>
      </c>
      <c r="G17">
        <v>43</v>
      </c>
      <c r="H17">
        <v>11</v>
      </c>
      <c r="I17">
        <v>21</v>
      </c>
      <c r="J17">
        <v>23</v>
      </c>
      <c r="K17">
        <v>4.5999999999999996</v>
      </c>
      <c r="L17" s="3">
        <v>3.1</v>
      </c>
      <c r="M17" t="s">
        <v>1036</v>
      </c>
      <c r="N17">
        <v>50.73</v>
      </c>
    </row>
    <row r="18" spans="1:14" x14ac:dyDescent="0.3">
      <c r="A18" t="s">
        <v>910</v>
      </c>
      <c r="B18" t="s">
        <v>1017</v>
      </c>
      <c r="C18" t="s">
        <v>1024</v>
      </c>
      <c r="D18">
        <v>50</v>
      </c>
      <c r="E18">
        <v>0</v>
      </c>
      <c r="F18" s="3">
        <v>49556</v>
      </c>
      <c r="G18">
        <v>39</v>
      </c>
      <c r="H18">
        <v>10</v>
      </c>
      <c r="I18">
        <v>4</v>
      </c>
      <c r="J18">
        <v>19</v>
      </c>
      <c r="K18">
        <v>4.8</v>
      </c>
      <c r="L18" s="3">
        <v>3.1</v>
      </c>
      <c r="M18" t="s">
        <v>1036</v>
      </c>
      <c r="N18">
        <v>49.67</v>
      </c>
    </row>
    <row r="19" spans="1:14" x14ac:dyDescent="0.3">
      <c r="A19" t="s">
        <v>936</v>
      </c>
      <c r="B19" t="s">
        <v>1018</v>
      </c>
      <c r="C19" t="s">
        <v>1027</v>
      </c>
      <c r="D19">
        <v>43</v>
      </c>
      <c r="E19">
        <v>5</v>
      </c>
      <c r="F19" s="3">
        <v>66638</v>
      </c>
      <c r="G19">
        <v>45</v>
      </c>
      <c r="H19">
        <v>14</v>
      </c>
      <c r="I19">
        <v>21</v>
      </c>
      <c r="J19">
        <v>30</v>
      </c>
      <c r="K19">
        <v>2.2000000000000002</v>
      </c>
      <c r="L19" s="3">
        <v>3.1</v>
      </c>
      <c r="M19" t="s">
        <v>1036</v>
      </c>
      <c r="N19">
        <v>48.53</v>
      </c>
    </row>
    <row r="20" spans="1:14" x14ac:dyDescent="0.3">
      <c r="A20" t="s">
        <v>195</v>
      </c>
      <c r="B20" t="s">
        <v>1018</v>
      </c>
      <c r="C20" t="s">
        <v>1027</v>
      </c>
      <c r="D20">
        <v>45</v>
      </c>
      <c r="E20">
        <v>7</v>
      </c>
      <c r="F20" s="3">
        <v>32953</v>
      </c>
      <c r="G20">
        <v>41</v>
      </c>
      <c r="H20">
        <v>13</v>
      </c>
      <c r="I20">
        <v>4</v>
      </c>
      <c r="J20">
        <v>15</v>
      </c>
      <c r="K20">
        <v>4.4000000000000004</v>
      </c>
      <c r="L20" s="3">
        <v>3.2</v>
      </c>
      <c r="M20" t="s">
        <v>1036</v>
      </c>
      <c r="N20">
        <v>54.07</v>
      </c>
    </row>
    <row r="21" spans="1:14" x14ac:dyDescent="0.3">
      <c r="A21" t="s">
        <v>302</v>
      </c>
      <c r="B21" t="s">
        <v>1017</v>
      </c>
      <c r="C21" t="s">
        <v>1026</v>
      </c>
      <c r="D21">
        <v>35</v>
      </c>
      <c r="E21">
        <v>6</v>
      </c>
      <c r="F21" s="3">
        <v>31711</v>
      </c>
      <c r="G21">
        <v>55</v>
      </c>
      <c r="H21">
        <v>13</v>
      </c>
      <c r="I21">
        <v>7</v>
      </c>
      <c r="J21">
        <v>19</v>
      </c>
      <c r="K21">
        <v>4.5999999999999996</v>
      </c>
      <c r="L21" s="3">
        <v>3.2</v>
      </c>
      <c r="M21" t="s">
        <v>1036</v>
      </c>
      <c r="N21">
        <v>54.67</v>
      </c>
    </row>
    <row r="22" spans="1:14" x14ac:dyDescent="0.3">
      <c r="A22" t="s">
        <v>352</v>
      </c>
      <c r="B22" t="s">
        <v>1016</v>
      </c>
      <c r="C22" t="s">
        <v>1022</v>
      </c>
      <c r="D22">
        <v>52</v>
      </c>
      <c r="E22">
        <v>15</v>
      </c>
      <c r="F22" s="3">
        <v>47546</v>
      </c>
      <c r="G22">
        <v>53</v>
      </c>
      <c r="H22">
        <v>9</v>
      </c>
      <c r="I22">
        <v>10</v>
      </c>
      <c r="J22">
        <v>24</v>
      </c>
      <c r="K22">
        <v>2.8</v>
      </c>
      <c r="L22" s="3">
        <v>3.2</v>
      </c>
      <c r="M22" t="s">
        <v>1036</v>
      </c>
      <c r="N22">
        <v>42.6</v>
      </c>
    </row>
    <row r="23" spans="1:14" x14ac:dyDescent="0.3">
      <c r="A23" t="s">
        <v>355</v>
      </c>
      <c r="B23" t="s">
        <v>1018</v>
      </c>
      <c r="C23" t="s">
        <v>1027</v>
      </c>
      <c r="D23">
        <v>33</v>
      </c>
      <c r="E23">
        <v>3</v>
      </c>
      <c r="F23" s="3">
        <v>63831</v>
      </c>
      <c r="G23">
        <v>45</v>
      </c>
      <c r="H23">
        <v>13</v>
      </c>
      <c r="I23">
        <v>23</v>
      </c>
      <c r="J23">
        <v>22</v>
      </c>
      <c r="K23">
        <v>4.7</v>
      </c>
      <c r="L23" s="3">
        <v>3.2</v>
      </c>
      <c r="M23" t="s">
        <v>1036</v>
      </c>
      <c r="N23">
        <v>54.97</v>
      </c>
    </row>
    <row r="24" spans="1:14" x14ac:dyDescent="0.3">
      <c r="A24" t="s">
        <v>385</v>
      </c>
      <c r="B24" t="s">
        <v>1015</v>
      </c>
      <c r="C24" t="s">
        <v>1029</v>
      </c>
      <c r="D24">
        <v>32</v>
      </c>
      <c r="E24">
        <v>1</v>
      </c>
      <c r="F24" s="3">
        <v>45389</v>
      </c>
      <c r="G24">
        <v>51</v>
      </c>
      <c r="H24">
        <v>7</v>
      </c>
      <c r="I24">
        <v>4</v>
      </c>
      <c r="J24">
        <v>33</v>
      </c>
      <c r="K24">
        <v>4.5999999999999996</v>
      </c>
      <c r="L24" s="3">
        <v>3.2</v>
      </c>
      <c r="M24" t="s">
        <v>1036</v>
      </c>
      <c r="N24">
        <v>44.67</v>
      </c>
    </row>
    <row r="25" spans="1:14" x14ac:dyDescent="0.3">
      <c r="A25" t="s">
        <v>606</v>
      </c>
      <c r="B25" t="s">
        <v>1015</v>
      </c>
      <c r="C25" t="s">
        <v>1029</v>
      </c>
      <c r="D25">
        <v>42</v>
      </c>
      <c r="E25">
        <v>0</v>
      </c>
      <c r="F25" s="3">
        <v>32460</v>
      </c>
      <c r="G25">
        <v>45</v>
      </c>
      <c r="H25">
        <v>6</v>
      </c>
      <c r="I25">
        <v>12</v>
      </c>
      <c r="J25">
        <v>36</v>
      </c>
      <c r="K25">
        <v>3.8</v>
      </c>
      <c r="L25" s="3">
        <v>3.2</v>
      </c>
      <c r="M25" t="s">
        <v>1036</v>
      </c>
      <c r="N25">
        <v>40.6</v>
      </c>
    </row>
    <row r="26" spans="1:14" x14ac:dyDescent="0.3">
      <c r="A26" t="s">
        <v>639</v>
      </c>
      <c r="B26" t="s">
        <v>1014</v>
      </c>
      <c r="C26" t="s">
        <v>1019</v>
      </c>
      <c r="D26">
        <v>53</v>
      </c>
      <c r="E26">
        <v>7</v>
      </c>
      <c r="F26" s="3">
        <v>71670</v>
      </c>
      <c r="G26">
        <v>51</v>
      </c>
      <c r="H26">
        <v>5</v>
      </c>
      <c r="I26">
        <v>13</v>
      </c>
      <c r="J26">
        <v>34</v>
      </c>
      <c r="K26">
        <v>3.7</v>
      </c>
      <c r="L26" s="3">
        <v>3.2</v>
      </c>
      <c r="M26" t="s">
        <v>1036</v>
      </c>
      <c r="N26">
        <v>38.630000000000003</v>
      </c>
    </row>
    <row r="27" spans="1:14" x14ac:dyDescent="0.3">
      <c r="A27" t="s">
        <v>700</v>
      </c>
      <c r="B27" t="s">
        <v>1016</v>
      </c>
      <c r="C27" t="s">
        <v>1033</v>
      </c>
      <c r="D27">
        <v>29</v>
      </c>
      <c r="E27">
        <v>2</v>
      </c>
      <c r="F27" s="3">
        <v>57527</v>
      </c>
      <c r="G27">
        <v>39</v>
      </c>
      <c r="H27">
        <v>14</v>
      </c>
      <c r="I27">
        <v>6</v>
      </c>
      <c r="J27">
        <v>33</v>
      </c>
      <c r="K27">
        <v>4.9000000000000004</v>
      </c>
      <c r="L27" s="3">
        <v>3.2</v>
      </c>
      <c r="M27" t="s">
        <v>1036</v>
      </c>
      <c r="N27">
        <v>57.23</v>
      </c>
    </row>
    <row r="28" spans="1:14" x14ac:dyDescent="0.3">
      <c r="A28" t="s">
        <v>812</v>
      </c>
      <c r="B28" t="s">
        <v>1018</v>
      </c>
      <c r="C28" t="s">
        <v>1028</v>
      </c>
      <c r="D28">
        <v>49</v>
      </c>
      <c r="E28">
        <v>6</v>
      </c>
      <c r="F28" s="3">
        <v>30642</v>
      </c>
      <c r="G28">
        <v>44</v>
      </c>
      <c r="H28">
        <v>13</v>
      </c>
      <c r="I28">
        <v>14</v>
      </c>
      <c r="J28">
        <v>9</v>
      </c>
      <c r="K28">
        <v>3.4</v>
      </c>
      <c r="L28" s="3">
        <v>3.2</v>
      </c>
      <c r="M28" t="s">
        <v>1036</v>
      </c>
      <c r="N28">
        <v>51.07</v>
      </c>
    </row>
    <row r="29" spans="1:14" x14ac:dyDescent="0.3">
      <c r="A29" t="s">
        <v>48</v>
      </c>
      <c r="B29" t="s">
        <v>1015</v>
      </c>
      <c r="C29" t="s">
        <v>1021</v>
      </c>
      <c r="D29">
        <v>53</v>
      </c>
      <c r="E29">
        <v>8</v>
      </c>
      <c r="F29" s="3">
        <v>84332</v>
      </c>
      <c r="G29">
        <v>36</v>
      </c>
      <c r="H29">
        <v>2</v>
      </c>
      <c r="I29">
        <v>20</v>
      </c>
      <c r="J29">
        <v>27</v>
      </c>
      <c r="K29">
        <v>4.5</v>
      </c>
      <c r="L29" s="3">
        <v>3.3</v>
      </c>
      <c r="M29" t="s">
        <v>1036</v>
      </c>
      <c r="N29">
        <v>36.630000000000003</v>
      </c>
    </row>
    <row r="30" spans="1:14" x14ac:dyDescent="0.3">
      <c r="A30" t="s">
        <v>88</v>
      </c>
      <c r="B30" t="s">
        <v>1016</v>
      </c>
      <c r="C30" t="s">
        <v>1023</v>
      </c>
      <c r="D30">
        <v>36</v>
      </c>
      <c r="E30">
        <v>11</v>
      </c>
      <c r="F30" s="3">
        <v>36759</v>
      </c>
      <c r="G30">
        <v>44</v>
      </c>
      <c r="H30">
        <v>1</v>
      </c>
      <c r="I30">
        <v>22</v>
      </c>
      <c r="J30">
        <v>34</v>
      </c>
      <c r="K30">
        <v>2.4</v>
      </c>
      <c r="L30" s="3">
        <v>3.3</v>
      </c>
      <c r="M30" t="s">
        <v>1036</v>
      </c>
      <c r="N30">
        <v>28.67</v>
      </c>
    </row>
    <row r="31" spans="1:14" x14ac:dyDescent="0.3">
      <c r="A31" t="s">
        <v>184</v>
      </c>
      <c r="B31" t="s">
        <v>1015</v>
      </c>
      <c r="C31" t="s">
        <v>1020</v>
      </c>
      <c r="D31">
        <v>52</v>
      </c>
      <c r="E31">
        <v>8</v>
      </c>
      <c r="F31" s="3">
        <v>27399</v>
      </c>
      <c r="G31">
        <v>55</v>
      </c>
      <c r="H31">
        <v>4</v>
      </c>
      <c r="I31">
        <v>9</v>
      </c>
      <c r="J31">
        <v>22</v>
      </c>
      <c r="K31">
        <v>4.5999999999999996</v>
      </c>
      <c r="L31" s="3">
        <v>3.3</v>
      </c>
      <c r="M31" t="s">
        <v>1036</v>
      </c>
      <c r="N31">
        <v>40.270000000000003</v>
      </c>
    </row>
    <row r="32" spans="1:14" x14ac:dyDescent="0.3">
      <c r="A32" t="s">
        <v>471</v>
      </c>
      <c r="B32" t="s">
        <v>1017</v>
      </c>
      <c r="C32" t="s">
        <v>1030</v>
      </c>
      <c r="D32">
        <v>44</v>
      </c>
      <c r="E32">
        <v>1</v>
      </c>
      <c r="F32" s="3">
        <v>39340</v>
      </c>
      <c r="G32">
        <v>50</v>
      </c>
      <c r="H32">
        <v>4</v>
      </c>
      <c r="I32">
        <v>2</v>
      </c>
      <c r="J32">
        <v>16</v>
      </c>
      <c r="K32">
        <v>3.1</v>
      </c>
      <c r="L32" s="3">
        <v>3.3</v>
      </c>
      <c r="M32" t="s">
        <v>1036</v>
      </c>
      <c r="N32">
        <v>35.770000000000003</v>
      </c>
    </row>
    <row r="33" spans="1:14" x14ac:dyDescent="0.3">
      <c r="A33" t="s">
        <v>540</v>
      </c>
      <c r="B33" t="s">
        <v>1016</v>
      </c>
      <c r="C33" t="s">
        <v>1022</v>
      </c>
      <c r="D33">
        <v>50</v>
      </c>
      <c r="E33">
        <v>6</v>
      </c>
      <c r="F33" s="3">
        <v>26399</v>
      </c>
      <c r="G33">
        <v>47</v>
      </c>
      <c r="H33">
        <v>6</v>
      </c>
      <c r="I33">
        <v>23</v>
      </c>
      <c r="J33">
        <v>8</v>
      </c>
      <c r="K33">
        <v>2.8</v>
      </c>
      <c r="L33" s="3">
        <v>3.3</v>
      </c>
      <c r="M33" t="s">
        <v>1036</v>
      </c>
      <c r="N33">
        <v>38.200000000000003</v>
      </c>
    </row>
    <row r="34" spans="1:14" x14ac:dyDescent="0.3">
      <c r="A34" t="s">
        <v>558</v>
      </c>
      <c r="B34" t="s">
        <v>1016</v>
      </c>
      <c r="C34" t="s">
        <v>1022</v>
      </c>
      <c r="D34">
        <v>52</v>
      </c>
      <c r="E34">
        <v>5</v>
      </c>
      <c r="F34" s="3">
        <v>56999</v>
      </c>
      <c r="G34">
        <v>53</v>
      </c>
      <c r="H34">
        <v>14</v>
      </c>
      <c r="I34">
        <v>3</v>
      </c>
      <c r="J34">
        <v>38</v>
      </c>
      <c r="K34">
        <v>3.9</v>
      </c>
      <c r="L34" s="3">
        <v>3.3</v>
      </c>
      <c r="M34" t="s">
        <v>1036</v>
      </c>
      <c r="N34">
        <v>54.83</v>
      </c>
    </row>
    <row r="35" spans="1:14" x14ac:dyDescent="0.3">
      <c r="A35" t="s">
        <v>661</v>
      </c>
      <c r="B35" t="s">
        <v>1016</v>
      </c>
      <c r="C35" t="s">
        <v>1033</v>
      </c>
      <c r="D35">
        <v>50</v>
      </c>
      <c r="E35">
        <v>0</v>
      </c>
      <c r="F35" s="3">
        <v>83753</v>
      </c>
      <c r="G35">
        <v>50</v>
      </c>
      <c r="H35">
        <v>3</v>
      </c>
      <c r="I35">
        <v>20</v>
      </c>
      <c r="J35">
        <v>40</v>
      </c>
      <c r="K35">
        <v>2</v>
      </c>
      <c r="L35" s="3">
        <v>3.3</v>
      </c>
      <c r="M35" t="s">
        <v>1036</v>
      </c>
      <c r="N35">
        <v>30.8</v>
      </c>
    </row>
    <row r="36" spans="1:14" x14ac:dyDescent="0.3">
      <c r="A36" t="s">
        <v>836</v>
      </c>
      <c r="B36" t="s">
        <v>1015</v>
      </c>
      <c r="C36" t="s">
        <v>1020</v>
      </c>
      <c r="D36">
        <v>29</v>
      </c>
      <c r="E36">
        <v>0</v>
      </c>
      <c r="F36" s="3">
        <v>80154</v>
      </c>
      <c r="G36">
        <v>46</v>
      </c>
      <c r="H36">
        <v>5</v>
      </c>
      <c r="I36">
        <v>20</v>
      </c>
      <c r="J36">
        <v>32</v>
      </c>
      <c r="K36">
        <v>3.1</v>
      </c>
      <c r="L36" s="3">
        <v>3.3</v>
      </c>
      <c r="M36" t="s">
        <v>1036</v>
      </c>
      <c r="N36">
        <v>37.43</v>
      </c>
    </row>
    <row r="37" spans="1:14" x14ac:dyDescent="0.3">
      <c r="A37" t="s">
        <v>919</v>
      </c>
      <c r="B37" t="s">
        <v>1015</v>
      </c>
      <c r="C37" t="s">
        <v>1029</v>
      </c>
      <c r="D37">
        <v>37</v>
      </c>
      <c r="E37">
        <v>10</v>
      </c>
      <c r="F37" s="3">
        <v>84657</v>
      </c>
      <c r="G37">
        <v>53</v>
      </c>
      <c r="H37">
        <v>15</v>
      </c>
      <c r="I37">
        <v>15</v>
      </c>
      <c r="J37">
        <v>29</v>
      </c>
      <c r="K37">
        <v>3.4</v>
      </c>
      <c r="L37" s="3">
        <v>3.3</v>
      </c>
      <c r="M37" t="s">
        <v>1036</v>
      </c>
      <c r="N37">
        <v>55</v>
      </c>
    </row>
    <row r="38" spans="1:14" x14ac:dyDescent="0.3">
      <c r="A38" t="s">
        <v>962</v>
      </c>
      <c r="B38" t="s">
        <v>1017</v>
      </c>
      <c r="C38" t="s">
        <v>1030</v>
      </c>
      <c r="D38">
        <v>28</v>
      </c>
      <c r="E38">
        <v>0</v>
      </c>
      <c r="F38" s="3">
        <v>29001</v>
      </c>
      <c r="G38">
        <v>43</v>
      </c>
      <c r="H38">
        <v>13</v>
      </c>
      <c r="I38">
        <v>0</v>
      </c>
      <c r="J38">
        <v>37</v>
      </c>
      <c r="K38">
        <v>4.4000000000000004</v>
      </c>
      <c r="L38" s="3">
        <v>3.3</v>
      </c>
      <c r="M38" t="s">
        <v>1036</v>
      </c>
      <c r="N38">
        <v>54.67</v>
      </c>
    </row>
    <row r="39" spans="1:14" x14ac:dyDescent="0.3">
      <c r="A39" t="s">
        <v>994</v>
      </c>
      <c r="B39" t="s">
        <v>1014</v>
      </c>
      <c r="C39" t="s">
        <v>1025</v>
      </c>
      <c r="D39">
        <v>54</v>
      </c>
      <c r="E39">
        <v>9</v>
      </c>
      <c r="F39" s="3">
        <v>48826</v>
      </c>
      <c r="G39">
        <v>52</v>
      </c>
      <c r="H39">
        <v>3</v>
      </c>
      <c r="I39">
        <v>13</v>
      </c>
      <c r="J39">
        <v>0</v>
      </c>
      <c r="K39">
        <v>2.7</v>
      </c>
      <c r="L39" s="3">
        <v>3.3</v>
      </c>
      <c r="M39" t="s">
        <v>1036</v>
      </c>
      <c r="N39">
        <v>32.9</v>
      </c>
    </row>
    <row r="40" spans="1:14" x14ac:dyDescent="0.3">
      <c r="A40" t="s">
        <v>40</v>
      </c>
      <c r="B40" t="s">
        <v>1015</v>
      </c>
      <c r="C40" t="s">
        <v>1021</v>
      </c>
      <c r="D40">
        <v>53</v>
      </c>
      <c r="E40">
        <v>4</v>
      </c>
      <c r="F40" s="3">
        <v>37445</v>
      </c>
      <c r="G40">
        <v>44</v>
      </c>
      <c r="H40">
        <v>4</v>
      </c>
      <c r="I40">
        <v>1</v>
      </c>
      <c r="J40">
        <v>37</v>
      </c>
      <c r="K40">
        <v>4.2</v>
      </c>
      <c r="L40" s="3">
        <v>3.4</v>
      </c>
      <c r="M40" t="s">
        <v>1036</v>
      </c>
      <c r="N40">
        <v>39.67</v>
      </c>
    </row>
    <row r="41" spans="1:14" x14ac:dyDescent="0.3">
      <c r="A41" t="s">
        <v>102</v>
      </c>
      <c r="B41" t="s">
        <v>1016</v>
      </c>
      <c r="C41" t="s">
        <v>1022</v>
      </c>
      <c r="D41">
        <v>29</v>
      </c>
      <c r="E41">
        <v>6</v>
      </c>
      <c r="F41" s="3">
        <v>81682</v>
      </c>
      <c r="G41">
        <v>51</v>
      </c>
      <c r="H41">
        <v>14</v>
      </c>
      <c r="I41">
        <v>0</v>
      </c>
      <c r="J41">
        <v>34</v>
      </c>
      <c r="K41">
        <v>3.4</v>
      </c>
      <c r="L41" s="3">
        <v>3.4</v>
      </c>
      <c r="M41" t="s">
        <v>1036</v>
      </c>
      <c r="N41">
        <v>53.93</v>
      </c>
    </row>
    <row r="42" spans="1:14" x14ac:dyDescent="0.3">
      <c r="A42" t="s">
        <v>114</v>
      </c>
      <c r="B42" t="s">
        <v>1014</v>
      </c>
      <c r="C42" t="s">
        <v>1031</v>
      </c>
      <c r="D42">
        <v>50</v>
      </c>
      <c r="E42">
        <v>5</v>
      </c>
      <c r="F42" s="3">
        <v>70482</v>
      </c>
      <c r="G42">
        <v>44</v>
      </c>
      <c r="H42">
        <v>15</v>
      </c>
      <c r="I42">
        <v>0</v>
      </c>
      <c r="J42">
        <v>2</v>
      </c>
      <c r="K42">
        <v>3</v>
      </c>
      <c r="L42" s="3">
        <v>3.4</v>
      </c>
      <c r="M42" t="s">
        <v>1036</v>
      </c>
      <c r="N42">
        <v>54.4</v>
      </c>
    </row>
    <row r="43" spans="1:14" x14ac:dyDescent="0.3">
      <c r="A43" t="s">
        <v>210</v>
      </c>
      <c r="B43" t="s">
        <v>1017</v>
      </c>
      <c r="C43" t="s">
        <v>1024</v>
      </c>
      <c r="D43">
        <v>30</v>
      </c>
      <c r="E43">
        <v>4</v>
      </c>
      <c r="F43" s="3">
        <v>72677</v>
      </c>
      <c r="G43">
        <v>46</v>
      </c>
      <c r="H43">
        <v>13</v>
      </c>
      <c r="I43">
        <v>12</v>
      </c>
      <c r="J43">
        <v>23</v>
      </c>
      <c r="K43">
        <v>2.1</v>
      </c>
      <c r="L43" s="3">
        <v>3.4</v>
      </c>
      <c r="M43" t="s">
        <v>1036</v>
      </c>
      <c r="N43">
        <v>48.37</v>
      </c>
    </row>
    <row r="44" spans="1:14" x14ac:dyDescent="0.3">
      <c r="A44" t="s">
        <v>320</v>
      </c>
      <c r="B44" t="s">
        <v>1014</v>
      </c>
      <c r="C44" t="s">
        <v>1019</v>
      </c>
      <c r="D44">
        <v>41</v>
      </c>
      <c r="E44">
        <v>6</v>
      </c>
      <c r="F44" s="3">
        <v>58931</v>
      </c>
      <c r="G44">
        <v>54</v>
      </c>
      <c r="H44">
        <v>9</v>
      </c>
      <c r="I44">
        <v>6</v>
      </c>
      <c r="J44">
        <v>25</v>
      </c>
      <c r="K44">
        <v>2.9</v>
      </c>
      <c r="L44" s="3">
        <v>3.4</v>
      </c>
      <c r="M44" t="s">
        <v>1036</v>
      </c>
      <c r="N44">
        <v>44.1</v>
      </c>
    </row>
    <row r="45" spans="1:14" x14ac:dyDescent="0.3">
      <c r="A45" t="s">
        <v>337</v>
      </c>
      <c r="B45" t="s">
        <v>1014</v>
      </c>
      <c r="C45" t="s">
        <v>1019</v>
      </c>
      <c r="D45">
        <v>46</v>
      </c>
      <c r="E45">
        <v>9</v>
      </c>
      <c r="F45" s="3">
        <v>31812</v>
      </c>
      <c r="G45">
        <v>41</v>
      </c>
      <c r="H45">
        <v>9</v>
      </c>
      <c r="I45">
        <v>7</v>
      </c>
      <c r="J45">
        <v>26</v>
      </c>
      <c r="K45">
        <v>3.5</v>
      </c>
      <c r="L45" s="3">
        <v>3.4</v>
      </c>
      <c r="M45" t="s">
        <v>1036</v>
      </c>
      <c r="N45">
        <v>45.9</v>
      </c>
    </row>
    <row r="46" spans="1:14" x14ac:dyDescent="0.3">
      <c r="A46" t="s">
        <v>345</v>
      </c>
      <c r="B46" t="s">
        <v>1015</v>
      </c>
      <c r="C46" t="s">
        <v>1029</v>
      </c>
      <c r="D46">
        <v>37</v>
      </c>
      <c r="E46">
        <v>3</v>
      </c>
      <c r="F46" s="3">
        <v>55280</v>
      </c>
      <c r="G46">
        <v>38</v>
      </c>
      <c r="H46">
        <v>13</v>
      </c>
      <c r="I46">
        <v>25</v>
      </c>
      <c r="J46">
        <v>8</v>
      </c>
      <c r="K46">
        <v>2.4</v>
      </c>
      <c r="L46" s="3">
        <v>3.4</v>
      </c>
      <c r="M46" t="s">
        <v>1036</v>
      </c>
      <c r="N46">
        <v>49.27</v>
      </c>
    </row>
    <row r="47" spans="1:14" x14ac:dyDescent="0.3">
      <c r="A47" t="s">
        <v>424</v>
      </c>
      <c r="B47" t="s">
        <v>1017</v>
      </c>
      <c r="C47" t="s">
        <v>1030</v>
      </c>
      <c r="D47">
        <v>53</v>
      </c>
      <c r="E47">
        <v>5</v>
      </c>
      <c r="F47" s="3">
        <v>29906</v>
      </c>
      <c r="G47">
        <v>50</v>
      </c>
      <c r="H47">
        <v>6</v>
      </c>
      <c r="I47">
        <v>7</v>
      </c>
      <c r="J47">
        <v>21</v>
      </c>
      <c r="K47">
        <v>4.9000000000000004</v>
      </c>
      <c r="L47" s="3">
        <v>3.4</v>
      </c>
      <c r="M47" t="s">
        <v>1036</v>
      </c>
      <c r="N47">
        <v>45.1</v>
      </c>
    </row>
    <row r="48" spans="1:14" x14ac:dyDescent="0.3">
      <c r="A48" t="s">
        <v>439</v>
      </c>
      <c r="B48" t="s">
        <v>1017</v>
      </c>
      <c r="C48" t="s">
        <v>1030</v>
      </c>
      <c r="D48">
        <v>40</v>
      </c>
      <c r="E48">
        <v>13</v>
      </c>
      <c r="F48" s="3">
        <v>77973</v>
      </c>
      <c r="G48">
        <v>35</v>
      </c>
      <c r="H48">
        <v>9</v>
      </c>
      <c r="I48">
        <v>3</v>
      </c>
      <c r="J48">
        <v>1</v>
      </c>
      <c r="K48">
        <v>3.1</v>
      </c>
      <c r="L48" s="3">
        <v>3.4</v>
      </c>
      <c r="M48" t="s">
        <v>1036</v>
      </c>
      <c r="N48">
        <v>44.7</v>
      </c>
    </row>
    <row r="49" spans="1:14" x14ac:dyDescent="0.3">
      <c r="A49" t="s">
        <v>619</v>
      </c>
      <c r="B49" t="s">
        <v>1015</v>
      </c>
      <c r="C49" t="s">
        <v>1021</v>
      </c>
      <c r="D49">
        <v>50</v>
      </c>
      <c r="E49">
        <v>1</v>
      </c>
      <c r="F49" s="3">
        <v>33524</v>
      </c>
      <c r="G49">
        <v>35</v>
      </c>
      <c r="H49">
        <v>8</v>
      </c>
      <c r="I49">
        <v>21</v>
      </c>
      <c r="J49">
        <v>3</v>
      </c>
      <c r="K49">
        <v>2.2999999999999998</v>
      </c>
      <c r="L49" s="3">
        <v>3.4</v>
      </c>
      <c r="M49" t="s">
        <v>1036</v>
      </c>
      <c r="N49">
        <v>40.630000000000003</v>
      </c>
    </row>
    <row r="50" spans="1:14" x14ac:dyDescent="0.3">
      <c r="A50" t="s">
        <v>697</v>
      </c>
      <c r="B50" t="s">
        <v>1018</v>
      </c>
      <c r="C50" t="s">
        <v>1032</v>
      </c>
      <c r="D50">
        <v>36</v>
      </c>
      <c r="E50">
        <v>10</v>
      </c>
      <c r="F50" s="3">
        <v>48115</v>
      </c>
      <c r="G50">
        <v>43</v>
      </c>
      <c r="H50">
        <v>9</v>
      </c>
      <c r="I50">
        <v>21</v>
      </c>
      <c r="J50">
        <v>27</v>
      </c>
      <c r="K50">
        <v>2.8</v>
      </c>
      <c r="L50" s="3">
        <v>3.4</v>
      </c>
      <c r="M50" t="s">
        <v>1036</v>
      </c>
      <c r="N50">
        <v>43.8</v>
      </c>
    </row>
    <row r="51" spans="1:14" x14ac:dyDescent="0.3">
      <c r="A51" t="s">
        <v>701</v>
      </c>
      <c r="B51" t="s">
        <v>1015</v>
      </c>
      <c r="C51" t="s">
        <v>1029</v>
      </c>
      <c r="D51">
        <v>30</v>
      </c>
      <c r="E51">
        <v>7</v>
      </c>
      <c r="F51" s="3">
        <v>47721</v>
      </c>
      <c r="G51">
        <v>48</v>
      </c>
      <c r="H51">
        <v>8</v>
      </c>
      <c r="I51">
        <v>23</v>
      </c>
      <c r="J51">
        <v>1</v>
      </c>
      <c r="K51">
        <v>2.9</v>
      </c>
      <c r="L51" s="3">
        <v>3.4</v>
      </c>
      <c r="M51" t="s">
        <v>1036</v>
      </c>
      <c r="N51">
        <v>42.43</v>
      </c>
    </row>
    <row r="52" spans="1:14" x14ac:dyDescent="0.3">
      <c r="A52" t="s">
        <v>791</v>
      </c>
      <c r="B52" t="s">
        <v>1016</v>
      </c>
      <c r="C52" t="s">
        <v>1023</v>
      </c>
      <c r="D52">
        <v>53</v>
      </c>
      <c r="E52">
        <v>4</v>
      </c>
      <c r="F52" s="3">
        <v>61416</v>
      </c>
      <c r="G52">
        <v>55</v>
      </c>
      <c r="H52">
        <v>13</v>
      </c>
      <c r="I52">
        <v>14</v>
      </c>
      <c r="J52">
        <v>3</v>
      </c>
      <c r="K52">
        <v>2.6</v>
      </c>
      <c r="L52" s="3">
        <v>3.4</v>
      </c>
      <c r="M52" t="s">
        <v>1036</v>
      </c>
      <c r="N52">
        <v>49.87</v>
      </c>
    </row>
    <row r="53" spans="1:14" x14ac:dyDescent="0.3">
      <c r="A53" t="s">
        <v>798</v>
      </c>
      <c r="B53" t="s">
        <v>1015</v>
      </c>
      <c r="C53" t="s">
        <v>1029</v>
      </c>
      <c r="D53">
        <v>30</v>
      </c>
      <c r="E53">
        <v>3</v>
      </c>
      <c r="F53" s="3">
        <v>81575</v>
      </c>
      <c r="G53">
        <v>36</v>
      </c>
      <c r="H53">
        <v>13</v>
      </c>
      <c r="I53">
        <v>20</v>
      </c>
      <c r="J53">
        <v>18</v>
      </c>
      <c r="K53">
        <v>3</v>
      </c>
      <c r="L53" s="3">
        <v>3.4</v>
      </c>
      <c r="M53" t="s">
        <v>1036</v>
      </c>
      <c r="N53">
        <v>51.07</v>
      </c>
    </row>
    <row r="54" spans="1:14" x14ac:dyDescent="0.3">
      <c r="A54" t="s">
        <v>964</v>
      </c>
      <c r="B54" t="s">
        <v>1016</v>
      </c>
      <c r="C54" t="s">
        <v>1033</v>
      </c>
      <c r="D54">
        <v>45</v>
      </c>
      <c r="E54">
        <v>10</v>
      </c>
      <c r="F54" s="3">
        <v>45658</v>
      </c>
      <c r="G54">
        <v>42</v>
      </c>
      <c r="H54">
        <v>6</v>
      </c>
      <c r="I54">
        <v>21</v>
      </c>
      <c r="J54">
        <v>25</v>
      </c>
      <c r="K54">
        <v>3.1</v>
      </c>
      <c r="L54" s="3">
        <v>3.4</v>
      </c>
      <c r="M54" t="s">
        <v>1036</v>
      </c>
      <c r="N54">
        <v>39.700000000000003</v>
      </c>
    </row>
    <row r="55" spans="1:14" x14ac:dyDescent="0.3">
      <c r="A55" t="s">
        <v>22</v>
      </c>
      <c r="B55" t="s">
        <v>1015</v>
      </c>
      <c r="C55" t="s">
        <v>1020</v>
      </c>
      <c r="D55">
        <v>36</v>
      </c>
      <c r="E55">
        <v>10</v>
      </c>
      <c r="F55" s="3">
        <v>80237</v>
      </c>
      <c r="G55">
        <v>36</v>
      </c>
      <c r="H55">
        <v>4</v>
      </c>
      <c r="I55">
        <v>1</v>
      </c>
      <c r="J55">
        <v>20</v>
      </c>
      <c r="K55">
        <v>3.2</v>
      </c>
      <c r="L55" s="3">
        <v>3.5</v>
      </c>
      <c r="M55" t="s">
        <v>1036</v>
      </c>
      <c r="N55">
        <v>37.270000000000003</v>
      </c>
    </row>
    <row r="56" spans="1:14" x14ac:dyDescent="0.3">
      <c r="A56" t="s">
        <v>332</v>
      </c>
      <c r="B56" t="s">
        <v>1014</v>
      </c>
      <c r="C56" t="s">
        <v>1031</v>
      </c>
      <c r="D56">
        <v>48</v>
      </c>
      <c r="E56">
        <v>7</v>
      </c>
      <c r="F56" s="3">
        <v>46089</v>
      </c>
      <c r="G56">
        <v>42</v>
      </c>
      <c r="H56">
        <v>7</v>
      </c>
      <c r="I56">
        <v>23</v>
      </c>
      <c r="J56">
        <v>20</v>
      </c>
      <c r="K56">
        <v>2.8</v>
      </c>
      <c r="L56" s="3">
        <v>3.5</v>
      </c>
      <c r="M56" t="s">
        <v>1036</v>
      </c>
      <c r="N56">
        <v>41.07</v>
      </c>
    </row>
    <row r="57" spans="1:14" x14ac:dyDescent="0.3">
      <c r="A57" t="s">
        <v>333</v>
      </c>
      <c r="B57" t="s">
        <v>1014</v>
      </c>
      <c r="C57" t="s">
        <v>1031</v>
      </c>
      <c r="D57">
        <v>54</v>
      </c>
      <c r="E57">
        <v>1</v>
      </c>
      <c r="F57" s="3">
        <v>36753</v>
      </c>
      <c r="G57">
        <v>42</v>
      </c>
      <c r="H57">
        <v>13</v>
      </c>
      <c r="I57">
        <v>16</v>
      </c>
      <c r="J57">
        <v>2</v>
      </c>
      <c r="K57">
        <v>4.9000000000000004</v>
      </c>
      <c r="L57" s="3">
        <v>3.5</v>
      </c>
      <c r="M57" t="s">
        <v>1036</v>
      </c>
      <c r="N57">
        <v>57.37</v>
      </c>
    </row>
    <row r="58" spans="1:14" x14ac:dyDescent="0.3">
      <c r="A58" t="s">
        <v>444</v>
      </c>
      <c r="B58" t="s">
        <v>1016</v>
      </c>
      <c r="C58" t="s">
        <v>1023</v>
      </c>
      <c r="D58">
        <v>34</v>
      </c>
      <c r="E58">
        <v>12</v>
      </c>
      <c r="F58" s="3">
        <v>72507</v>
      </c>
      <c r="G58">
        <v>41</v>
      </c>
      <c r="H58">
        <v>5</v>
      </c>
      <c r="I58">
        <v>14</v>
      </c>
      <c r="J58">
        <v>11</v>
      </c>
      <c r="K58">
        <v>5</v>
      </c>
      <c r="L58" s="3">
        <v>3.5</v>
      </c>
      <c r="M58" t="s">
        <v>1036</v>
      </c>
      <c r="N58">
        <v>44.33</v>
      </c>
    </row>
    <row r="59" spans="1:14" x14ac:dyDescent="0.3">
      <c r="A59" t="s">
        <v>454</v>
      </c>
      <c r="B59" t="s">
        <v>1017</v>
      </c>
      <c r="C59" t="s">
        <v>1030</v>
      </c>
      <c r="D59">
        <v>26</v>
      </c>
      <c r="E59">
        <v>5</v>
      </c>
      <c r="F59" s="3">
        <v>69960</v>
      </c>
      <c r="G59">
        <v>39</v>
      </c>
      <c r="H59">
        <v>1</v>
      </c>
      <c r="I59">
        <v>14</v>
      </c>
      <c r="J59">
        <v>21</v>
      </c>
      <c r="K59">
        <v>2.1</v>
      </c>
      <c r="L59" s="3">
        <v>3.5</v>
      </c>
      <c r="M59" t="s">
        <v>1036</v>
      </c>
      <c r="N59">
        <v>28.97</v>
      </c>
    </row>
    <row r="60" spans="1:14" x14ac:dyDescent="0.3">
      <c r="A60" t="s">
        <v>660</v>
      </c>
      <c r="B60" t="s">
        <v>1018</v>
      </c>
      <c r="C60" t="s">
        <v>1027</v>
      </c>
      <c r="D60">
        <v>49</v>
      </c>
      <c r="E60">
        <v>6</v>
      </c>
      <c r="F60" s="3">
        <v>65236</v>
      </c>
      <c r="G60">
        <v>55</v>
      </c>
      <c r="H60">
        <v>2</v>
      </c>
      <c r="I60">
        <v>14</v>
      </c>
      <c r="J60">
        <v>16</v>
      </c>
      <c r="K60">
        <v>2.2999999999999998</v>
      </c>
      <c r="L60" s="3">
        <v>3.5</v>
      </c>
      <c r="M60" t="s">
        <v>1036</v>
      </c>
      <c r="N60">
        <v>31.23</v>
      </c>
    </row>
    <row r="61" spans="1:14" x14ac:dyDescent="0.3">
      <c r="A61" t="s">
        <v>681</v>
      </c>
      <c r="B61" t="s">
        <v>1014</v>
      </c>
      <c r="C61" t="s">
        <v>1019</v>
      </c>
      <c r="D61">
        <v>25</v>
      </c>
      <c r="E61">
        <v>4</v>
      </c>
      <c r="F61" s="3">
        <v>36526</v>
      </c>
      <c r="G61">
        <v>40</v>
      </c>
      <c r="H61">
        <v>13</v>
      </c>
      <c r="I61">
        <v>0</v>
      </c>
      <c r="J61">
        <v>31</v>
      </c>
      <c r="K61">
        <v>3.5</v>
      </c>
      <c r="L61" s="3">
        <v>3.5</v>
      </c>
      <c r="M61" t="s">
        <v>1036</v>
      </c>
      <c r="N61">
        <v>53.17</v>
      </c>
    </row>
    <row r="62" spans="1:14" x14ac:dyDescent="0.3">
      <c r="A62" t="s">
        <v>699</v>
      </c>
      <c r="B62" t="s">
        <v>1014</v>
      </c>
      <c r="C62" t="s">
        <v>1019</v>
      </c>
      <c r="D62">
        <v>34</v>
      </c>
      <c r="E62">
        <v>7</v>
      </c>
      <c r="F62" s="3">
        <v>30721</v>
      </c>
      <c r="G62">
        <v>37</v>
      </c>
      <c r="H62">
        <v>7</v>
      </c>
      <c r="I62">
        <v>5</v>
      </c>
      <c r="J62">
        <v>18</v>
      </c>
      <c r="K62">
        <v>4.9000000000000004</v>
      </c>
      <c r="L62" s="3">
        <v>3.5</v>
      </c>
      <c r="M62" t="s">
        <v>1036</v>
      </c>
      <c r="N62">
        <v>47.37</v>
      </c>
    </row>
    <row r="63" spans="1:14" x14ac:dyDescent="0.3">
      <c r="A63" t="s">
        <v>808</v>
      </c>
      <c r="B63" t="s">
        <v>1016</v>
      </c>
      <c r="C63" t="s">
        <v>1022</v>
      </c>
      <c r="D63">
        <v>51</v>
      </c>
      <c r="E63">
        <v>14</v>
      </c>
      <c r="F63" s="3">
        <v>65882</v>
      </c>
      <c r="G63">
        <v>43</v>
      </c>
      <c r="H63">
        <v>6</v>
      </c>
      <c r="I63">
        <v>25</v>
      </c>
      <c r="J63">
        <v>11</v>
      </c>
      <c r="K63">
        <v>2.6</v>
      </c>
      <c r="L63" s="3">
        <v>3.5</v>
      </c>
      <c r="M63" t="s">
        <v>1036</v>
      </c>
      <c r="N63">
        <v>38.799999999999997</v>
      </c>
    </row>
    <row r="64" spans="1:14" x14ac:dyDescent="0.3">
      <c r="A64" t="s">
        <v>840</v>
      </c>
      <c r="B64" t="s">
        <v>1017</v>
      </c>
      <c r="C64" t="s">
        <v>1024</v>
      </c>
      <c r="D64">
        <v>27</v>
      </c>
      <c r="E64">
        <v>0</v>
      </c>
      <c r="F64" s="3">
        <v>29075</v>
      </c>
      <c r="G64">
        <v>48</v>
      </c>
      <c r="H64">
        <v>15</v>
      </c>
      <c r="I64">
        <v>4</v>
      </c>
      <c r="J64">
        <v>30</v>
      </c>
      <c r="K64">
        <v>2.6</v>
      </c>
      <c r="L64" s="3">
        <v>3.5</v>
      </c>
      <c r="M64" t="s">
        <v>1036</v>
      </c>
      <c r="N64">
        <v>53.8</v>
      </c>
    </row>
    <row r="65" spans="1:14" x14ac:dyDescent="0.3">
      <c r="A65" t="s">
        <v>881</v>
      </c>
      <c r="B65" t="s">
        <v>1016</v>
      </c>
      <c r="C65" t="s">
        <v>1022</v>
      </c>
      <c r="D65">
        <v>26</v>
      </c>
      <c r="E65">
        <v>1</v>
      </c>
      <c r="F65" s="3">
        <v>29063</v>
      </c>
      <c r="G65">
        <v>49</v>
      </c>
      <c r="H65">
        <v>1</v>
      </c>
      <c r="I65">
        <v>9</v>
      </c>
      <c r="J65">
        <v>39</v>
      </c>
      <c r="K65">
        <v>3.9</v>
      </c>
      <c r="L65" s="3">
        <v>3.5</v>
      </c>
      <c r="M65" t="s">
        <v>1036</v>
      </c>
      <c r="N65">
        <v>34.369999999999997</v>
      </c>
    </row>
    <row r="66" spans="1:14" x14ac:dyDescent="0.3">
      <c r="A66" t="s">
        <v>884</v>
      </c>
      <c r="B66" t="s">
        <v>1014</v>
      </c>
      <c r="C66" t="s">
        <v>1019</v>
      </c>
      <c r="D66">
        <v>51</v>
      </c>
      <c r="E66">
        <v>10</v>
      </c>
      <c r="F66" s="3">
        <v>63522</v>
      </c>
      <c r="G66">
        <v>41</v>
      </c>
      <c r="H66">
        <v>2</v>
      </c>
      <c r="I66">
        <v>3</v>
      </c>
      <c r="J66">
        <v>0</v>
      </c>
      <c r="K66">
        <v>3.8</v>
      </c>
      <c r="L66" s="3">
        <v>3.5</v>
      </c>
      <c r="M66" t="s">
        <v>1036</v>
      </c>
      <c r="N66">
        <v>35.729999999999997</v>
      </c>
    </row>
    <row r="67" spans="1:14" x14ac:dyDescent="0.3">
      <c r="A67" t="s">
        <v>933</v>
      </c>
      <c r="B67" t="s">
        <v>1018</v>
      </c>
      <c r="C67" t="s">
        <v>1032</v>
      </c>
      <c r="D67">
        <v>22</v>
      </c>
      <c r="E67">
        <v>1</v>
      </c>
      <c r="F67" s="3">
        <v>67860</v>
      </c>
      <c r="G67">
        <v>45</v>
      </c>
      <c r="H67">
        <v>1</v>
      </c>
      <c r="I67">
        <v>12</v>
      </c>
      <c r="J67">
        <v>13</v>
      </c>
      <c r="K67">
        <v>3.4</v>
      </c>
      <c r="L67" s="3">
        <v>3.5</v>
      </c>
      <c r="M67" t="s">
        <v>1036</v>
      </c>
      <c r="N67">
        <v>32.869999999999997</v>
      </c>
    </row>
    <row r="68" spans="1:14" x14ac:dyDescent="0.3">
      <c r="A68" t="s">
        <v>942</v>
      </c>
      <c r="B68" t="s">
        <v>1015</v>
      </c>
      <c r="C68" t="s">
        <v>1029</v>
      </c>
      <c r="D68">
        <v>46</v>
      </c>
      <c r="E68">
        <v>10</v>
      </c>
      <c r="F68" s="3">
        <v>37028</v>
      </c>
      <c r="G68">
        <v>49</v>
      </c>
      <c r="H68">
        <v>11</v>
      </c>
      <c r="I68">
        <v>0</v>
      </c>
      <c r="J68">
        <v>4</v>
      </c>
      <c r="K68">
        <v>4.5999999999999996</v>
      </c>
      <c r="L68" s="3">
        <v>3.5</v>
      </c>
      <c r="M68" t="s">
        <v>1036</v>
      </c>
      <c r="N68">
        <v>53.13</v>
      </c>
    </row>
    <row r="69" spans="1:14" x14ac:dyDescent="0.3">
      <c r="A69" t="s">
        <v>948</v>
      </c>
      <c r="B69" t="s">
        <v>1016</v>
      </c>
      <c r="C69" t="s">
        <v>1023</v>
      </c>
      <c r="D69">
        <v>46</v>
      </c>
      <c r="E69">
        <v>14</v>
      </c>
      <c r="F69" s="3">
        <v>45044</v>
      </c>
      <c r="G69">
        <v>49</v>
      </c>
      <c r="H69">
        <v>5</v>
      </c>
      <c r="I69">
        <v>12</v>
      </c>
      <c r="J69">
        <v>35</v>
      </c>
      <c r="K69">
        <v>3.8</v>
      </c>
      <c r="L69" s="3">
        <v>3.5</v>
      </c>
      <c r="M69" t="s">
        <v>1036</v>
      </c>
      <c r="N69">
        <v>40.729999999999997</v>
      </c>
    </row>
    <row r="70" spans="1:14" x14ac:dyDescent="0.3">
      <c r="A70" t="s">
        <v>81</v>
      </c>
      <c r="B70" t="s">
        <v>1016</v>
      </c>
      <c r="C70" t="s">
        <v>1033</v>
      </c>
      <c r="D70">
        <v>52</v>
      </c>
      <c r="E70">
        <v>14</v>
      </c>
      <c r="F70" s="3">
        <v>53545</v>
      </c>
      <c r="G70">
        <v>53</v>
      </c>
      <c r="H70">
        <v>5</v>
      </c>
      <c r="I70">
        <v>10</v>
      </c>
      <c r="J70">
        <v>15</v>
      </c>
      <c r="K70">
        <v>4.5</v>
      </c>
      <c r="L70" s="3">
        <v>3.6</v>
      </c>
      <c r="M70" t="s">
        <v>1036</v>
      </c>
      <c r="N70">
        <v>43.43</v>
      </c>
    </row>
    <row r="71" spans="1:14" x14ac:dyDescent="0.3">
      <c r="A71" t="s">
        <v>98</v>
      </c>
      <c r="B71" t="s">
        <v>1017</v>
      </c>
      <c r="C71" t="s">
        <v>1024</v>
      </c>
      <c r="D71">
        <v>27</v>
      </c>
      <c r="E71">
        <v>4</v>
      </c>
      <c r="F71" s="3">
        <v>27612</v>
      </c>
      <c r="G71">
        <v>48</v>
      </c>
      <c r="H71">
        <v>12</v>
      </c>
      <c r="I71">
        <v>10</v>
      </c>
      <c r="J71">
        <v>38</v>
      </c>
      <c r="K71">
        <v>2.8</v>
      </c>
      <c r="L71" s="3">
        <v>3.6</v>
      </c>
      <c r="M71" t="s">
        <v>1036</v>
      </c>
      <c r="N71">
        <v>50</v>
      </c>
    </row>
    <row r="72" spans="1:14" x14ac:dyDescent="0.3">
      <c r="A72" t="s">
        <v>101</v>
      </c>
      <c r="B72" t="s">
        <v>1016</v>
      </c>
      <c r="C72" t="s">
        <v>1033</v>
      </c>
      <c r="D72">
        <v>48</v>
      </c>
      <c r="E72">
        <v>15</v>
      </c>
      <c r="F72" s="3">
        <v>43888</v>
      </c>
      <c r="G72">
        <v>47</v>
      </c>
      <c r="H72">
        <v>14</v>
      </c>
      <c r="I72">
        <v>24</v>
      </c>
      <c r="J72">
        <v>35</v>
      </c>
      <c r="K72">
        <v>2.1</v>
      </c>
      <c r="L72" s="3">
        <v>3.6</v>
      </c>
      <c r="M72" t="s">
        <v>1036</v>
      </c>
      <c r="N72">
        <v>51.23</v>
      </c>
    </row>
    <row r="73" spans="1:14" x14ac:dyDescent="0.3">
      <c r="A73" t="s">
        <v>115</v>
      </c>
      <c r="B73" t="s">
        <v>1016</v>
      </c>
      <c r="C73" t="s">
        <v>1033</v>
      </c>
      <c r="D73">
        <v>49</v>
      </c>
      <c r="E73">
        <v>4</v>
      </c>
      <c r="F73" s="3">
        <v>41003</v>
      </c>
      <c r="G73">
        <v>51</v>
      </c>
      <c r="H73">
        <v>7</v>
      </c>
      <c r="I73">
        <v>18</v>
      </c>
      <c r="J73">
        <v>11</v>
      </c>
      <c r="K73">
        <v>2.5</v>
      </c>
      <c r="L73" s="3">
        <v>3.6</v>
      </c>
      <c r="M73" t="s">
        <v>1036</v>
      </c>
      <c r="N73">
        <v>40.770000000000003</v>
      </c>
    </row>
    <row r="74" spans="1:14" x14ac:dyDescent="0.3">
      <c r="A74" t="s">
        <v>121</v>
      </c>
      <c r="B74" t="s">
        <v>1018</v>
      </c>
      <c r="C74" t="s">
        <v>1032</v>
      </c>
      <c r="D74">
        <v>28</v>
      </c>
      <c r="E74">
        <v>0</v>
      </c>
      <c r="F74" s="3">
        <v>45246</v>
      </c>
      <c r="G74">
        <v>49</v>
      </c>
      <c r="H74">
        <v>1</v>
      </c>
      <c r="I74">
        <v>18</v>
      </c>
      <c r="J74">
        <v>23</v>
      </c>
      <c r="K74">
        <v>4.2</v>
      </c>
      <c r="L74" s="3">
        <v>3.6</v>
      </c>
      <c r="M74" t="s">
        <v>1036</v>
      </c>
      <c r="N74">
        <v>35.869999999999997</v>
      </c>
    </row>
    <row r="75" spans="1:14" x14ac:dyDescent="0.3">
      <c r="A75" t="s">
        <v>140</v>
      </c>
      <c r="B75" t="s">
        <v>1017</v>
      </c>
      <c r="C75" t="s">
        <v>1026</v>
      </c>
      <c r="D75">
        <v>42</v>
      </c>
      <c r="E75">
        <v>8</v>
      </c>
      <c r="F75" s="3">
        <v>49530</v>
      </c>
      <c r="G75">
        <v>39</v>
      </c>
      <c r="H75">
        <v>11</v>
      </c>
      <c r="I75">
        <v>15</v>
      </c>
      <c r="J75">
        <v>4</v>
      </c>
      <c r="K75">
        <v>2.2999999999999998</v>
      </c>
      <c r="L75" s="3">
        <v>3.6</v>
      </c>
      <c r="M75" t="s">
        <v>1036</v>
      </c>
      <c r="N75">
        <v>46.83</v>
      </c>
    </row>
    <row r="76" spans="1:14" x14ac:dyDescent="0.3">
      <c r="A76" t="s">
        <v>186</v>
      </c>
      <c r="B76" t="s">
        <v>1017</v>
      </c>
      <c r="C76" t="s">
        <v>1024</v>
      </c>
      <c r="D76">
        <v>53</v>
      </c>
      <c r="E76">
        <v>11</v>
      </c>
      <c r="F76" s="3">
        <v>85575</v>
      </c>
      <c r="G76">
        <v>51</v>
      </c>
      <c r="H76">
        <v>5</v>
      </c>
      <c r="I76">
        <v>25</v>
      </c>
      <c r="J76">
        <v>5</v>
      </c>
      <c r="K76">
        <v>4.2</v>
      </c>
      <c r="L76" s="3">
        <v>3.6</v>
      </c>
      <c r="M76" t="s">
        <v>1036</v>
      </c>
      <c r="N76">
        <v>42.53</v>
      </c>
    </row>
    <row r="77" spans="1:14" x14ac:dyDescent="0.3">
      <c r="A77" t="s">
        <v>299</v>
      </c>
      <c r="B77" t="s">
        <v>1015</v>
      </c>
      <c r="C77" t="s">
        <v>1029</v>
      </c>
      <c r="D77">
        <v>54</v>
      </c>
      <c r="E77">
        <v>15</v>
      </c>
      <c r="F77" s="3">
        <v>51813</v>
      </c>
      <c r="G77">
        <v>50</v>
      </c>
      <c r="H77">
        <v>7</v>
      </c>
      <c r="I77">
        <v>22</v>
      </c>
      <c r="J77">
        <v>28</v>
      </c>
      <c r="K77">
        <v>3.5</v>
      </c>
      <c r="L77" s="3">
        <v>3.6</v>
      </c>
      <c r="M77" t="s">
        <v>1036</v>
      </c>
      <c r="N77">
        <v>43.77</v>
      </c>
    </row>
    <row r="78" spans="1:14" x14ac:dyDescent="0.3">
      <c r="A78" t="s">
        <v>313</v>
      </c>
      <c r="B78" t="s">
        <v>1018</v>
      </c>
      <c r="C78" t="s">
        <v>1028</v>
      </c>
      <c r="D78">
        <v>25</v>
      </c>
      <c r="E78">
        <v>3</v>
      </c>
      <c r="F78" s="3">
        <v>65999</v>
      </c>
      <c r="G78">
        <v>44</v>
      </c>
      <c r="H78">
        <v>12</v>
      </c>
      <c r="I78">
        <v>22</v>
      </c>
      <c r="J78">
        <v>14</v>
      </c>
      <c r="K78">
        <v>3.3</v>
      </c>
      <c r="L78" s="3">
        <v>3.6</v>
      </c>
      <c r="M78" t="s">
        <v>1036</v>
      </c>
      <c r="N78">
        <v>51.5</v>
      </c>
    </row>
    <row r="79" spans="1:14" x14ac:dyDescent="0.3">
      <c r="A79" t="s">
        <v>324</v>
      </c>
      <c r="B79" t="s">
        <v>1017</v>
      </c>
      <c r="C79" t="s">
        <v>1030</v>
      </c>
      <c r="D79">
        <v>49</v>
      </c>
      <c r="E79">
        <v>12</v>
      </c>
      <c r="F79" s="3">
        <v>30401</v>
      </c>
      <c r="G79">
        <v>55</v>
      </c>
      <c r="H79">
        <v>9</v>
      </c>
      <c r="I79">
        <v>17</v>
      </c>
      <c r="J79">
        <v>39</v>
      </c>
      <c r="K79">
        <v>2.5</v>
      </c>
      <c r="L79" s="3">
        <v>3.6</v>
      </c>
      <c r="M79" t="s">
        <v>1036</v>
      </c>
      <c r="N79">
        <v>44.1</v>
      </c>
    </row>
    <row r="80" spans="1:14" x14ac:dyDescent="0.3">
      <c r="A80" t="s">
        <v>448</v>
      </c>
      <c r="B80" t="s">
        <v>1018</v>
      </c>
      <c r="C80" t="s">
        <v>1028</v>
      </c>
      <c r="D80">
        <v>55</v>
      </c>
      <c r="E80">
        <v>2</v>
      </c>
      <c r="F80" s="3">
        <v>76528</v>
      </c>
      <c r="G80">
        <v>51</v>
      </c>
      <c r="H80">
        <v>3</v>
      </c>
      <c r="I80">
        <v>13</v>
      </c>
      <c r="J80">
        <v>34</v>
      </c>
      <c r="K80">
        <v>3.6</v>
      </c>
      <c r="L80" s="3">
        <v>3.6</v>
      </c>
      <c r="M80" t="s">
        <v>1036</v>
      </c>
      <c r="N80">
        <v>37.4</v>
      </c>
    </row>
    <row r="81" spans="1:14" x14ac:dyDescent="0.3">
      <c r="A81" t="s">
        <v>452</v>
      </c>
      <c r="B81" t="s">
        <v>1015</v>
      </c>
      <c r="C81" t="s">
        <v>1029</v>
      </c>
      <c r="D81">
        <v>54</v>
      </c>
      <c r="E81">
        <v>14</v>
      </c>
      <c r="F81" s="3">
        <v>56903</v>
      </c>
      <c r="G81">
        <v>36</v>
      </c>
      <c r="H81">
        <v>5</v>
      </c>
      <c r="I81">
        <v>20</v>
      </c>
      <c r="J81">
        <v>12</v>
      </c>
      <c r="K81">
        <v>3</v>
      </c>
      <c r="L81" s="3">
        <v>3.6</v>
      </c>
      <c r="M81" t="s">
        <v>1036</v>
      </c>
      <c r="N81">
        <v>38.93</v>
      </c>
    </row>
    <row r="82" spans="1:14" x14ac:dyDescent="0.3">
      <c r="A82" t="s">
        <v>485</v>
      </c>
      <c r="B82" t="s">
        <v>1016</v>
      </c>
      <c r="C82" t="s">
        <v>1022</v>
      </c>
      <c r="D82">
        <v>28</v>
      </c>
      <c r="E82">
        <v>6</v>
      </c>
      <c r="F82" s="3">
        <v>33774</v>
      </c>
      <c r="G82">
        <v>43</v>
      </c>
      <c r="H82">
        <v>8</v>
      </c>
      <c r="I82">
        <v>24</v>
      </c>
      <c r="J82">
        <v>14</v>
      </c>
      <c r="K82">
        <v>4.7</v>
      </c>
      <c r="L82" s="3">
        <v>3.6</v>
      </c>
      <c r="M82" t="s">
        <v>1036</v>
      </c>
      <c r="N82">
        <v>49.03</v>
      </c>
    </row>
    <row r="83" spans="1:14" x14ac:dyDescent="0.3">
      <c r="A83" t="s">
        <v>561</v>
      </c>
      <c r="B83" t="s">
        <v>1018</v>
      </c>
      <c r="C83" t="s">
        <v>1032</v>
      </c>
      <c r="D83">
        <v>31</v>
      </c>
      <c r="E83">
        <v>0</v>
      </c>
      <c r="F83" s="3">
        <v>69147</v>
      </c>
      <c r="G83">
        <v>47</v>
      </c>
      <c r="H83">
        <v>8</v>
      </c>
      <c r="I83">
        <v>24</v>
      </c>
      <c r="J83">
        <v>38</v>
      </c>
      <c r="K83">
        <v>3.7</v>
      </c>
      <c r="L83" s="3">
        <v>3.6</v>
      </c>
      <c r="M83" t="s">
        <v>1036</v>
      </c>
      <c r="N83">
        <v>46.03</v>
      </c>
    </row>
    <row r="84" spans="1:14" x14ac:dyDescent="0.3">
      <c r="A84" t="s">
        <v>655</v>
      </c>
      <c r="B84" t="s">
        <v>1017</v>
      </c>
      <c r="C84" t="s">
        <v>1024</v>
      </c>
      <c r="D84">
        <v>44</v>
      </c>
      <c r="E84">
        <v>7</v>
      </c>
      <c r="F84" s="3">
        <v>72530</v>
      </c>
      <c r="G84">
        <v>44</v>
      </c>
      <c r="H84">
        <v>5</v>
      </c>
      <c r="I84">
        <v>6</v>
      </c>
      <c r="J84">
        <v>2</v>
      </c>
      <c r="K84">
        <v>2.1</v>
      </c>
      <c r="L84" s="3">
        <v>3.6</v>
      </c>
      <c r="M84" t="s">
        <v>1036</v>
      </c>
      <c r="N84">
        <v>36.229999999999997</v>
      </c>
    </row>
    <row r="85" spans="1:14" x14ac:dyDescent="0.3">
      <c r="A85" t="s">
        <v>715</v>
      </c>
      <c r="B85" t="s">
        <v>1018</v>
      </c>
      <c r="C85" t="s">
        <v>1032</v>
      </c>
      <c r="D85">
        <v>41</v>
      </c>
      <c r="E85">
        <v>15</v>
      </c>
      <c r="F85" s="3">
        <v>89774</v>
      </c>
      <c r="G85">
        <v>51</v>
      </c>
      <c r="H85">
        <v>6</v>
      </c>
      <c r="I85">
        <v>2</v>
      </c>
      <c r="J85">
        <v>37</v>
      </c>
      <c r="K85">
        <v>4.3</v>
      </c>
      <c r="L85" s="3">
        <v>3.6</v>
      </c>
      <c r="M85" t="s">
        <v>1036</v>
      </c>
      <c r="N85">
        <v>44.5</v>
      </c>
    </row>
    <row r="86" spans="1:14" x14ac:dyDescent="0.3">
      <c r="A86" t="s">
        <v>796</v>
      </c>
      <c r="B86" t="s">
        <v>1016</v>
      </c>
      <c r="C86" t="s">
        <v>1022</v>
      </c>
      <c r="D86">
        <v>29</v>
      </c>
      <c r="E86">
        <v>6</v>
      </c>
      <c r="F86" s="3">
        <v>49481</v>
      </c>
      <c r="G86">
        <v>53</v>
      </c>
      <c r="H86">
        <v>15</v>
      </c>
      <c r="I86">
        <v>3</v>
      </c>
      <c r="J86">
        <v>20</v>
      </c>
      <c r="K86">
        <v>2.5</v>
      </c>
      <c r="L86" s="3">
        <v>3.6</v>
      </c>
      <c r="M86" t="s">
        <v>1036</v>
      </c>
      <c r="N86">
        <v>54.1</v>
      </c>
    </row>
    <row r="87" spans="1:14" x14ac:dyDescent="0.3">
      <c r="A87" t="s">
        <v>806</v>
      </c>
      <c r="B87" t="s">
        <v>1017</v>
      </c>
      <c r="C87" t="s">
        <v>1024</v>
      </c>
      <c r="D87">
        <v>48</v>
      </c>
      <c r="E87">
        <v>3</v>
      </c>
      <c r="F87" s="3">
        <v>55451</v>
      </c>
      <c r="G87">
        <v>53</v>
      </c>
      <c r="H87">
        <v>14</v>
      </c>
      <c r="I87">
        <v>8</v>
      </c>
      <c r="J87">
        <v>22</v>
      </c>
      <c r="K87">
        <v>2.8</v>
      </c>
      <c r="L87" s="3">
        <v>3.6</v>
      </c>
      <c r="M87" t="s">
        <v>1036</v>
      </c>
      <c r="N87">
        <v>53.33</v>
      </c>
    </row>
    <row r="88" spans="1:14" x14ac:dyDescent="0.3">
      <c r="A88" t="s">
        <v>810</v>
      </c>
      <c r="B88" t="s">
        <v>1017</v>
      </c>
      <c r="C88" t="s">
        <v>1030</v>
      </c>
      <c r="D88">
        <v>53</v>
      </c>
      <c r="E88">
        <v>9</v>
      </c>
      <c r="F88" s="3">
        <v>65533</v>
      </c>
      <c r="G88">
        <v>54</v>
      </c>
      <c r="H88">
        <v>6</v>
      </c>
      <c r="I88">
        <v>22</v>
      </c>
      <c r="J88">
        <v>25</v>
      </c>
      <c r="K88">
        <v>4.4000000000000004</v>
      </c>
      <c r="L88" s="3">
        <v>3.6</v>
      </c>
      <c r="M88" t="s">
        <v>1036</v>
      </c>
      <c r="N88">
        <v>44.8</v>
      </c>
    </row>
    <row r="89" spans="1:14" x14ac:dyDescent="0.3">
      <c r="A89" t="s">
        <v>833</v>
      </c>
      <c r="B89" t="s">
        <v>1015</v>
      </c>
      <c r="C89" t="s">
        <v>1020</v>
      </c>
      <c r="D89">
        <v>50</v>
      </c>
      <c r="E89">
        <v>11</v>
      </c>
      <c r="F89" s="3">
        <v>83174</v>
      </c>
      <c r="G89">
        <v>55</v>
      </c>
      <c r="H89">
        <v>7</v>
      </c>
      <c r="I89">
        <v>24</v>
      </c>
      <c r="J89">
        <v>12</v>
      </c>
      <c r="K89">
        <v>4.5999999999999996</v>
      </c>
      <c r="L89" s="3">
        <v>3.6</v>
      </c>
      <c r="M89" t="s">
        <v>1036</v>
      </c>
      <c r="N89">
        <v>47.07</v>
      </c>
    </row>
    <row r="90" spans="1:14" x14ac:dyDescent="0.3">
      <c r="A90" t="s">
        <v>854</v>
      </c>
      <c r="B90" t="s">
        <v>1016</v>
      </c>
      <c r="C90" t="s">
        <v>1023</v>
      </c>
      <c r="D90">
        <v>49</v>
      </c>
      <c r="E90">
        <v>5</v>
      </c>
      <c r="F90" s="3">
        <v>52193</v>
      </c>
      <c r="G90">
        <v>35</v>
      </c>
      <c r="H90">
        <v>14</v>
      </c>
      <c r="I90">
        <v>16</v>
      </c>
      <c r="J90">
        <v>20</v>
      </c>
      <c r="K90">
        <v>3.1</v>
      </c>
      <c r="L90" s="3">
        <v>3.6</v>
      </c>
      <c r="M90" t="s">
        <v>1036</v>
      </c>
      <c r="N90">
        <v>54.23</v>
      </c>
    </row>
    <row r="91" spans="1:14" x14ac:dyDescent="0.3">
      <c r="A91" t="s">
        <v>863</v>
      </c>
      <c r="B91" t="s">
        <v>1018</v>
      </c>
      <c r="C91" t="s">
        <v>1027</v>
      </c>
      <c r="D91">
        <v>54</v>
      </c>
      <c r="E91">
        <v>9</v>
      </c>
      <c r="F91" s="3">
        <v>27980</v>
      </c>
      <c r="G91">
        <v>40</v>
      </c>
      <c r="H91">
        <v>12</v>
      </c>
      <c r="I91">
        <v>17</v>
      </c>
      <c r="J91">
        <v>36</v>
      </c>
      <c r="K91">
        <v>2.2000000000000002</v>
      </c>
      <c r="L91" s="3">
        <v>3.6</v>
      </c>
      <c r="M91" t="s">
        <v>1036</v>
      </c>
      <c r="N91">
        <v>48.2</v>
      </c>
    </row>
    <row r="92" spans="1:14" x14ac:dyDescent="0.3">
      <c r="A92" t="s">
        <v>87</v>
      </c>
      <c r="B92" t="s">
        <v>1018</v>
      </c>
      <c r="C92" t="s">
        <v>1028</v>
      </c>
      <c r="D92">
        <v>52</v>
      </c>
      <c r="E92">
        <v>8</v>
      </c>
      <c r="F92" s="3">
        <v>72486</v>
      </c>
      <c r="G92">
        <v>53</v>
      </c>
      <c r="H92">
        <v>13</v>
      </c>
      <c r="I92">
        <v>16</v>
      </c>
      <c r="J92">
        <v>38</v>
      </c>
      <c r="K92">
        <v>2.8</v>
      </c>
      <c r="L92" s="3">
        <v>3.7</v>
      </c>
      <c r="M92" t="s">
        <v>1036</v>
      </c>
      <c r="N92">
        <v>52.27</v>
      </c>
    </row>
    <row r="93" spans="1:14" x14ac:dyDescent="0.3">
      <c r="A93" t="s">
        <v>110</v>
      </c>
      <c r="B93" t="s">
        <v>1017</v>
      </c>
      <c r="C93" t="s">
        <v>1026</v>
      </c>
      <c r="D93">
        <v>46</v>
      </c>
      <c r="E93">
        <v>4</v>
      </c>
      <c r="F93" s="3">
        <v>57461</v>
      </c>
      <c r="G93">
        <v>36</v>
      </c>
      <c r="H93">
        <v>3</v>
      </c>
      <c r="I93">
        <v>16</v>
      </c>
      <c r="J93">
        <v>37</v>
      </c>
      <c r="K93">
        <v>3</v>
      </c>
      <c r="L93" s="3">
        <v>3.7</v>
      </c>
      <c r="M93" t="s">
        <v>1036</v>
      </c>
      <c r="N93">
        <v>36.200000000000003</v>
      </c>
    </row>
    <row r="94" spans="1:14" x14ac:dyDescent="0.3">
      <c r="A94" t="s">
        <v>205</v>
      </c>
      <c r="B94" t="s">
        <v>1018</v>
      </c>
      <c r="C94" t="s">
        <v>1028</v>
      </c>
      <c r="D94">
        <v>42</v>
      </c>
      <c r="E94">
        <v>10</v>
      </c>
      <c r="F94" s="3">
        <v>73116</v>
      </c>
      <c r="G94">
        <v>46</v>
      </c>
      <c r="H94">
        <v>7</v>
      </c>
      <c r="I94">
        <v>4</v>
      </c>
      <c r="J94">
        <v>23</v>
      </c>
      <c r="K94">
        <v>3.5</v>
      </c>
      <c r="L94" s="3">
        <v>3.7</v>
      </c>
      <c r="M94" t="s">
        <v>1036</v>
      </c>
      <c r="N94">
        <v>44.37</v>
      </c>
    </row>
    <row r="95" spans="1:14" x14ac:dyDescent="0.3">
      <c r="A95" t="s">
        <v>273</v>
      </c>
      <c r="B95" t="s">
        <v>1014</v>
      </c>
      <c r="C95" t="s">
        <v>1019</v>
      </c>
      <c r="D95">
        <v>39</v>
      </c>
      <c r="E95">
        <v>4</v>
      </c>
      <c r="F95" s="3">
        <v>49903</v>
      </c>
      <c r="G95">
        <v>55</v>
      </c>
      <c r="H95">
        <v>3</v>
      </c>
      <c r="I95">
        <v>23</v>
      </c>
      <c r="J95">
        <v>24</v>
      </c>
      <c r="K95">
        <v>3</v>
      </c>
      <c r="L95" s="3">
        <v>3.7</v>
      </c>
      <c r="M95" t="s">
        <v>1036</v>
      </c>
      <c r="N95">
        <v>36.200000000000003</v>
      </c>
    </row>
    <row r="96" spans="1:14" x14ac:dyDescent="0.3">
      <c r="A96" t="s">
        <v>330</v>
      </c>
      <c r="B96" t="s">
        <v>1016</v>
      </c>
      <c r="C96" t="s">
        <v>1022</v>
      </c>
      <c r="D96">
        <v>25</v>
      </c>
      <c r="E96">
        <v>3</v>
      </c>
      <c r="F96" s="3">
        <v>81319</v>
      </c>
      <c r="G96">
        <v>53</v>
      </c>
      <c r="H96">
        <v>3</v>
      </c>
      <c r="I96">
        <v>11</v>
      </c>
      <c r="J96">
        <v>10</v>
      </c>
      <c r="K96">
        <v>2.8</v>
      </c>
      <c r="L96" s="3">
        <v>3.7</v>
      </c>
      <c r="M96" t="s">
        <v>1036</v>
      </c>
      <c r="N96">
        <v>35.6</v>
      </c>
    </row>
    <row r="97" spans="1:14" x14ac:dyDescent="0.3">
      <c r="A97" t="s">
        <v>341</v>
      </c>
      <c r="B97" t="s">
        <v>1017</v>
      </c>
      <c r="C97" t="s">
        <v>1026</v>
      </c>
      <c r="D97">
        <v>39</v>
      </c>
      <c r="E97">
        <v>7</v>
      </c>
      <c r="F97" s="3">
        <v>29894</v>
      </c>
      <c r="G97">
        <v>41</v>
      </c>
      <c r="H97">
        <v>3</v>
      </c>
      <c r="I97">
        <v>24</v>
      </c>
      <c r="J97">
        <v>37</v>
      </c>
      <c r="K97">
        <v>2.2999999999999998</v>
      </c>
      <c r="L97" s="3">
        <v>3.7</v>
      </c>
      <c r="M97" t="s">
        <v>1036</v>
      </c>
      <c r="N97">
        <v>34.1</v>
      </c>
    </row>
    <row r="98" spans="1:14" x14ac:dyDescent="0.3">
      <c r="A98" t="s">
        <v>368</v>
      </c>
      <c r="B98" t="s">
        <v>1016</v>
      </c>
      <c r="C98" t="s">
        <v>1023</v>
      </c>
      <c r="D98">
        <v>52</v>
      </c>
      <c r="E98">
        <v>0</v>
      </c>
      <c r="F98" s="3">
        <v>53267</v>
      </c>
      <c r="G98">
        <v>55</v>
      </c>
      <c r="H98">
        <v>3</v>
      </c>
      <c r="I98">
        <v>19</v>
      </c>
      <c r="J98">
        <v>27</v>
      </c>
      <c r="K98">
        <v>2.5</v>
      </c>
      <c r="L98" s="3">
        <v>3.7</v>
      </c>
      <c r="M98" t="s">
        <v>1036</v>
      </c>
      <c r="N98">
        <v>34.700000000000003</v>
      </c>
    </row>
    <row r="99" spans="1:14" x14ac:dyDescent="0.3">
      <c r="A99" t="s">
        <v>504</v>
      </c>
      <c r="B99" t="s">
        <v>1018</v>
      </c>
      <c r="C99" t="s">
        <v>1028</v>
      </c>
      <c r="D99">
        <v>36</v>
      </c>
      <c r="E99">
        <v>6</v>
      </c>
      <c r="F99" s="3">
        <v>79718</v>
      </c>
      <c r="G99">
        <v>42</v>
      </c>
      <c r="H99">
        <v>14</v>
      </c>
      <c r="I99">
        <v>19</v>
      </c>
      <c r="J99">
        <v>22</v>
      </c>
      <c r="K99">
        <v>2.5</v>
      </c>
      <c r="L99" s="3">
        <v>3.7</v>
      </c>
      <c r="M99" t="s">
        <v>1036</v>
      </c>
      <c r="N99">
        <v>53.03</v>
      </c>
    </row>
    <row r="100" spans="1:14" x14ac:dyDescent="0.3">
      <c r="A100" t="s">
        <v>513</v>
      </c>
      <c r="B100" t="s">
        <v>1017</v>
      </c>
      <c r="C100" t="s">
        <v>1024</v>
      </c>
      <c r="D100">
        <v>28</v>
      </c>
      <c r="E100">
        <v>2</v>
      </c>
      <c r="F100" s="3">
        <v>28934</v>
      </c>
      <c r="G100">
        <v>41</v>
      </c>
      <c r="H100">
        <v>14</v>
      </c>
      <c r="I100">
        <v>8</v>
      </c>
      <c r="J100">
        <v>30</v>
      </c>
      <c r="K100">
        <v>4.5</v>
      </c>
      <c r="L100" s="3">
        <v>3.7</v>
      </c>
      <c r="M100" t="s">
        <v>1036</v>
      </c>
      <c r="N100">
        <v>59.03</v>
      </c>
    </row>
    <row r="101" spans="1:14" x14ac:dyDescent="0.3">
      <c r="A101" t="s">
        <v>550</v>
      </c>
      <c r="B101" t="s">
        <v>1018</v>
      </c>
      <c r="C101" t="s">
        <v>1027</v>
      </c>
      <c r="D101">
        <v>55</v>
      </c>
      <c r="E101">
        <v>7</v>
      </c>
      <c r="F101" s="3">
        <v>62357</v>
      </c>
      <c r="G101">
        <v>55</v>
      </c>
      <c r="H101">
        <v>3</v>
      </c>
      <c r="I101">
        <v>17</v>
      </c>
      <c r="J101">
        <v>35</v>
      </c>
      <c r="K101">
        <v>3.2</v>
      </c>
      <c r="L101" s="3">
        <v>3.7</v>
      </c>
      <c r="M101" t="s">
        <v>1036</v>
      </c>
      <c r="N101">
        <v>36.799999999999997</v>
      </c>
    </row>
    <row r="102" spans="1:14" x14ac:dyDescent="0.3">
      <c r="A102" t="s">
        <v>682</v>
      </c>
      <c r="B102" t="s">
        <v>1017</v>
      </c>
      <c r="C102" t="s">
        <v>1024</v>
      </c>
      <c r="D102">
        <v>42</v>
      </c>
      <c r="E102">
        <v>13</v>
      </c>
      <c r="F102" s="3">
        <v>38025</v>
      </c>
      <c r="G102">
        <v>45</v>
      </c>
      <c r="H102">
        <v>4</v>
      </c>
      <c r="I102">
        <v>24</v>
      </c>
      <c r="J102">
        <v>7</v>
      </c>
      <c r="K102">
        <v>3</v>
      </c>
      <c r="L102" s="3">
        <v>3.7</v>
      </c>
      <c r="M102" t="s">
        <v>1036</v>
      </c>
      <c r="N102">
        <v>37.869999999999997</v>
      </c>
    </row>
    <row r="103" spans="1:14" x14ac:dyDescent="0.3">
      <c r="A103" t="s">
        <v>754</v>
      </c>
      <c r="B103" t="s">
        <v>1014</v>
      </c>
      <c r="C103" t="s">
        <v>1025</v>
      </c>
      <c r="D103">
        <v>42</v>
      </c>
      <c r="E103">
        <v>12</v>
      </c>
      <c r="F103" s="3">
        <v>62378</v>
      </c>
      <c r="G103">
        <v>47</v>
      </c>
      <c r="H103">
        <v>6</v>
      </c>
      <c r="I103">
        <v>18</v>
      </c>
      <c r="J103">
        <v>6</v>
      </c>
      <c r="K103">
        <v>4.4000000000000004</v>
      </c>
      <c r="L103" s="3">
        <v>3.7</v>
      </c>
      <c r="M103" t="s">
        <v>1036</v>
      </c>
      <c r="N103">
        <v>45.4</v>
      </c>
    </row>
    <row r="104" spans="1:14" x14ac:dyDescent="0.3">
      <c r="A104" t="s">
        <v>793</v>
      </c>
      <c r="B104" t="s">
        <v>1015</v>
      </c>
      <c r="C104" t="s">
        <v>1021</v>
      </c>
      <c r="D104">
        <v>53</v>
      </c>
      <c r="E104">
        <v>14</v>
      </c>
      <c r="F104" s="3">
        <v>57308</v>
      </c>
      <c r="G104">
        <v>38</v>
      </c>
      <c r="H104">
        <v>14</v>
      </c>
      <c r="I104">
        <v>23</v>
      </c>
      <c r="J104">
        <v>9</v>
      </c>
      <c r="K104">
        <v>2.4</v>
      </c>
      <c r="L104" s="3">
        <v>3.7</v>
      </c>
      <c r="M104" t="s">
        <v>1036</v>
      </c>
      <c r="N104">
        <v>52.73</v>
      </c>
    </row>
    <row r="105" spans="1:14" x14ac:dyDescent="0.3">
      <c r="A105" t="s">
        <v>856</v>
      </c>
      <c r="B105" t="s">
        <v>1018</v>
      </c>
      <c r="C105" t="s">
        <v>1028</v>
      </c>
      <c r="D105">
        <v>25</v>
      </c>
      <c r="E105">
        <v>4</v>
      </c>
      <c r="F105" s="3">
        <v>87988</v>
      </c>
      <c r="G105">
        <v>45</v>
      </c>
      <c r="H105">
        <v>3</v>
      </c>
      <c r="I105">
        <v>0</v>
      </c>
      <c r="J105">
        <v>3</v>
      </c>
      <c r="K105">
        <v>2.9</v>
      </c>
      <c r="L105" s="3">
        <v>3.7</v>
      </c>
      <c r="M105" t="s">
        <v>1036</v>
      </c>
      <c r="N105">
        <v>35.9</v>
      </c>
    </row>
    <row r="106" spans="1:14" x14ac:dyDescent="0.3">
      <c r="A106" t="s">
        <v>932</v>
      </c>
      <c r="B106" t="s">
        <v>1016</v>
      </c>
      <c r="C106" t="s">
        <v>1033</v>
      </c>
      <c r="D106">
        <v>34</v>
      </c>
      <c r="E106">
        <v>9</v>
      </c>
      <c r="F106" s="3">
        <v>38573</v>
      </c>
      <c r="G106">
        <v>52</v>
      </c>
      <c r="H106">
        <v>7</v>
      </c>
      <c r="I106">
        <v>13</v>
      </c>
      <c r="J106">
        <v>7</v>
      </c>
      <c r="K106">
        <v>2.7</v>
      </c>
      <c r="L106" s="3">
        <v>3.7</v>
      </c>
      <c r="M106" t="s">
        <v>1036</v>
      </c>
      <c r="N106">
        <v>41.97</v>
      </c>
    </row>
    <row r="107" spans="1:14" x14ac:dyDescent="0.3">
      <c r="A107" t="s">
        <v>49</v>
      </c>
      <c r="B107" t="s">
        <v>1018</v>
      </c>
      <c r="C107" t="s">
        <v>1027</v>
      </c>
      <c r="D107">
        <v>38</v>
      </c>
      <c r="E107">
        <v>5</v>
      </c>
      <c r="F107" s="3">
        <v>73577</v>
      </c>
      <c r="G107">
        <v>49</v>
      </c>
      <c r="H107">
        <v>9</v>
      </c>
      <c r="I107">
        <v>22</v>
      </c>
      <c r="J107">
        <v>27</v>
      </c>
      <c r="K107">
        <v>3.7</v>
      </c>
      <c r="L107" s="3">
        <v>3.8</v>
      </c>
      <c r="M107" t="s">
        <v>1036</v>
      </c>
      <c r="N107">
        <v>48.9</v>
      </c>
    </row>
    <row r="108" spans="1:14" x14ac:dyDescent="0.3">
      <c r="A108" t="s">
        <v>126</v>
      </c>
      <c r="B108" t="s">
        <v>1018</v>
      </c>
      <c r="C108" t="s">
        <v>1028</v>
      </c>
      <c r="D108">
        <v>26</v>
      </c>
      <c r="E108">
        <v>5</v>
      </c>
      <c r="F108" s="3">
        <v>78992</v>
      </c>
      <c r="G108">
        <v>49</v>
      </c>
      <c r="H108">
        <v>15</v>
      </c>
      <c r="I108">
        <v>22</v>
      </c>
      <c r="J108">
        <v>19</v>
      </c>
      <c r="K108">
        <v>3.9</v>
      </c>
      <c r="L108" s="3">
        <v>3.8</v>
      </c>
      <c r="M108" t="s">
        <v>1036</v>
      </c>
      <c r="N108">
        <v>59.5</v>
      </c>
    </row>
    <row r="109" spans="1:14" x14ac:dyDescent="0.3">
      <c r="A109" t="s">
        <v>136</v>
      </c>
      <c r="B109" t="s">
        <v>1015</v>
      </c>
      <c r="C109" t="s">
        <v>1020</v>
      </c>
      <c r="D109">
        <v>41</v>
      </c>
      <c r="E109">
        <v>14</v>
      </c>
      <c r="F109" s="3">
        <v>67161</v>
      </c>
      <c r="G109">
        <v>35</v>
      </c>
      <c r="H109">
        <v>1</v>
      </c>
      <c r="I109">
        <v>15</v>
      </c>
      <c r="J109">
        <v>25</v>
      </c>
      <c r="K109">
        <v>3.3</v>
      </c>
      <c r="L109" s="3">
        <v>3.8</v>
      </c>
      <c r="M109" t="s">
        <v>1036</v>
      </c>
      <c r="N109">
        <v>34.369999999999997</v>
      </c>
    </row>
    <row r="110" spans="1:14" x14ac:dyDescent="0.3">
      <c r="A110" t="s">
        <v>138</v>
      </c>
      <c r="B110" t="s">
        <v>1016</v>
      </c>
      <c r="C110" t="s">
        <v>1022</v>
      </c>
      <c r="D110">
        <v>46</v>
      </c>
      <c r="E110">
        <v>9</v>
      </c>
      <c r="F110" s="3">
        <v>54734</v>
      </c>
      <c r="G110">
        <v>51</v>
      </c>
      <c r="H110">
        <v>10</v>
      </c>
      <c r="I110">
        <v>13</v>
      </c>
      <c r="J110">
        <v>6</v>
      </c>
      <c r="K110">
        <v>4.4000000000000004</v>
      </c>
      <c r="L110" s="3">
        <v>3.8</v>
      </c>
      <c r="M110" t="s">
        <v>1036</v>
      </c>
      <c r="N110">
        <v>52.67</v>
      </c>
    </row>
    <row r="111" spans="1:14" x14ac:dyDescent="0.3">
      <c r="A111" t="s">
        <v>154</v>
      </c>
      <c r="B111" t="s">
        <v>1017</v>
      </c>
      <c r="C111" t="s">
        <v>1024</v>
      </c>
      <c r="D111">
        <v>41</v>
      </c>
      <c r="E111">
        <v>10</v>
      </c>
      <c r="F111" s="3">
        <v>39520</v>
      </c>
      <c r="G111">
        <v>45</v>
      </c>
      <c r="H111">
        <v>13</v>
      </c>
      <c r="I111">
        <v>5</v>
      </c>
      <c r="J111">
        <v>4</v>
      </c>
      <c r="K111">
        <v>3.5</v>
      </c>
      <c r="L111" s="3">
        <v>3.8</v>
      </c>
      <c r="M111" t="s">
        <v>1036</v>
      </c>
      <c r="N111">
        <v>54.97</v>
      </c>
    </row>
    <row r="112" spans="1:14" x14ac:dyDescent="0.3">
      <c r="A112" t="s">
        <v>326</v>
      </c>
      <c r="B112" t="s">
        <v>1014</v>
      </c>
      <c r="C112" t="s">
        <v>1025</v>
      </c>
      <c r="D112">
        <v>41</v>
      </c>
      <c r="E112">
        <v>13</v>
      </c>
      <c r="F112" s="3">
        <v>72838</v>
      </c>
      <c r="G112">
        <v>42</v>
      </c>
      <c r="H112">
        <v>1</v>
      </c>
      <c r="I112">
        <v>7</v>
      </c>
      <c r="J112">
        <v>5</v>
      </c>
      <c r="K112">
        <v>4.8</v>
      </c>
      <c r="L112" s="3">
        <v>3.8</v>
      </c>
      <c r="M112" t="s">
        <v>1036</v>
      </c>
      <c r="N112">
        <v>38.869999999999997</v>
      </c>
    </row>
    <row r="113" spans="1:14" x14ac:dyDescent="0.3">
      <c r="A113" t="s">
        <v>328</v>
      </c>
      <c r="B113" t="s">
        <v>1015</v>
      </c>
      <c r="C113" t="s">
        <v>1029</v>
      </c>
      <c r="D113">
        <v>55</v>
      </c>
      <c r="E113">
        <v>8</v>
      </c>
      <c r="F113" s="3">
        <v>35942</v>
      </c>
      <c r="G113">
        <v>46</v>
      </c>
      <c r="H113">
        <v>3</v>
      </c>
      <c r="I113">
        <v>23</v>
      </c>
      <c r="J113">
        <v>17</v>
      </c>
      <c r="K113">
        <v>4.2</v>
      </c>
      <c r="L113" s="3">
        <v>3.8</v>
      </c>
      <c r="M113" t="s">
        <v>1036</v>
      </c>
      <c r="N113">
        <v>40.4</v>
      </c>
    </row>
    <row r="114" spans="1:14" x14ac:dyDescent="0.3">
      <c r="A114" t="s">
        <v>486</v>
      </c>
      <c r="B114" t="s">
        <v>1015</v>
      </c>
      <c r="C114" t="s">
        <v>1029</v>
      </c>
      <c r="D114">
        <v>48</v>
      </c>
      <c r="E114">
        <v>8</v>
      </c>
      <c r="F114" s="3">
        <v>37387</v>
      </c>
      <c r="G114">
        <v>35</v>
      </c>
      <c r="H114">
        <v>12</v>
      </c>
      <c r="I114">
        <v>23</v>
      </c>
      <c r="J114">
        <v>0</v>
      </c>
      <c r="K114">
        <v>3.7</v>
      </c>
      <c r="L114" s="3">
        <v>3.8</v>
      </c>
      <c r="M114" t="s">
        <v>1036</v>
      </c>
      <c r="N114">
        <v>53.9</v>
      </c>
    </row>
    <row r="115" spans="1:14" x14ac:dyDescent="0.3">
      <c r="A115" t="s">
        <v>507</v>
      </c>
      <c r="B115" t="s">
        <v>1017</v>
      </c>
      <c r="C115" t="s">
        <v>1024</v>
      </c>
      <c r="D115">
        <v>52</v>
      </c>
      <c r="E115">
        <v>1</v>
      </c>
      <c r="F115" s="3">
        <v>57930</v>
      </c>
      <c r="G115">
        <v>46</v>
      </c>
      <c r="H115">
        <v>7</v>
      </c>
      <c r="I115">
        <v>21</v>
      </c>
      <c r="J115">
        <v>11</v>
      </c>
      <c r="K115">
        <v>3.4</v>
      </c>
      <c r="L115" s="3">
        <v>3.8</v>
      </c>
      <c r="M115" t="s">
        <v>1036</v>
      </c>
      <c r="N115">
        <v>44.67</v>
      </c>
    </row>
    <row r="116" spans="1:14" x14ac:dyDescent="0.3">
      <c r="A116" t="s">
        <v>559</v>
      </c>
      <c r="B116" t="s">
        <v>1017</v>
      </c>
      <c r="C116" t="s">
        <v>1030</v>
      </c>
      <c r="D116">
        <v>27</v>
      </c>
      <c r="E116">
        <v>6</v>
      </c>
      <c r="F116" s="3">
        <v>28664</v>
      </c>
      <c r="G116">
        <v>45</v>
      </c>
      <c r="H116">
        <v>6</v>
      </c>
      <c r="I116">
        <v>13</v>
      </c>
      <c r="J116">
        <v>26</v>
      </c>
      <c r="K116">
        <v>4.8</v>
      </c>
      <c r="L116" s="3">
        <v>3.8</v>
      </c>
      <c r="M116" t="s">
        <v>1036</v>
      </c>
      <c r="N116">
        <v>47.2</v>
      </c>
    </row>
    <row r="117" spans="1:14" x14ac:dyDescent="0.3">
      <c r="A117" t="s">
        <v>628</v>
      </c>
      <c r="B117" t="s">
        <v>1018</v>
      </c>
      <c r="C117" t="s">
        <v>1027</v>
      </c>
      <c r="D117">
        <v>33</v>
      </c>
      <c r="E117">
        <v>10</v>
      </c>
      <c r="F117" s="3">
        <v>68883</v>
      </c>
      <c r="G117">
        <v>37</v>
      </c>
      <c r="H117">
        <v>12</v>
      </c>
      <c r="I117">
        <v>22</v>
      </c>
      <c r="J117">
        <v>36</v>
      </c>
      <c r="K117">
        <v>4.5</v>
      </c>
      <c r="L117" s="3">
        <v>3.8</v>
      </c>
      <c r="M117" t="s">
        <v>1036</v>
      </c>
      <c r="N117">
        <v>56.3</v>
      </c>
    </row>
    <row r="118" spans="1:14" x14ac:dyDescent="0.3">
      <c r="A118" t="s">
        <v>629</v>
      </c>
      <c r="B118" t="s">
        <v>1017</v>
      </c>
      <c r="C118" t="s">
        <v>1024</v>
      </c>
      <c r="D118">
        <v>42</v>
      </c>
      <c r="E118">
        <v>3</v>
      </c>
      <c r="F118" s="3">
        <v>78872</v>
      </c>
      <c r="G118">
        <v>49</v>
      </c>
      <c r="H118">
        <v>3</v>
      </c>
      <c r="I118">
        <v>9</v>
      </c>
      <c r="J118">
        <v>25</v>
      </c>
      <c r="K118">
        <v>2.2000000000000002</v>
      </c>
      <c r="L118" s="3">
        <v>3.8</v>
      </c>
      <c r="M118" t="s">
        <v>1036</v>
      </c>
      <c r="N118">
        <v>34.4</v>
      </c>
    </row>
    <row r="119" spans="1:14" x14ac:dyDescent="0.3">
      <c r="A119" t="s">
        <v>649</v>
      </c>
      <c r="B119" t="s">
        <v>1018</v>
      </c>
      <c r="C119" t="s">
        <v>1028</v>
      </c>
      <c r="D119">
        <v>35</v>
      </c>
      <c r="E119">
        <v>9</v>
      </c>
      <c r="F119" s="3">
        <v>73127</v>
      </c>
      <c r="G119">
        <v>46</v>
      </c>
      <c r="H119">
        <v>1</v>
      </c>
      <c r="I119">
        <v>20</v>
      </c>
      <c r="J119">
        <v>16</v>
      </c>
      <c r="K119">
        <v>4.3</v>
      </c>
      <c r="L119" s="3">
        <v>3.8</v>
      </c>
      <c r="M119" t="s">
        <v>1036</v>
      </c>
      <c r="N119">
        <v>37.369999999999997</v>
      </c>
    </row>
    <row r="120" spans="1:14" x14ac:dyDescent="0.3">
      <c r="A120" t="s">
        <v>735</v>
      </c>
      <c r="B120" t="s">
        <v>1014</v>
      </c>
      <c r="C120" t="s">
        <v>1031</v>
      </c>
      <c r="D120">
        <v>33</v>
      </c>
      <c r="E120">
        <v>5</v>
      </c>
      <c r="F120" s="3">
        <v>89310</v>
      </c>
      <c r="G120">
        <v>47</v>
      </c>
      <c r="H120">
        <v>7</v>
      </c>
      <c r="I120">
        <v>6</v>
      </c>
      <c r="J120">
        <v>32</v>
      </c>
      <c r="K120">
        <v>2.7</v>
      </c>
      <c r="L120" s="3">
        <v>3.8</v>
      </c>
      <c r="M120" t="s">
        <v>1036</v>
      </c>
      <c r="N120">
        <v>42.57</v>
      </c>
    </row>
    <row r="121" spans="1:14" x14ac:dyDescent="0.3">
      <c r="A121" t="s">
        <v>752</v>
      </c>
      <c r="B121" t="s">
        <v>1018</v>
      </c>
      <c r="C121" t="s">
        <v>1028</v>
      </c>
      <c r="D121">
        <v>37</v>
      </c>
      <c r="E121">
        <v>7</v>
      </c>
      <c r="F121" s="3">
        <v>67472</v>
      </c>
      <c r="G121">
        <v>44</v>
      </c>
      <c r="H121">
        <v>10</v>
      </c>
      <c r="I121">
        <v>2</v>
      </c>
      <c r="J121">
        <v>4</v>
      </c>
      <c r="K121">
        <v>4.5999999999999996</v>
      </c>
      <c r="L121" s="3">
        <v>3.8</v>
      </c>
      <c r="M121" t="s">
        <v>1036</v>
      </c>
      <c r="N121">
        <v>53.27</v>
      </c>
    </row>
    <row r="122" spans="1:14" x14ac:dyDescent="0.3">
      <c r="A122" t="s">
        <v>822</v>
      </c>
      <c r="B122" t="s">
        <v>1016</v>
      </c>
      <c r="C122" t="s">
        <v>1023</v>
      </c>
      <c r="D122">
        <v>32</v>
      </c>
      <c r="E122">
        <v>2</v>
      </c>
      <c r="F122" s="3">
        <v>79260</v>
      </c>
      <c r="G122">
        <v>51</v>
      </c>
      <c r="H122">
        <v>1</v>
      </c>
      <c r="I122">
        <v>25</v>
      </c>
      <c r="J122">
        <v>4</v>
      </c>
      <c r="K122">
        <v>3</v>
      </c>
      <c r="L122" s="3">
        <v>3.8</v>
      </c>
      <c r="M122" t="s">
        <v>1036</v>
      </c>
      <c r="N122">
        <v>33.47</v>
      </c>
    </row>
    <row r="123" spans="1:14" x14ac:dyDescent="0.3">
      <c r="A123" t="s">
        <v>913</v>
      </c>
      <c r="B123" t="s">
        <v>1015</v>
      </c>
      <c r="C123" t="s">
        <v>1020</v>
      </c>
      <c r="D123">
        <v>47</v>
      </c>
      <c r="E123">
        <v>12</v>
      </c>
      <c r="F123" s="3">
        <v>38382</v>
      </c>
      <c r="G123">
        <v>47</v>
      </c>
      <c r="H123">
        <v>2</v>
      </c>
      <c r="I123">
        <v>17</v>
      </c>
      <c r="J123">
        <v>24</v>
      </c>
      <c r="K123">
        <v>2.6</v>
      </c>
      <c r="L123" s="3">
        <v>3.8</v>
      </c>
      <c r="M123" t="s">
        <v>1036</v>
      </c>
      <c r="N123">
        <v>33.93</v>
      </c>
    </row>
    <row r="124" spans="1:14" x14ac:dyDescent="0.3">
      <c r="A124" t="s">
        <v>916</v>
      </c>
      <c r="B124" t="s">
        <v>1014</v>
      </c>
      <c r="C124" t="s">
        <v>1025</v>
      </c>
      <c r="D124">
        <v>45</v>
      </c>
      <c r="E124">
        <v>0</v>
      </c>
      <c r="F124" s="3">
        <v>36260</v>
      </c>
      <c r="G124">
        <v>45</v>
      </c>
      <c r="H124">
        <v>14</v>
      </c>
      <c r="I124">
        <v>13</v>
      </c>
      <c r="J124">
        <v>25</v>
      </c>
      <c r="K124">
        <v>2.5</v>
      </c>
      <c r="L124" s="3">
        <v>3.8</v>
      </c>
      <c r="M124" t="s">
        <v>1036</v>
      </c>
      <c r="N124">
        <v>53.63</v>
      </c>
    </row>
    <row r="125" spans="1:14" x14ac:dyDescent="0.3">
      <c r="A125" t="s">
        <v>931</v>
      </c>
      <c r="B125" t="s">
        <v>1014</v>
      </c>
      <c r="C125" t="s">
        <v>1031</v>
      </c>
      <c r="D125">
        <v>36</v>
      </c>
      <c r="E125">
        <v>3</v>
      </c>
      <c r="F125" s="3">
        <v>77227</v>
      </c>
      <c r="G125">
        <v>40</v>
      </c>
      <c r="H125">
        <v>12</v>
      </c>
      <c r="I125">
        <v>5</v>
      </c>
      <c r="J125">
        <v>2</v>
      </c>
      <c r="K125">
        <v>3.2</v>
      </c>
      <c r="L125" s="3">
        <v>3.8</v>
      </c>
      <c r="M125" t="s">
        <v>1036</v>
      </c>
      <c r="N125">
        <v>52.4</v>
      </c>
    </row>
    <row r="126" spans="1:14" x14ac:dyDescent="0.3">
      <c r="A126" t="s">
        <v>1000</v>
      </c>
      <c r="B126" t="s">
        <v>1016</v>
      </c>
      <c r="C126" t="s">
        <v>1022</v>
      </c>
      <c r="D126">
        <v>49</v>
      </c>
      <c r="E126">
        <v>12</v>
      </c>
      <c r="F126" s="3">
        <v>26698</v>
      </c>
      <c r="G126">
        <v>54</v>
      </c>
      <c r="H126">
        <v>4</v>
      </c>
      <c r="I126">
        <v>2</v>
      </c>
      <c r="J126">
        <v>17</v>
      </c>
      <c r="K126">
        <v>2.4</v>
      </c>
      <c r="L126" s="3">
        <v>3.8</v>
      </c>
      <c r="M126" t="s">
        <v>1036</v>
      </c>
      <c r="N126">
        <v>36.67</v>
      </c>
    </row>
    <row r="127" spans="1:14" x14ac:dyDescent="0.3">
      <c r="A127" t="s">
        <v>46</v>
      </c>
      <c r="B127" t="s">
        <v>1017</v>
      </c>
      <c r="C127" t="s">
        <v>1030</v>
      </c>
      <c r="D127">
        <v>41</v>
      </c>
      <c r="E127">
        <v>0</v>
      </c>
      <c r="F127" s="3">
        <v>68769</v>
      </c>
      <c r="G127">
        <v>52</v>
      </c>
      <c r="H127">
        <v>5</v>
      </c>
      <c r="I127">
        <v>21</v>
      </c>
      <c r="J127">
        <v>6</v>
      </c>
      <c r="K127">
        <v>4.8</v>
      </c>
      <c r="L127" s="3">
        <v>3.9</v>
      </c>
      <c r="M127" t="s">
        <v>1036</v>
      </c>
      <c r="N127">
        <v>46.13</v>
      </c>
    </row>
    <row r="128" spans="1:14" x14ac:dyDescent="0.3">
      <c r="A128" t="s">
        <v>75</v>
      </c>
      <c r="B128" t="s">
        <v>1014</v>
      </c>
      <c r="C128" t="s">
        <v>1025</v>
      </c>
      <c r="D128">
        <v>24</v>
      </c>
      <c r="E128">
        <v>0</v>
      </c>
      <c r="F128" s="3">
        <v>87233</v>
      </c>
      <c r="G128">
        <v>42</v>
      </c>
      <c r="H128">
        <v>4</v>
      </c>
      <c r="I128">
        <v>0</v>
      </c>
      <c r="J128">
        <v>39</v>
      </c>
      <c r="K128">
        <v>2.5</v>
      </c>
      <c r="L128" s="3">
        <v>3.9</v>
      </c>
      <c r="M128" t="s">
        <v>1036</v>
      </c>
      <c r="N128">
        <v>37.57</v>
      </c>
    </row>
    <row r="129" spans="1:14" x14ac:dyDescent="0.3">
      <c r="A129" t="s">
        <v>141</v>
      </c>
      <c r="B129" t="s">
        <v>1014</v>
      </c>
      <c r="C129" t="s">
        <v>1031</v>
      </c>
      <c r="D129">
        <v>45</v>
      </c>
      <c r="E129">
        <v>4</v>
      </c>
      <c r="F129" s="3">
        <v>61462</v>
      </c>
      <c r="G129">
        <v>36</v>
      </c>
      <c r="H129">
        <v>10</v>
      </c>
      <c r="I129">
        <v>17</v>
      </c>
      <c r="J129">
        <v>35</v>
      </c>
      <c r="K129">
        <v>3</v>
      </c>
      <c r="L129" s="3">
        <v>3.9</v>
      </c>
      <c r="M129" t="s">
        <v>1036</v>
      </c>
      <c r="N129">
        <v>49.07</v>
      </c>
    </row>
    <row r="130" spans="1:14" x14ac:dyDescent="0.3">
      <c r="A130" t="s">
        <v>182</v>
      </c>
      <c r="B130" t="s">
        <v>1016</v>
      </c>
      <c r="C130" t="s">
        <v>1022</v>
      </c>
      <c r="D130">
        <v>43</v>
      </c>
      <c r="E130">
        <v>5</v>
      </c>
      <c r="F130" s="3">
        <v>79420</v>
      </c>
      <c r="G130">
        <v>49</v>
      </c>
      <c r="H130">
        <v>12</v>
      </c>
      <c r="I130">
        <v>15</v>
      </c>
      <c r="J130">
        <v>40</v>
      </c>
      <c r="K130">
        <v>2.5</v>
      </c>
      <c r="L130" s="3">
        <v>3.9</v>
      </c>
      <c r="M130" t="s">
        <v>1036</v>
      </c>
      <c r="N130">
        <v>50.9</v>
      </c>
    </row>
    <row r="131" spans="1:14" x14ac:dyDescent="0.3">
      <c r="A131" t="s">
        <v>198</v>
      </c>
      <c r="B131" t="s">
        <v>1017</v>
      </c>
      <c r="C131" t="s">
        <v>1024</v>
      </c>
      <c r="D131">
        <v>51</v>
      </c>
      <c r="E131">
        <v>11</v>
      </c>
      <c r="F131" s="3">
        <v>33410</v>
      </c>
      <c r="G131">
        <v>52</v>
      </c>
      <c r="H131">
        <v>11</v>
      </c>
      <c r="I131">
        <v>18</v>
      </c>
      <c r="J131">
        <v>11</v>
      </c>
      <c r="K131">
        <v>4.3</v>
      </c>
      <c r="L131" s="3">
        <v>3.9</v>
      </c>
      <c r="M131" t="s">
        <v>1036</v>
      </c>
      <c r="N131">
        <v>54.63</v>
      </c>
    </row>
    <row r="132" spans="1:14" x14ac:dyDescent="0.3">
      <c r="A132" t="s">
        <v>295</v>
      </c>
      <c r="B132" t="s">
        <v>1016</v>
      </c>
      <c r="C132" t="s">
        <v>1023</v>
      </c>
      <c r="D132">
        <v>51</v>
      </c>
      <c r="E132">
        <v>5</v>
      </c>
      <c r="F132" s="3">
        <v>78329</v>
      </c>
      <c r="G132">
        <v>44</v>
      </c>
      <c r="H132">
        <v>15</v>
      </c>
      <c r="I132">
        <v>19</v>
      </c>
      <c r="J132">
        <v>37</v>
      </c>
      <c r="K132">
        <v>2.2999999999999998</v>
      </c>
      <c r="L132" s="3">
        <v>3.9</v>
      </c>
      <c r="M132" t="s">
        <v>1036</v>
      </c>
      <c r="N132">
        <v>55.3</v>
      </c>
    </row>
    <row r="133" spans="1:14" x14ac:dyDescent="0.3">
      <c r="A133" t="s">
        <v>306</v>
      </c>
      <c r="B133" t="s">
        <v>1014</v>
      </c>
      <c r="C133" t="s">
        <v>1019</v>
      </c>
      <c r="D133">
        <v>30</v>
      </c>
      <c r="E133">
        <v>6</v>
      </c>
      <c r="F133" s="3">
        <v>85212</v>
      </c>
      <c r="G133">
        <v>36</v>
      </c>
      <c r="H133">
        <v>5</v>
      </c>
      <c r="I133">
        <v>20</v>
      </c>
      <c r="J133">
        <v>8</v>
      </c>
      <c r="K133">
        <v>4.0999999999999996</v>
      </c>
      <c r="L133" s="3">
        <v>3.9</v>
      </c>
      <c r="M133" t="s">
        <v>1036</v>
      </c>
      <c r="N133">
        <v>44.03</v>
      </c>
    </row>
    <row r="134" spans="1:14" x14ac:dyDescent="0.3">
      <c r="A134" t="s">
        <v>376</v>
      </c>
      <c r="B134" t="s">
        <v>1015</v>
      </c>
      <c r="C134" t="s">
        <v>1021</v>
      </c>
      <c r="D134">
        <v>31</v>
      </c>
      <c r="E134">
        <v>1</v>
      </c>
      <c r="F134" s="3">
        <v>87210</v>
      </c>
      <c r="G134">
        <v>49</v>
      </c>
      <c r="H134">
        <v>3</v>
      </c>
      <c r="I134">
        <v>5</v>
      </c>
      <c r="J134">
        <v>13</v>
      </c>
      <c r="K134">
        <v>4.4000000000000004</v>
      </c>
      <c r="L134" s="3">
        <v>3.9</v>
      </c>
      <c r="M134" t="s">
        <v>1036</v>
      </c>
      <c r="N134">
        <v>41.6</v>
      </c>
    </row>
    <row r="135" spans="1:14" x14ac:dyDescent="0.3">
      <c r="A135" t="s">
        <v>437</v>
      </c>
      <c r="B135" t="s">
        <v>1015</v>
      </c>
      <c r="C135" t="s">
        <v>1020</v>
      </c>
      <c r="D135">
        <v>35</v>
      </c>
      <c r="E135">
        <v>3</v>
      </c>
      <c r="F135" s="3">
        <v>38743</v>
      </c>
      <c r="G135">
        <v>54</v>
      </c>
      <c r="H135">
        <v>12</v>
      </c>
      <c r="I135">
        <v>9</v>
      </c>
      <c r="J135">
        <v>22</v>
      </c>
      <c r="K135">
        <v>4.8</v>
      </c>
      <c r="L135" s="3">
        <v>3.9</v>
      </c>
      <c r="M135" t="s">
        <v>1036</v>
      </c>
      <c r="N135">
        <v>57.8</v>
      </c>
    </row>
    <row r="136" spans="1:14" x14ac:dyDescent="0.3">
      <c r="A136" t="s">
        <v>477</v>
      </c>
      <c r="B136" t="s">
        <v>1017</v>
      </c>
      <c r="C136" t="s">
        <v>1024</v>
      </c>
      <c r="D136">
        <v>35</v>
      </c>
      <c r="E136">
        <v>9</v>
      </c>
      <c r="F136" s="3">
        <v>35567</v>
      </c>
      <c r="G136">
        <v>55</v>
      </c>
      <c r="H136">
        <v>14</v>
      </c>
      <c r="I136">
        <v>13</v>
      </c>
      <c r="J136">
        <v>1</v>
      </c>
      <c r="K136">
        <v>2.7</v>
      </c>
      <c r="L136" s="3">
        <v>3.9</v>
      </c>
      <c r="M136" t="s">
        <v>1036</v>
      </c>
      <c r="N136">
        <v>54.83</v>
      </c>
    </row>
    <row r="137" spans="1:14" x14ac:dyDescent="0.3">
      <c r="A137" t="s">
        <v>506</v>
      </c>
      <c r="B137" t="s">
        <v>1016</v>
      </c>
      <c r="C137" t="s">
        <v>1022</v>
      </c>
      <c r="D137">
        <v>53</v>
      </c>
      <c r="E137">
        <v>5</v>
      </c>
      <c r="F137" s="3">
        <v>89513</v>
      </c>
      <c r="G137">
        <v>51</v>
      </c>
      <c r="H137">
        <v>5</v>
      </c>
      <c r="I137">
        <v>12</v>
      </c>
      <c r="J137">
        <v>14</v>
      </c>
      <c r="K137">
        <v>4.3</v>
      </c>
      <c r="L137" s="3">
        <v>3.9</v>
      </c>
      <c r="M137" t="s">
        <v>1036</v>
      </c>
      <c r="N137">
        <v>44.63</v>
      </c>
    </row>
    <row r="138" spans="1:14" x14ac:dyDescent="0.3">
      <c r="A138" t="s">
        <v>522</v>
      </c>
      <c r="B138" t="s">
        <v>1014</v>
      </c>
      <c r="C138" t="s">
        <v>1025</v>
      </c>
      <c r="D138">
        <v>44</v>
      </c>
      <c r="E138">
        <v>10</v>
      </c>
      <c r="F138" s="3">
        <v>81638</v>
      </c>
      <c r="G138">
        <v>50</v>
      </c>
      <c r="H138">
        <v>8</v>
      </c>
      <c r="I138">
        <v>17</v>
      </c>
      <c r="J138">
        <v>17</v>
      </c>
      <c r="K138">
        <v>3.6</v>
      </c>
      <c r="L138" s="3">
        <v>3.9</v>
      </c>
      <c r="M138" t="s">
        <v>1036</v>
      </c>
      <c r="N138">
        <v>47.53</v>
      </c>
    </row>
    <row r="139" spans="1:14" x14ac:dyDescent="0.3">
      <c r="A139" t="s">
        <v>530</v>
      </c>
      <c r="B139" t="s">
        <v>1014</v>
      </c>
      <c r="C139" t="s">
        <v>1031</v>
      </c>
      <c r="D139">
        <v>31</v>
      </c>
      <c r="E139">
        <v>0</v>
      </c>
      <c r="F139" s="3">
        <v>88551</v>
      </c>
      <c r="G139">
        <v>52</v>
      </c>
      <c r="H139">
        <v>1</v>
      </c>
      <c r="I139">
        <v>5</v>
      </c>
      <c r="J139">
        <v>6</v>
      </c>
      <c r="K139">
        <v>2.8</v>
      </c>
      <c r="L139" s="3">
        <v>3.9</v>
      </c>
      <c r="M139" t="s">
        <v>1036</v>
      </c>
      <c r="N139">
        <v>33.47</v>
      </c>
    </row>
    <row r="140" spans="1:14" x14ac:dyDescent="0.3">
      <c r="A140" t="s">
        <v>577</v>
      </c>
      <c r="B140" t="s">
        <v>1018</v>
      </c>
      <c r="C140" t="s">
        <v>1027</v>
      </c>
      <c r="D140">
        <v>31</v>
      </c>
      <c r="E140">
        <v>6</v>
      </c>
      <c r="F140" s="3">
        <v>88605</v>
      </c>
      <c r="G140">
        <v>44</v>
      </c>
      <c r="H140">
        <v>15</v>
      </c>
      <c r="I140">
        <v>19</v>
      </c>
      <c r="J140">
        <v>21</v>
      </c>
      <c r="K140">
        <v>3.3</v>
      </c>
      <c r="L140" s="3">
        <v>3.9</v>
      </c>
      <c r="M140" t="s">
        <v>1036</v>
      </c>
      <c r="N140">
        <v>58.3</v>
      </c>
    </row>
    <row r="141" spans="1:14" x14ac:dyDescent="0.3">
      <c r="A141" t="s">
        <v>591</v>
      </c>
      <c r="B141" t="s">
        <v>1014</v>
      </c>
      <c r="C141" t="s">
        <v>1019</v>
      </c>
      <c r="D141">
        <v>38</v>
      </c>
      <c r="E141">
        <v>10</v>
      </c>
      <c r="F141" s="3">
        <v>70332</v>
      </c>
      <c r="G141">
        <v>55</v>
      </c>
      <c r="H141">
        <v>15</v>
      </c>
      <c r="I141">
        <v>22</v>
      </c>
      <c r="J141">
        <v>10</v>
      </c>
      <c r="K141">
        <v>4.2</v>
      </c>
      <c r="L141" s="3">
        <v>3.9</v>
      </c>
      <c r="M141" t="s">
        <v>1036</v>
      </c>
      <c r="N141">
        <v>61</v>
      </c>
    </row>
    <row r="142" spans="1:14" x14ac:dyDescent="0.3">
      <c r="A142" t="s">
        <v>594</v>
      </c>
      <c r="B142" t="s">
        <v>1014</v>
      </c>
      <c r="C142" t="s">
        <v>1019</v>
      </c>
      <c r="D142">
        <v>48</v>
      </c>
      <c r="E142">
        <v>9</v>
      </c>
      <c r="F142" s="3">
        <v>45284</v>
      </c>
      <c r="G142">
        <v>49</v>
      </c>
      <c r="H142">
        <v>5</v>
      </c>
      <c r="I142">
        <v>20</v>
      </c>
      <c r="J142">
        <v>11</v>
      </c>
      <c r="K142">
        <v>2.4</v>
      </c>
      <c r="L142" s="3">
        <v>3.9</v>
      </c>
      <c r="M142" t="s">
        <v>1036</v>
      </c>
      <c r="N142">
        <v>38.93</v>
      </c>
    </row>
    <row r="143" spans="1:14" x14ac:dyDescent="0.3">
      <c r="A143" t="s">
        <v>788</v>
      </c>
      <c r="B143" t="s">
        <v>1015</v>
      </c>
      <c r="C143" t="s">
        <v>1021</v>
      </c>
      <c r="D143">
        <v>24</v>
      </c>
      <c r="E143">
        <v>1</v>
      </c>
      <c r="F143" s="3">
        <v>42058</v>
      </c>
      <c r="G143">
        <v>40</v>
      </c>
      <c r="H143">
        <v>9</v>
      </c>
      <c r="I143">
        <v>15</v>
      </c>
      <c r="J143">
        <v>21</v>
      </c>
      <c r="K143">
        <v>4.5999999999999996</v>
      </c>
      <c r="L143" s="3">
        <v>3.9</v>
      </c>
      <c r="M143" t="s">
        <v>1036</v>
      </c>
      <c r="N143">
        <v>52.2</v>
      </c>
    </row>
    <row r="144" spans="1:14" x14ac:dyDescent="0.3">
      <c r="A144" t="s">
        <v>850</v>
      </c>
      <c r="B144" t="s">
        <v>1016</v>
      </c>
      <c r="C144" t="s">
        <v>1022</v>
      </c>
      <c r="D144">
        <v>27</v>
      </c>
      <c r="E144">
        <v>6</v>
      </c>
      <c r="F144" s="3">
        <v>35853</v>
      </c>
      <c r="G144">
        <v>35</v>
      </c>
      <c r="H144">
        <v>10</v>
      </c>
      <c r="I144">
        <v>20</v>
      </c>
      <c r="J144">
        <v>19</v>
      </c>
      <c r="K144">
        <v>3.7</v>
      </c>
      <c r="L144" s="3">
        <v>3.9</v>
      </c>
      <c r="M144" t="s">
        <v>1036</v>
      </c>
      <c r="N144">
        <v>51.17</v>
      </c>
    </row>
    <row r="145" spans="1:14" x14ac:dyDescent="0.3">
      <c r="A145" t="s">
        <v>23</v>
      </c>
      <c r="B145" t="s">
        <v>1016</v>
      </c>
      <c r="C145" t="s">
        <v>1022</v>
      </c>
      <c r="D145">
        <v>35</v>
      </c>
      <c r="E145">
        <v>10</v>
      </c>
      <c r="F145" s="3">
        <v>57717</v>
      </c>
      <c r="G145">
        <v>47</v>
      </c>
      <c r="H145">
        <v>15</v>
      </c>
      <c r="I145">
        <v>20</v>
      </c>
      <c r="J145">
        <v>29</v>
      </c>
      <c r="K145">
        <v>2.4</v>
      </c>
      <c r="L145" s="3">
        <v>4</v>
      </c>
      <c r="M145" t="s">
        <v>1036</v>
      </c>
      <c r="N145">
        <v>56.2</v>
      </c>
    </row>
    <row r="146" spans="1:14" x14ac:dyDescent="0.3">
      <c r="A146" t="s">
        <v>24</v>
      </c>
      <c r="B146" t="s">
        <v>1015</v>
      </c>
      <c r="C146" t="s">
        <v>1021</v>
      </c>
      <c r="D146">
        <v>38</v>
      </c>
      <c r="E146">
        <v>13</v>
      </c>
      <c r="F146" s="3">
        <v>83839</v>
      </c>
      <c r="G146">
        <v>53</v>
      </c>
      <c r="H146">
        <v>7</v>
      </c>
      <c r="I146">
        <v>11</v>
      </c>
      <c r="J146">
        <v>14</v>
      </c>
      <c r="K146">
        <v>5</v>
      </c>
      <c r="L146" s="3">
        <v>4</v>
      </c>
      <c r="M146" t="s">
        <v>1036</v>
      </c>
      <c r="N146">
        <v>50.67</v>
      </c>
    </row>
    <row r="147" spans="1:14" x14ac:dyDescent="0.3">
      <c r="A147" t="s">
        <v>62</v>
      </c>
      <c r="B147" t="s">
        <v>1015</v>
      </c>
      <c r="C147" t="s">
        <v>1029</v>
      </c>
      <c r="D147">
        <v>43</v>
      </c>
      <c r="E147">
        <v>2</v>
      </c>
      <c r="F147" s="3">
        <v>78636</v>
      </c>
      <c r="G147">
        <v>42</v>
      </c>
      <c r="H147">
        <v>11</v>
      </c>
      <c r="I147">
        <v>9</v>
      </c>
      <c r="J147">
        <v>14</v>
      </c>
      <c r="K147">
        <v>4.4000000000000004</v>
      </c>
      <c r="L147" s="3">
        <v>4</v>
      </c>
      <c r="M147" t="s">
        <v>1036</v>
      </c>
      <c r="N147">
        <v>55.53</v>
      </c>
    </row>
    <row r="148" spans="1:14" x14ac:dyDescent="0.3">
      <c r="A148" t="s">
        <v>123</v>
      </c>
      <c r="B148" t="s">
        <v>1016</v>
      </c>
      <c r="C148" t="s">
        <v>1023</v>
      </c>
      <c r="D148">
        <v>52</v>
      </c>
      <c r="E148">
        <v>9</v>
      </c>
      <c r="F148" s="3">
        <v>73926</v>
      </c>
      <c r="G148">
        <v>45</v>
      </c>
      <c r="H148">
        <v>13</v>
      </c>
      <c r="I148">
        <v>3</v>
      </c>
      <c r="J148">
        <v>29</v>
      </c>
      <c r="K148">
        <v>4.9000000000000004</v>
      </c>
      <c r="L148" s="3">
        <v>4</v>
      </c>
      <c r="M148" t="s">
        <v>1036</v>
      </c>
      <c r="N148">
        <v>60.37</v>
      </c>
    </row>
    <row r="149" spans="1:14" x14ac:dyDescent="0.3">
      <c r="A149" t="s">
        <v>171</v>
      </c>
      <c r="B149" t="s">
        <v>1017</v>
      </c>
      <c r="C149" t="s">
        <v>1026</v>
      </c>
      <c r="D149">
        <v>40</v>
      </c>
      <c r="E149">
        <v>12</v>
      </c>
      <c r="F149" s="3">
        <v>57958</v>
      </c>
      <c r="G149">
        <v>51</v>
      </c>
      <c r="H149">
        <v>7</v>
      </c>
      <c r="I149">
        <v>5</v>
      </c>
      <c r="J149">
        <v>12</v>
      </c>
      <c r="K149">
        <v>4.4000000000000004</v>
      </c>
      <c r="L149" s="3">
        <v>4</v>
      </c>
      <c r="M149" t="s">
        <v>1036</v>
      </c>
      <c r="N149">
        <v>48.87</v>
      </c>
    </row>
    <row r="150" spans="1:14" x14ac:dyDescent="0.3">
      <c r="A150" t="s">
        <v>231</v>
      </c>
      <c r="B150" t="s">
        <v>1018</v>
      </c>
      <c r="C150" t="s">
        <v>1032</v>
      </c>
      <c r="D150">
        <v>47</v>
      </c>
      <c r="E150">
        <v>13</v>
      </c>
      <c r="F150" s="3">
        <v>58769</v>
      </c>
      <c r="G150">
        <v>45</v>
      </c>
      <c r="H150">
        <v>2</v>
      </c>
      <c r="I150">
        <v>12</v>
      </c>
      <c r="J150">
        <v>6</v>
      </c>
      <c r="K150">
        <v>2.6</v>
      </c>
      <c r="L150" s="3">
        <v>4</v>
      </c>
      <c r="M150" t="s">
        <v>1036</v>
      </c>
      <c r="N150">
        <v>35.130000000000003</v>
      </c>
    </row>
    <row r="151" spans="1:14" x14ac:dyDescent="0.3">
      <c r="A151" t="s">
        <v>359</v>
      </c>
      <c r="B151" t="s">
        <v>1015</v>
      </c>
      <c r="C151" t="s">
        <v>1029</v>
      </c>
      <c r="D151">
        <v>45</v>
      </c>
      <c r="E151">
        <v>2</v>
      </c>
      <c r="F151" s="3">
        <v>49483</v>
      </c>
      <c r="G151">
        <v>47</v>
      </c>
      <c r="H151">
        <v>10</v>
      </c>
      <c r="I151">
        <v>3</v>
      </c>
      <c r="J151">
        <v>21</v>
      </c>
      <c r="K151">
        <v>2.9</v>
      </c>
      <c r="L151" s="3">
        <v>4</v>
      </c>
      <c r="M151" t="s">
        <v>1036</v>
      </c>
      <c r="N151">
        <v>49.37</v>
      </c>
    </row>
    <row r="152" spans="1:14" x14ac:dyDescent="0.3">
      <c r="A152" t="s">
        <v>560</v>
      </c>
      <c r="B152" t="s">
        <v>1015</v>
      </c>
      <c r="C152" t="s">
        <v>1020</v>
      </c>
      <c r="D152">
        <v>22</v>
      </c>
      <c r="E152">
        <v>1</v>
      </c>
      <c r="F152" s="3">
        <v>28547</v>
      </c>
      <c r="G152">
        <v>44</v>
      </c>
      <c r="H152">
        <v>9</v>
      </c>
      <c r="I152">
        <v>1</v>
      </c>
      <c r="J152">
        <v>20</v>
      </c>
      <c r="K152">
        <v>3.6</v>
      </c>
      <c r="L152" s="3">
        <v>4</v>
      </c>
      <c r="M152" t="s">
        <v>1036</v>
      </c>
      <c r="N152">
        <v>49.8</v>
      </c>
    </row>
    <row r="153" spans="1:14" x14ac:dyDescent="0.3">
      <c r="A153" t="s">
        <v>569</v>
      </c>
      <c r="B153" t="s">
        <v>1018</v>
      </c>
      <c r="C153" t="s">
        <v>1027</v>
      </c>
      <c r="D153">
        <v>35</v>
      </c>
      <c r="E153">
        <v>8</v>
      </c>
      <c r="F153" s="3">
        <v>59292</v>
      </c>
      <c r="G153">
        <v>43</v>
      </c>
      <c r="H153">
        <v>9</v>
      </c>
      <c r="I153">
        <v>15</v>
      </c>
      <c r="J153">
        <v>39</v>
      </c>
      <c r="K153">
        <v>4.2</v>
      </c>
      <c r="L153" s="3">
        <v>4</v>
      </c>
      <c r="M153" t="s">
        <v>1036</v>
      </c>
      <c r="N153">
        <v>51.6</v>
      </c>
    </row>
    <row r="154" spans="1:14" x14ac:dyDescent="0.3">
      <c r="A154" t="s">
        <v>593</v>
      </c>
      <c r="B154" t="s">
        <v>1017</v>
      </c>
      <c r="C154" t="s">
        <v>1024</v>
      </c>
      <c r="D154">
        <v>24</v>
      </c>
      <c r="E154">
        <v>1</v>
      </c>
      <c r="F154" s="3">
        <v>84785</v>
      </c>
      <c r="G154">
        <v>45</v>
      </c>
      <c r="H154">
        <v>10</v>
      </c>
      <c r="I154">
        <v>21</v>
      </c>
      <c r="J154">
        <v>9</v>
      </c>
      <c r="K154">
        <v>2.5</v>
      </c>
      <c r="L154" s="3">
        <v>4</v>
      </c>
      <c r="M154" t="s">
        <v>1036</v>
      </c>
      <c r="N154">
        <v>48.17</v>
      </c>
    </row>
    <row r="155" spans="1:14" x14ac:dyDescent="0.3">
      <c r="A155" t="s">
        <v>609</v>
      </c>
      <c r="B155" t="s">
        <v>1016</v>
      </c>
      <c r="C155" t="s">
        <v>1023</v>
      </c>
      <c r="D155">
        <v>23</v>
      </c>
      <c r="E155">
        <v>0</v>
      </c>
      <c r="F155" s="3">
        <v>62840</v>
      </c>
      <c r="G155">
        <v>45</v>
      </c>
      <c r="H155">
        <v>13</v>
      </c>
      <c r="I155">
        <v>25</v>
      </c>
      <c r="J155">
        <v>22</v>
      </c>
      <c r="K155">
        <v>2.2000000000000002</v>
      </c>
      <c r="L155" s="3">
        <v>4</v>
      </c>
      <c r="M155" t="s">
        <v>1036</v>
      </c>
      <c r="N155">
        <v>52.27</v>
      </c>
    </row>
    <row r="156" spans="1:14" x14ac:dyDescent="0.3">
      <c r="A156" t="s">
        <v>636</v>
      </c>
      <c r="B156" t="s">
        <v>1017</v>
      </c>
      <c r="C156" t="s">
        <v>1026</v>
      </c>
      <c r="D156">
        <v>31</v>
      </c>
      <c r="E156">
        <v>4</v>
      </c>
      <c r="F156" s="3">
        <v>82195</v>
      </c>
      <c r="G156">
        <v>39</v>
      </c>
      <c r="H156">
        <v>3</v>
      </c>
      <c r="I156">
        <v>0</v>
      </c>
      <c r="J156">
        <v>4</v>
      </c>
      <c r="K156">
        <v>3.9</v>
      </c>
      <c r="L156" s="3">
        <v>4</v>
      </c>
      <c r="M156" t="s">
        <v>1036</v>
      </c>
      <c r="N156">
        <v>40.700000000000003</v>
      </c>
    </row>
    <row r="157" spans="1:14" x14ac:dyDescent="0.3">
      <c r="A157" t="s">
        <v>839</v>
      </c>
      <c r="B157" t="s">
        <v>1018</v>
      </c>
      <c r="C157" t="s">
        <v>1032</v>
      </c>
      <c r="D157">
        <v>28</v>
      </c>
      <c r="E157">
        <v>5</v>
      </c>
      <c r="F157" s="3">
        <v>58846</v>
      </c>
      <c r="G157">
        <v>53</v>
      </c>
      <c r="H157">
        <v>4</v>
      </c>
      <c r="I157">
        <v>24</v>
      </c>
      <c r="J157">
        <v>23</v>
      </c>
      <c r="K157">
        <v>3.4</v>
      </c>
      <c r="L157" s="3">
        <v>4</v>
      </c>
      <c r="M157" t="s">
        <v>1036</v>
      </c>
      <c r="N157">
        <v>40.869999999999997</v>
      </c>
    </row>
    <row r="158" spans="1:14" x14ac:dyDescent="0.3">
      <c r="A158" t="s">
        <v>983</v>
      </c>
      <c r="B158" t="s">
        <v>1016</v>
      </c>
      <c r="C158" t="s">
        <v>1023</v>
      </c>
      <c r="D158">
        <v>51</v>
      </c>
      <c r="E158">
        <v>5</v>
      </c>
      <c r="F158" s="3">
        <v>62824</v>
      </c>
      <c r="G158">
        <v>39</v>
      </c>
      <c r="H158">
        <v>8</v>
      </c>
      <c r="I158">
        <v>22</v>
      </c>
      <c r="J158">
        <v>30</v>
      </c>
      <c r="K158">
        <v>2.9</v>
      </c>
      <c r="L158" s="3">
        <v>4</v>
      </c>
      <c r="M158" t="s">
        <v>1036</v>
      </c>
      <c r="N158">
        <v>46.03</v>
      </c>
    </row>
    <row r="159" spans="1:14" x14ac:dyDescent="0.3">
      <c r="A159" t="s">
        <v>996</v>
      </c>
      <c r="B159" t="s">
        <v>1015</v>
      </c>
      <c r="C159" t="s">
        <v>1029</v>
      </c>
      <c r="D159">
        <v>54</v>
      </c>
      <c r="E159">
        <v>6</v>
      </c>
      <c r="F159" s="3">
        <v>70084</v>
      </c>
      <c r="G159">
        <v>38</v>
      </c>
      <c r="H159">
        <v>11</v>
      </c>
      <c r="I159">
        <v>1</v>
      </c>
      <c r="J159">
        <v>15</v>
      </c>
      <c r="K159">
        <v>2.1</v>
      </c>
      <c r="L159" s="3">
        <v>4</v>
      </c>
      <c r="M159" t="s">
        <v>1036</v>
      </c>
      <c r="N159">
        <v>48.63</v>
      </c>
    </row>
    <row r="160" spans="1:14" x14ac:dyDescent="0.3">
      <c r="A160" t="s">
        <v>998</v>
      </c>
      <c r="B160" t="s">
        <v>1017</v>
      </c>
      <c r="C160" t="s">
        <v>1030</v>
      </c>
      <c r="D160">
        <v>32</v>
      </c>
      <c r="E160">
        <v>6</v>
      </c>
      <c r="F160" s="3">
        <v>54888</v>
      </c>
      <c r="G160">
        <v>37</v>
      </c>
      <c r="H160">
        <v>5</v>
      </c>
      <c r="I160">
        <v>21</v>
      </c>
      <c r="J160">
        <v>27</v>
      </c>
      <c r="K160">
        <v>4.8</v>
      </c>
      <c r="L160" s="3">
        <v>4</v>
      </c>
      <c r="M160" t="s">
        <v>1036</v>
      </c>
      <c r="N160">
        <v>46.73</v>
      </c>
    </row>
    <row r="161" spans="1:14" x14ac:dyDescent="0.3">
      <c r="A161" t="s">
        <v>1009</v>
      </c>
      <c r="B161" t="s">
        <v>1014</v>
      </c>
      <c r="C161" t="s">
        <v>1031</v>
      </c>
      <c r="D161">
        <v>40</v>
      </c>
      <c r="E161">
        <v>15</v>
      </c>
      <c r="F161" s="3">
        <v>77975</v>
      </c>
      <c r="G161">
        <v>35</v>
      </c>
      <c r="H161">
        <v>7</v>
      </c>
      <c r="I161">
        <v>21</v>
      </c>
      <c r="J161">
        <v>32</v>
      </c>
      <c r="K161">
        <v>4.8</v>
      </c>
      <c r="L161" s="3">
        <v>4</v>
      </c>
      <c r="M161" t="s">
        <v>1036</v>
      </c>
      <c r="N161">
        <v>50.07</v>
      </c>
    </row>
    <row r="162" spans="1:14" x14ac:dyDescent="0.3">
      <c r="A162" t="s">
        <v>16</v>
      </c>
      <c r="B162" t="s">
        <v>1015</v>
      </c>
      <c r="C162" t="s">
        <v>1021</v>
      </c>
      <c r="D162">
        <v>48</v>
      </c>
      <c r="E162">
        <v>7</v>
      </c>
      <c r="F162" s="3">
        <v>54439</v>
      </c>
      <c r="G162">
        <v>53</v>
      </c>
      <c r="H162">
        <v>5</v>
      </c>
      <c r="I162">
        <v>25</v>
      </c>
      <c r="J162">
        <v>0</v>
      </c>
      <c r="K162">
        <v>4.3</v>
      </c>
      <c r="L162" s="3">
        <v>4.0999999999999996</v>
      </c>
      <c r="M162" t="s">
        <v>1036</v>
      </c>
      <c r="N162">
        <v>45.83</v>
      </c>
    </row>
    <row r="163" spans="1:14" x14ac:dyDescent="0.3">
      <c r="A163" t="s">
        <v>142</v>
      </c>
      <c r="B163" t="s">
        <v>1017</v>
      </c>
      <c r="C163" t="s">
        <v>1026</v>
      </c>
      <c r="D163">
        <v>25</v>
      </c>
      <c r="E163">
        <v>2</v>
      </c>
      <c r="F163" s="3">
        <v>64348</v>
      </c>
      <c r="G163">
        <v>44</v>
      </c>
      <c r="H163">
        <v>6</v>
      </c>
      <c r="I163">
        <v>3</v>
      </c>
      <c r="J163">
        <v>36</v>
      </c>
      <c r="K163">
        <v>3.5</v>
      </c>
      <c r="L163" s="3">
        <v>4.0999999999999996</v>
      </c>
      <c r="M163" t="s">
        <v>1036</v>
      </c>
      <c r="N163">
        <v>45.1</v>
      </c>
    </row>
    <row r="164" spans="1:14" x14ac:dyDescent="0.3">
      <c r="A164" t="s">
        <v>207</v>
      </c>
      <c r="B164" t="s">
        <v>1017</v>
      </c>
      <c r="C164" t="s">
        <v>1024</v>
      </c>
      <c r="D164">
        <v>37</v>
      </c>
      <c r="E164">
        <v>5</v>
      </c>
      <c r="F164" s="3">
        <v>78312</v>
      </c>
      <c r="G164">
        <v>45</v>
      </c>
      <c r="H164">
        <v>15</v>
      </c>
      <c r="I164">
        <v>18</v>
      </c>
      <c r="J164">
        <v>20</v>
      </c>
      <c r="K164">
        <v>2.6</v>
      </c>
      <c r="L164" s="3">
        <v>4.0999999999999996</v>
      </c>
      <c r="M164" t="s">
        <v>1036</v>
      </c>
      <c r="N164">
        <v>57.4</v>
      </c>
    </row>
    <row r="165" spans="1:14" x14ac:dyDescent="0.3">
      <c r="A165" t="s">
        <v>287</v>
      </c>
      <c r="B165" t="s">
        <v>1015</v>
      </c>
      <c r="C165" t="s">
        <v>1029</v>
      </c>
      <c r="D165">
        <v>36</v>
      </c>
      <c r="E165">
        <v>14</v>
      </c>
      <c r="F165" s="3">
        <v>49518</v>
      </c>
      <c r="G165">
        <v>47</v>
      </c>
      <c r="H165">
        <v>8</v>
      </c>
      <c r="I165">
        <v>24</v>
      </c>
      <c r="J165">
        <v>37</v>
      </c>
      <c r="K165">
        <v>4.0999999999999996</v>
      </c>
      <c r="L165" s="3">
        <v>4.0999999999999996</v>
      </c>
      <c r="M165" t="s">
        <v>1036</v>
      </c>
      <c r="N165">
        <v>50.23</v>
      </c>
    </row>
    <row r="166" spans="1:14" x14ac:dyDescent="0.3">
      <c r="A166" t="s">
        <v>327</v>
      </c>
      <c r="B166" t="s">
        <v>1015</v>
      </c>
      <c r="C166" t="s">
        <v>1021</v>
      </c>
      <c r="D166">
        <v>25</v>
      </c>
      <c r="E166">
        <v>2</v>
      </c>
      <c r="F166" s="3">
        <v>68652</v>
      </c>
      <c r="G166">
        <v>40</v>
      </c>
      <c r="H166">
        <v>2</v>
      </c>
      <c r="I166">
        <v>0</v>
      </c>
      <c r="J166">
        <v>8</v>
      </c>
      <c r="K166">
        <v>4.0999999999999996</v>
      </c>
      <c r="L166" s="3">
        <v>4.0999999999999996</v>
      </c>
      <c r="M166" t="s">
        <v>1036</v>
      </c>
      <c r="N166">
        <v>40.229999999999997</v>
      </c>
    </row>
    <row r="167" spans="1:14" x14ac:dyDescent="0.3">
      <c r="A167" t="s">
        <v>592</v>
      </c>
      <c r="B167" t="s">
        <v>1017</v>
      </c>
      <c r="C167" t="s">
        <v>1024</v>
      </c>
      <c r="D167">
        <v>45</v>
      </c>
      <c r="E167">
        <v>2</v>
      </c>
      <c r="F167" s="3">
        <v>59328</v>
      </c>
      <c r="G167">
        <v>47</v>
      </c>
      <c r="H167">
        <v>12</v>
      </c>
      <c r="I167">
        <v>25</v>
      </c>
      <c r="J167">
        <v>32</v>
      </c>
      <c r="K167">
        <v>3.8</v>
      </c>
      <c r="L167" s="3">
        <v>4.0999999999999996</v>
      </c>
      <c r="M167" t="s">
        <v>1036</v>
      </c>
      <c r="N167">
        <v>56</v>
      </c>
    </row>
    <row r="168" spans="1:14" x14ac:dyDescent="0.3">
      <c r="A168" t="s">
        <v>598</v>
      </c>
      <c r="B168" t="s">
        <v>1015</v>
      </c>
      <c r="C168" t="s">
        <v>1021</v>
      </c>
      <c r="D168">
        <v>41</v>
      </c>
      <c r="E168">
        <v>10</v>
      </c>
      <c r="F168" s="3">
        <v>85318</v>
      </c>
      <c r="G168">
        <v>37</v>
      </c>
      <c r="H168">
        <v>1</v>
      </c>
      <c r="I168">
        <v>3</v>
      </c>
      <c r="J168">
        <v>26</v>
      </c>
      <c r="K168">
        <v>5</v>
      </c>
      <c r="L168" s="3">
        <v>4.0999999999999996</v>
      </c>
      <c r="M168" t="s">
        <v>1036</v>
      </c>
      <c r="N168">
        <v>41.27</v>
      </c>
    </row>
    <row r="169" spans="1:14" x14ac:dyDescent="0.3">
      <c r="A169" t="s">
        <v>674</v>
      </c>
      <c r="B169" t="s">
        <v>1017</v>
      </c>
      <c r="C169" t="s">
        <v>1026</v>
      </c>
      <c r="D169">
        <v>37</v>
      </c>
      <c r="E169">
        <v>1</v>
      </c>
      <c r="F169" s="3">
        <v>33740</v>
      </c>
      <c r="G169">
        <v>38</v>
      </c>
      <c r="H169">
        <v>13</v>
      </c>
      <c r="I169">
        <v>20</v>
      </c>
      <c r="J169">
        <v>39</v>
      </c>
      <c r="K169">
        <v>3.1</v>
      </c>
      <c r="L169" s="3">
        <v>4.0999999999999996</v>
      </c>
      <c r="M169" t="s">
        <v>1036</v>
      </c>
      <c r="N169">
        <v>55.57</v>
      </c>
    </row>
    <row r="170" spans="1:14" x14ac:dyDescent="0.3">
      <c r="A170" t="s">
        <v>679</v>
      </c>
      <c r="B170" t="s">
        <v>1018</v>
      </c>
      <c r="C170" t="s">
        <v>1028</v>
      </c>
      <c r="D170">
        <v>39</v>
      </c>
      <c r="E170">
        <v>1</v>
      </c>
      <c r="F170" s="3">
        <v>37695</v>
      </c>
      <c r="G170">
        <v>38</v>
      </c>
      <c r="H170">
        <v>13</v>
      </c>
      <c r="I170">
        <v>4</v>
      </c>
      <c r="J170">
        <v>30</v>
      </c>
      <c r="K170">
        <v>3.5</v>
      </c>
      <c r="L170" s="3">
        <v>4.0999999999999996</v>
      </c>
      <c r="M170" t="s">
        <v>1036</v>
      </c>
      <c r="N170">
        <v>56.77</v>
      </c>
    </row>
    <row r="171" spans="1:14" x14ac:dyDescent="0.3">
      <c r="A171" t="s">
        <v>691</v>
      </c>
      <c r="B171" t="s">
        <v>1018</v>
      </c>
      <c r="C171" t="s">
        <v>1032</v>
      </c>
      <c r="D171">
        <v>44</v>
      </c>
      <c r="E171">
        <v>9</v>
      </c>
      <c r="F171" s="3">
        <v>40667</v>
      </c>
      <c r="G171">
        <v>55</v>
      </c>
      <c r="H171">
        <v>2</v>
      </c>
      <c r="I171">
        <v>0</v>
      </c>
      <c r="J171">
        <v>30</v>
      </c>
      <c r="K171">
        <v>4</v>
      </c>
      <c r="L171" s="3">
        <v>4.0999999999999996</v>
      </c>
      <c r="M171" t="s">
        <v>1036</v>
      </c>
      <c r="N171">
        <v>39.93</v>
      </c>
    </row>
    <row r="172" spans="1:14" x14ac:dyDescent="0.3">
      <c r="A172" t="s">
        <v>704</v>
      </c>
      <c r="B172" t="s">
        <v>1016</v>
      </c>
      <c r="C172" t="s">
        <v>1022</v>
      </c>
      <c r="D172">
        <v>40</v>
      </c>
      <c r="E172">
        <v>1</v>
      </c>
      <c r="F172" s="3">
        <v>34721</v>
      </c>
      <c r="G172">
        <v>46</v>
      </c>
      <c r="H172">
        <v>5</v>
      </c>
      <c r="I172">
        <v>14</v>
      </c>
      <c r="J172">
        <v>10</v>
      </c>
      <c r="K172">
        <v>3.9</v>
      </c>
      <c r="L172" s="3">
        <v>4.0999999999999996</v>
      </c>
      <c r="M172" t="s">
        <v>1036</v>
      </c>
      <c r="N172">
        <v>44.63</v>
      </c>
    </row>
    <row r="173" spans="1:14" x14ac:dyDescent="0.3">
      <c r="A173" t="s">
        <v>747</v>
      </c>
      <c r="B173" t="s">
        <v>1017</v>
      </c>
      <c r="C173" t="s">
        <v>1026</v>
      </c>
      <c r="D173">
        <v>24</v>
      </c>
      <c r="E173">
        <v>0</v>
      </c>
      <c r="F173" s="3">
        <v>36591</v>
      </c>
      <c r="G173">
        <v>52</v>
      </c>
      <c r="H173">
        <v>11</v>
      </c>
      <c r="I173">
        <v>24</v>
      </c>
      <c r="J173">
        <v>19</v>
      </c>
      <c r="K173">
        <v>4.7</v>
      </c>
      <c r="L173" s="3">
        <v>4.0999999999999996</v>
      </c>
      <c r="M173" t="s">
        <v>1036</v>
      </c>
      <c r="N173">
        <v>57.03</v>
      </c>
    </row>
    <row r="174" spans="1:14" x14ac:dyDescent="0.3">
      <c r="A174" t="s">
        <v>820</v>
      </c>
      <c r="B174" t="s">
        <v>1015</v>
      </c>
      <c r="C174" t="s">
        <v>1021</v>
      </c>
      <c r="D174">
        <v>35</v>
      </c>
      <c r="E174">
        <v>4</v>
      </c>
      <c r="F174" s="3">
        <v>70265</v>
      </c>
      <c r="G174">
        <v>37</v>
      </c>
      <c r="H174">
        <v>11</v>
      </c>
      <c r="I174">
        <v>15</v>
      </c>
      <c r="J174">
        <v>8</v>
      </c>
      <c r="K174">
        <v>2.5</v>
      </c>
      <c r="L174" s="3">
        <v>4.0999999999999996</v>
      </c>
      <c r="M174" t="s">
        <v>1036</v>
      </c>
      <c r="N174">
        <v>50.43</v>
      </c>
    </row>
    <row r="175" spans="1:14" x14ac:dyDescent="0.3">
      <c r="A175" t="s">
        <v>96</v>
      </c>
      <c r="B175" t="s">
        <v>1017</v>
      </c>
      <c r="C175" t="s">
        <v>1026</v>
      </c>
      <c r="D175">
        <v>29</v>
      </c>
      <c r="E175">
        <v>8</v>
      </c>
      <c r="F175" s="3">
        <v>39733</v>
      </c>
      <c r="G175">
        <v>55</v>
      </c>
      <c r="H175">
        <v>3</v>
      </c>
      <c r="I175">
        <v>8</v>
      </c>
      <c r="J175">
        <v>9</v>
      </c>
      <c r="K175">
        <v>2.2000000000000002</v>
      </c>
      <c r="L175" s="3">
        <v>4.2</v>
      </c>
      <c r="M175" t="s">
        <v>1036</v>
      </c>
      <c r="N175">
        <v>36.799999999999997</v>
      </c>
    </row>
    <row r="176" spans="1:14" x14ac:dyDescent="0.3">
      <c r="A176" t="s">
        <v>168</v>
      </c>
      <c r="B176" t="s">
        <v>1018</v>
      </c>
      <c r="C176" t="s">
        <v>1032</v>
      </c>
      <c r="D176">
        <v>46</v>
      </c>
      <c r="E176">
        <v>4</v>
      </c>
      <c r="F176" s="3">
        <v>35633</v>
      </c>
      <c r="G176">
        <v>40</v>
      </c>
      <c r="H176">
        <v>14</v>
      </c>
      <c r="I176">
        <v>22</v>
      </c>
      <c r="J176">
        <v>39</v>
      </c>
      <c r="K176">
        <v>4.4000000000000004</v>
      </c>
      <c r="L176" s="3">
        <v>4.2</v>
      </c>
      <c r="M176" t="s">
        <v>1036</v>
      </c>
      <c r="N176">
        <v>61.73</v>
      </c>
    </row>
    <row r="177" spans="1:14" x14ac:dyDescent="0.3">
      <c r="A177" t="s">
        <v>227</v>
      </c>
      <c r="B177" t="s">
        <v>1014</v>
      </c>
      <c r="C177" t="s">
        <v>1019</v>
      </c>
      <c r="D177">
        <v>27</v>
      </c>
      <c r="E177">
        <v>5</v>
      </c>
      <c r="F177" s="3">
        <v>62626</v>
      </c>
      <c r="G177">
        <v>42</v>
      </c>
      <c r="H177">
        <v>9</v>
      </c>
      <c r="I177">
        <v>23</v>
      </c>
      <c r="J177">
        <v>2</v>
      </c>
      <c r="K177">
        <v>4.7</v>
      </c>
      <c r="L177" s="3">
        <v>4.2</v>
      </c>
      <c r="M177" t="s">
        <v>1036</v>
      </c>
      <c r="N177">
        <v>54.3</v>
      </c>
    </row>
    <row r="178" spans="1:14" x14ac:dyDescent="0.3">
      <c r="A178" t="s">
        <v>276</v>
      </c>
      <c r="B178" t="s">
        <v>1014</v>
      </c>
      <c r="C178" t="s">
        <v>1031</v>
      </c>
      <c r="D178">
        <v>40</v>
      </c>
      <c r="E178">
        <v>13</v>
      </c>
      <c r="F178" s="3">
        <v>50414</v>
      </c>
      <c r="G178">
        <v>37</v>
      </c>
      <c r="H178">
        <v>12</v>
      </c>
      <c r="I178">
        <v>17</v>
      </c>
      <c r="J178">
        <v>15</v>
      </c>
      <c r="K178">
        <v>3.7</v>
      </c>
      <c r="L178" s="3">
        <v>4.2</v>
      </c>
      <c r="M178" t="s">
        <v>1036</v>
      </c>
      <c r="N178">
        <v>56.3</v>
      </c>
    </row>
    <row r="179" spans="1:14" x14ac:dyDescent="0.3">
      <c r="A179" t="s">
        <v>356</v>
      </c>
      <c r="B179" t="s">
        <v>1016</v>
      </c>
      <c r="C179" t="s">
        <v>1023</v>
      </c>
      <c r="D179">
        <v>31</v>
      </c>
      <c r="E179">
        <v>9</v>
      </c>
      <c r="F179" s="3">
        <v>87152</v>
      </c>
      <c r="G179">
        <v>41</v>
      </c>
      <c r="H179">
        <v>14</v>
      </c>
      <c r="I179">
        <v>25</v>
      </c>
      <c r="J179">
        <v>31</v>
      </c>
      <c r="K179">
        <v>3.6</v>
      </c>
      <c r="L179" s="3">
        <v>4.2</v>
      </c>
      <c r="M179" t="s">
        <v>1036</v>
      </c>
      <c r="N179">
        <v>59.33</v>
      </c>
    </row>
    <row r="180" spans="1:14" x14ac:dyDescent="0.3">
      <c r="A180" t="s">
        <v>407</v>
      </c>
      <c r="B180" t="s">
        <v>1015</v>
      </c>
      <c r="C180" t="s">
        <v>1021</v>
      </c>
      <c r="D180">
        <v>55</v>
      </c>
      <c r="E180">
        <v>10</v>
      </c>
      <c r="F180" s="3">
        <v>53420</v>
      </c>
      <c r="G180">
        <v>39</v>
      </c>
      <c r="H180">
        <v>6</v>
      </c>
      <c r="I180">
        <v>15</v>
      </c>
      <c r="J180">
        <v>22</v>
      </c>
      <c r="K180">
        <v>4.3</v>
      </c>
      <c r="L180" s="3">
        <v>4.2</v>
      </c>
      <c r="M180" t="s">
        <v>1036</v>
      </c>
      <c r="N180">
        <v>48.1</v>
      </c>
    </row>
    <row r="181" spans="1:14" x14ac:dyDescent="0.3">
      <c r="A181" t="s">
        <v>408</v>
      </c>
      <c r="B181" t="s">
        <v>1014</v>
      </c>
      <c r="C181" t="s">
        <v>1031</v>
      </c>
      <c r="D181">
        <v>36</v>
      </c>
      <c r="E181">
        <v>7</v>
      </c>
      <c r="F181" s="3">
        <v>72655</v>
      </c>
      <c r="G181">
        <v>39</v>
      </c>
      <c r="H181">
        <v>4</v>
      </c>
      <c r="I181">
        <v>23</v>
      </c>
      <c r="J181">
        <v>1</v>
      </c>
      <c r="K181">
        <v>3.8</v>
      </c>
      <c r="L181" s="3">
        <v>4.2</v>
      </c>
      <c r="M181" t="s">
        <v>1036</v>
      </c>
      <c r="N181">
        <v>43.27</v>
      </c>
    </row>
    <row r="182" spans="1:14" x14ac:dyDescent="0.3">
      <c r="A182" t="s">
        <v>676</v>
      </c>
      <c r="B182" t="s">
        <v>1018</v>
      </c>
      <c r="C182" t="s">
        <v>1027</v>
      </c>
      <c r="D182">
        <v>35</v>
      </c>
      <c r="E182">
        <v>2</v>
      </c>
      <c r="F182" s="3">
        <v>66931</v>
      </c>
      <c r="G182">
        <v>43</v>
      </c>
      <c r="H182">
        <v>9</v>
      </c>
      <c r="I182">
        <v>14</v>
      </c>
      <c r="J182">
        <v>26</v>
      </c>
      <c r="K182">
        <v>2.7</v>
      </c>
      <c r="L182" s="3">
        <v>4.2</v>
      </c>
      <c r="M182" t="s">
        <v>1036</v>
      </c>
      <c r="N182">
        <v>48.3</v>
      </c>
    </row>
    <row r="183" spans="1:14" x14ac:dyDescent="0.3">
      <c r="A183" t="s">
        <v>764</v>
      </c>
      <c r="B183" t="s">
        <v>1014</v>
      </c>
      <c r="C183" t="s">
        <v>1019</v>
      </c>
      <c r="D183">
        <v>34</v>
      </c>
      <c r="E183">
        <v>2</v>
      </c>
      <c r="F183" s="3">
        <v>42872</v>
      </c>
      <c r="G183">
        <v>39</v>
      </c>
      <c r="H183">
        <v>1</v>
      </c>
      <c r="I183">
        <v>8</v>
      </c>
      <c r="J183">
        <v>17</v>
      </c>
      <c r="K183">
        <v>4</v>
      </c>
      <c r="L183" s="3">
        <v>4.2</v>
      </c>
      <c r="M183" t="s">
        <v>1036</v>
      </c>
      <c r="N183">
        <v>38.869999999999997</v>
      </c>
    </row>
    <row r="184" spans="1:14" x14ac:dyDescent="0.3">
      <c r="A184" t="s">
        <v>923</v>
      </c>
      <c r="B184" t="s">
        <v>1014</v>
      </c>
      <c r="C184" t="s">
        <v>1019</v>
      </c>
      <c r="D184">
        <v>45</v>
      </c>
      <c r="E184">
        <v>2</v>
      </c>
      <c r="F184" s="3">
        <v>74505</v>
      </c>
      <c r="G184">
        <v>38</v>
      </c>
      <c r="H184">
        <v>9</v>
      </c>
      <c r="I184">
        <v>24</v>
      </c>
      <c r="J184">
        <v>20</v>
      </c>
      <c r="K184">
        <v>3.2</v>
      </c>
      <c r="L184" s="3">
        <v>4.2</v>
      </c>
      <c r="M184" t="s">
        <v>1036</v>
      </c>
      <c r="N184">
        <v>49.8</v>
      </c>
    </row>
    <row r="185" spans="1:14" x14ac:dyDescent="0.3">
      <c r="A185" t="s">
        <v>927</v>
      </c>
      <c r="B185" t="s">
        <v>1018</v>
      </c>
      <c r="C185" t="s">
        <v>1027</v>
      </c>
      <c r="D185">
        <v>23</v>
      </c>
      <c r="E185">
        <v>2</v>
      </c>
      <c r="F185" s="3">
        <v>31587</v>
      </c>
      <c r="G185">
        <v>40</v>
      </c>
      <c r="H185">
        <v>5</v>
      </c>
      <c r="I185">
        <v>3</v>
      </c>
      <c r="J185">
        <v>34</v>
      </c>
      <c r="K185">
        <v>4.2</v>
      </c>
      <c r="L185" s="3">
        <v>4.2</v>
      </c>
      <c r="M185" t="s">
        <v>1036</v>
      </c>
      <c r="N185">
        <v>46.13</v>
      </c>
    </row>
    <row r="186" spans="1:14" x14ac:dyDescent="0.3">
      <c r="A186" t="s">
        <v>944</v>
      </c>
      <c r="B186" t="s">
        <v>1015</v>
      </c>
      <c r="C186" t="s">
        <v>1029</v>
      </c>
      <c r="D186">
        <v>27</v>
      </c>
      <c r="E186">
        <v>3</v>
      </c>
      <c r="F186" s="3">
        <v>72512</v>
      </c>
      <c r="G186">
        <v>49</v>
      </c>
      <c r="H186">
        <v>5</v>
      </c>
      <c r="I186">
        <v>5</v>
      </c>
      <c r="J186">
        <v>12</v>
      </c>
      <c r="K186">
        <v>2.7</v>
      </c>
      <c r="L186" s="3">
        <v>4.2</v>
      </c>
      <c r="M186" t="s">
        <v>1036</v>
      </c>
      <c r="N186">
        <v>41.63</v>
      </c>
    </row>
    <row r="187" spans="1:14" x14ac:dyDescent="0.3">
      <c r="A187" t="s">
        <v>958</v>
      </c>
      <c r="B187" t="s">
        <v>1014</v>
      </c>
      <c r="C187" t="s">
        <v>1031</v>
      </c>
      <c r="D187">
        <v>26</v>
      </c>
      <c r="E187">
        <v>5</v>
      </c>
      <c r="F187" s="3">
        <v>52383</v>
      </c>
      <c r="G187">
        <v>51</v>
      </c>
      <c r="H187">
        <v>7</v>
      </c>
      <c r="I187">
        <v>20</v>
      </c>
      <c r="J187">
        <v>18</v>
      </c>
      <c r="K187">
        <v>4.2</v>
      </c>
      <c r="L187" s="3">
        <v>4.2</v>
      </c>
      <c r="M187" t="s">
        <v>1036</v>
      </c>
      <c r="N187">
        <v>49.47</v>
      </c>
    </row>
    <row r="188" spans="1:14" x14ac:dyDescent="0.3">
      <c r="A188" t="s">
        <v>1008</v>
      </c>
      <c r="B188" t="s">
        <v>1017</v>
      </c>
      <c r="C188" t="s">
        <v>1030</v>
      </c>
      <c r="D188">
        <v>42</v>
      </c>
      <c r="E188">
        <v>2</v>
      </c>
      <c r="F188" s="3">
        <v>66594</v>
      </c>
      <c r="G188">
        <v>37</v>
      </c>
      <c r="H188">
        <v>2</v>
      </c>
      <c r="I188">
        <v>23</v>
      </c>
      <c r="J188">
        <v>15</v>
      </c>
      <c r="K188">
        <v>4.8</v>
      </c>
      <c r="L188" s="3">
        <v>4.2</v>
      </c>
      <c r="M188" t="s">
        <v>1036</v>
      </c>
      <c r="N188">
        <v>42.93</v>
      </c>
    </row>
    <row r="189" spans="1:14" x14ac:dyDescent="0.3">
      <c r="A189" t="s">
        <v>1011</v>
      </c>
      <c r="B189" t="s">
        <v>1016</v>
      </c>
      <c r="C189" t="s">
        <v>1033</v>
      </c>
      <c r="D189">
        <v>37</v>
      </c>
      <c r="E189">
        <v>1</v>
      </c>
      <c r="F189" s="3">
        <v>64804</v>
      </c>
      <c r="G189">
        <v>49</v>
      </c>
      <c r="H189">
        <v>3</v>
      </c>
      <c r="I189">
        <v>21</v>
      </c>
      <c r="J189">
        <v>33</v>
      </c>
      <c r="K189">
        <v>4.7</v>
      </c>
      <c r="L189" s="3">
        <v>4.2</v>
      </c>
      <c r="M189" t="s">
        <v>1036</v>
      </c>
      <c r="N189">
        <v>44.3</v>
      </c>
    </row>
    <row r="190" spans="1:14" x14ac:dyDescent="0.3">
      <c r="A190" t="s">
        <v>36</v>
      </c>
      <c r="B190" t="s">
        <v>1017</v>
      </c>
      <c r="C190" t="s">
        <v>1026</v>
      </c>
      <c r="D190">
        <v>25</v>
      </c>
      <c r="E190">
        <v>0</v>
      </c>
      <c r="F190" s="3">
        <v>28972</v>
      </c>
      <c r="G190">
        <v>47</v>
      </c>
      <c r="H190">
        <v>12</v>
      </c>
      <c r="I190">
        <v>10</v>
      </c>
      <c r="J190">
        <v>6</v>
      </c>
      <c r="K190">
        <v>2.7</v>
      </c>
      <c r="L190" s="3">
        <v>4.3</v>
      </c>
      <c r="M190" t="s">
        <v>1036</v>
      </c>
      <c r="N190">
        <v>53.9</v>
      </c>
    </row>
    <row r="191" spans="1:14" x14ac:dyDescent="0.3">
      <c r="A191" t="s">
        <v>106</v>
      </c>
      <c r="B191" t="s">
        <v>1016</v>
      </c>
      <c r="C191" t="s">
        <v>1022</v>
      </c>
      <c r="D191">
        <v>48</v>
      </c>
      <c r="E191">
        <v>15</v>
      </c>
      <c r="F191" s="3">
        <v>89241</v>
      </c>
      <c r="G191">
        <v>50</v>
      </c>
      <c r="H191">
        <v>4</v>
      </c>
      <c r="I191">
        <v>14</v>
      </c>
      <c r="J191">
        <v>35</v>
      </c>
      <c r="K191">
        <v>2.4</v>
      </c>
      <c r="L191" s="3">
        <v>4.3</v>
      </c>
      <c r="M191" t="s">
        <v>1036</v>
      </c>
      <c r="N191">
        <v>39.67</v>
      </c>
    </row>
    <row r="192" spans="1:14" x14ac:dyDescent="0.3">
      <c r="A192" t="s">
        <v>120</v>
      </c>
      <c r="B192" t="s">
        <v>1015</v>
      </c>
      <c r="C192" t="s">
        <v>1021</v>
      </c>
      <c r="D192">
        <v>53</v>
      </c>
      <c r="E192">
        <v>9</v>
      </c>
      <c r="F192" s="3">
        <v>75838</v>
      </c>
      <c r="G192">
        <v>42</v>
      </c>
      <c r="H192">
        <v>10</v>
      </c>
      <c r="I192">
        <v>25</v>
      </c>
      <c r="J192">
        <v>22</v>
      </c>
      <c r="K192">
        <v>2.7</v>
      </c>
      <c r="L192" s="3">
        <v>4.3</v>
      </c>
      <c r="M192" t="s">
        <v>1036</v>
      </c>
      <c r="N192">
        <v>50.57</v>
      </c>
    </row>
    <row r="193" spans="1:14" x14ac:dyDescent="0.3">
      <c r="A193" t="s">
        <v>220</v>
      </c>
      <c r="B193" t="s">
        <v>1017</v>
      </c>
      <c r="C193" t="s">
        <v>1030</v>
      </c>
      <c r="D193">
        <v>43</v>
      </c>
      <c r="E193">
        <v>11</v>
      </c>
      <c r="F193" s="3">
        <v>69293</v>
      </c>
      <c r="G193">
        <v>55</v>
      </c>
      <c r="H193">
        <v>13</v>
      </c>
      <c r="I193">
        <v>22</v>
      </c>
      <c r="J193">
        <v>16</v>
      </c>
      <c r="K193">
        <v>3.8</v>
      </c>
      <c r="L193" s="3">
        <v>4.3</v>
      </c>
      <c r="M193" t="s">
        <v>1036</v>
      </c>
      <c r="N193">
        <v>58.87</v>
      </c>
    </row>
    <row r="194" spans="1:14" x14ac:dyDescent="0.3">
      <c r="A194" t="s">
        <v>291</v>
      </c>
      <c r="B194" t="s">
        <v>1018</v>
      </c>
      <c r="C194" t="s">
        <v>1027</v>
      </c>
      <c r="D194">
        <v>32</v>
      </c>
      <c r="E194">
        <v>5</v>
      </c>
      <c r="F194" s="3">
        <v>61690</v>
      </c>
      <c r="G194">
        <v>48</v>
      </c>
      <c r="H194">
        <v>8</v>
      </c>
      <c r="I194">
        <v>7</v>
      </c>
      <c r="J194">
        <v>25</v>
      </c>
      <c r="K194">
        <v>3.9</v>
      </c>
      <c r="L194" s="3">
        <v>4.3</v>
      </c>
      <c r="M194" t="s">
        <v>1036</v>
      </c>
      <c r="N194">
        <v>50.83</v>
      </c>
    </row>
    <row r="195" spans="1:14" x14ac:dyDescent="0.3">
      <c r="A195" t="s">
        <v>397</v>
      </c>
      <c r="B195" t="s">
        <v>1016</v>
      </c>
      <c r="C195" t="s">
        <v>1022</v>
      </c>
      <c r="D195">
        <v>28</v>
      </c>
      <c r="E195">
        <v>7</v>
      </c>
      <c r="F195" s="3">
        <v>33384</v>
      </c>
      <c r="G195">
        <v>43</v>
      </c>
      <c r="H195">
        <v>12</v>
      </c>
      <c r="I195">
        <v>25</v>
      </c>
      <c r="J195">
        <v>35</v>
      </c>
      <c r="K195">
        <v>4.3</v>
      </c>
      <c r="L195" s="3">
        <v>4.3</v>
      </c>
      <c r="M195" t="s">
        <v>1036</v>
      </c>
      <c r="N195">
        <v>58.7</v>
      </c>
    </row>
    <row r="196" spans="1:14" x14ac:dyDescent="0.3">
      <c r="A196" t="s">
        <v>460</v>
      </c>
      <c r="B196" t="s">
        <v>1017</v>
      </c>
      <c r="C196" t="s">
        <v>1024</v>
      </c>
      <c r="D196">
        <v>27</v>
      </c>
      <c r="E196">
        <v>2</v>
      </c>
      <c r="F196" s="3">
        <v>38766</v>
      </c>
      <c r="G196">
        <v>46</v>
      </c>
      <c r="H196">
        <v>4</v>
      </c>
      <c r="I196">
        <v>13</v>
      </c>
      <c r="J196">
        <v>32</v>
      </c>
      <c r="K196">
        <v>2.4</v>
      </c>
      <c r="L196" s="3">
        <v>4.3</v>
      </c>
      <c r="M196" t="s">
        <v>1036</v>
      </c>
      <c r="N196">
        <v>39.67</v>
      </c>
    </row>
    <row r="197" spans="1:14" x14ac:dyDescent="0.3">
      <c r="A197" t="s">
        <v>478</v>
      </c>
      <c r="B197" t="s">
        <v>1018</v>
      </c>
      <c r="C197" t="s">
        <v>1032</v>
      </c>
      <c r="D197">
        <v>30</v>
      </c>
      <c r="E197">
        <v>8</v>
      </c>
      <c r="F197" s="3">
        <v>27568</v>
      </c>
      <c r="G197">
        <v>53</v>
      </c>
      <c r="H197">
        <v>3</v>
      </c>
      <c r="I197">
        <v>1</v>
      </c>
      <c r="J197">
        <v>10</v>
      </c>
      <c r="K197">
        <v>2.8</v>
      </c>
      <c r="L197" s="3">
        <v>4.3</v>
      </c>
      <c r="M197" t="s">
        <v>1036</v>
      </c>
      <c r="N197">
        <v>39.200000000000003</v>
      </c>
    </row>
    <row r="198" spans="1:14" x14ac:dyDescent="0.3">
      <c r="A198" t="s">
        <v>638</v>
      </c>
      <c r="B198" t="s">
        <v>1015</v>
      </c>
      <c r="C198" t="s">
        <v>1020</v>
      </c>
      <c r="D198">
        <v>33</v>
      </c>
      <c r="E198">
        <v>7</v>
      </c>
      <c r="F198" s="3">
        <v>58385</v>
      </c>
      <c r="G198">
        <v>48</v>
      </c>
      <c r="H198">
        <v>9</v>
      </c>
      <c r="I198">
        <v>14</v>
      </c>
      <c r="J198">
        <v>24</v>
      </c>
      <c r="K198">
        <v>3.1</v>
      </c>
      <c r="L198" s="3">
        <v>4.3</v>
      </c>
      <c r="M198" t="s">
        <v>1036</v>
      </c>
      <c r="N198">
        <v>50.1</v>
      </c>
    </row>
    <row r="199" spans="1:14" x14ac:dyDescent="0.3">
      <c r="A199" t="s">
        <v>656</v>
      </c>
      <c r="B199" t="s">
        <v>1018</v>
      </c>
      <c r="C199" t="s">
        <v>1028</v>
      </c>
      <c r="D199">
        <v>29</v>
      </c>
      <c r="E199">
        <v>1</v>
      </c>
      <c r="F199" s="3">
        <v>30661</v>
      </c>
      <c r="G199">
        <v>54</v>
      </c>
      <c r="H199">
        <v>3</v>
      </c>
      <c r="I199">
        <v>12</v>
      </c>
      <c r="J199">
        <v>36</v>
      </c>
      <c r="K199">
        <v>4.4000000000000004</v>
      </c>
      <c r="L199" s="3">
        <v>4.3</v>
      </c>
      <c r="M199" t="s">
        <v>1036</v>
      </c>
      <c r="N199">
        <v>44</v>
      </c>
    </row>
    <row r="200" spans="1:14" x14ac:dyDescent="0.3">
      <c r="A200" t="s">
        <v>733</v>
      </c>
      <c r="B200" t="s">
        <v>1015</v>
      </c>
      <c r="C200" t="s">
        <v>1021</v>
      </c>
      <c r="D200">
        <v>37</v>
      </c>
      <c r="E200">
        <v>2</v>
      </c>
      <c r="F200" s="3">
        <v>31494</v>
      </c>
      <c r="G200">
        <v>53</v>
      </c>
      <c r="H200">
        <v>13</v>
      </c>
      <c r="I200">
        <v>0</v>
      </c>
      <c r="J200">
        <v>33</v>
      </c>
      <c r="K200">
        <v>2.7</v>
      </c>
      <c r="L200" s="3">
        <v>4.3</v>
      </c>
      <c r="M200" t="s">
        <v>1036</v>
      </c>
      <c r="N200">
        <v>55.57</v>
      </c>
    </row>
    <row r="201" spans="1:14" x14ac:dyDescent="0.3">
      <c r="A201" t="s">
        <v>891</v>
      </c>
      <c r="B201" t="s">
        <v>1015</v>
      </c>
      <c r="C201" t="s">
        <v>1029</v>
      </c>
      <c r="D201">
        <v>35</v>
      </c>
      <c r="E201">
        <v>3</v>
      </c>
      <c r="F201" s="3">
        <v>56506</v>
      </c>
      <c r="G201">
        <v>45</v>
      </c>
      <c r="H201">
        <v>13</v>
      </c>
      <c r="I201">
        <v>23</v>
      </c>
      <c r="J201">
        <v>24</v>
      </c>
      <c r="K201">
        <v>2.6</v>
      </c>
      <c r="L201" s="3">
        <v>4.3</v>
      </c>
      <c r="M201" t="s">
        <v>1036</v>
      </c>
      <c r="N201">
        <v>55.27</v>
      </c>
    </row>
    <row r="202" spans="1:14" x14ac:dyDescent="0.3">
      <c r="A202" t="s">
        <v>920</v>
      </c>
      <c r="B202" t="s">
        <v>1016</v>
      </c>
      <c r="C202" t="s">
        <v>1022</v>
      </c>
      <c r="D202">
        <v>51</v>
      </c>
      <c r="E202">
        <v>11</v>
      </c>
      <c r="F202" s="3">
        <v>70895</v>
      </c>
      <c r="G202">
        <v>44</v>
      </c>
      <c r="H202">
        <v>7</v>
      </c>
      <c r="I202">
        <v>19</v>
      </c>
      <c r="J202">
        <v>11</v>
      </c>
      <c r="K202">
        <v>3.2</v>
      </c>
      <c r="L202" s="3">
        <v>4.3</v>
      </c>
      <c r="M202" t="s">
        <v>1036</v>
      </c>
      <c r="N202">
        <v>47.07</v>
      </c>
    </row>
    <row r="203" spans="1:14" x14ac:dyDescent="0.3">
      <c r="A203" t="s">
        <v>989</v>
      </c>
      <c r="B203" t="s">
        <v>1018</v>
      </c>
      <c r="C203" t="s">
        <v>1032</v>
      </c>
      <c r="D203">
        <v>23</v>
      </c>
      <c r="E203">
        <v>2</v>
      </c>
      <c r="F203" s="3">
        <v>62550</v>
      </c>
      <c r="G203">
        <v>53</v>
      </c>
      <c r="H203">
        <v>8</v>
      </c>
      <c r="I203">
        <v>8</v>
      </c>
      <c r="J203">
        <v>6</v>
      </c>
      <c r="K203">
        <v>4.4000000000000004</v>
      </c>
      <c r="L203" s="3">
        <v>4.3</v>
      </c>
      <c r="M203" t="s">
        <v>1036</v>
      </c>
      <c r="N203">
        <v>52.33</v>
      </c>
    </row>
    <row r="204" spans="1:14" x14ac:dyDescent="0.3">
      <c r="A204" t="s">
        <v>69</v>
      </c>
      <c r="B204" t="s">
        <v>1018</v>
      </c>
      <c r="C204" t="s">
        <v>1032</v>
      </c>
      <c r="D204">
        <v>35</v>
      </c>
      <c r="E204">
        <v>1</v>
      </c>
      <c r="F204" s="3">
        <v>52188</v>
      </c>
      <c r="G204">
        <v>48</v>
      </c>
      <c r="H204">
        <v>6</v>
      </c>
      <c r="I204">
        <v>17</v>
      </c>
      <c r="J204">
        <v>29</v>
      </c>
      <c r="K204">
        <v>3.2</v>
      </c>
      <c r="L204" s="3">
        <v>4.4000000000000004</v>
      </c>
      <c r="M204" t="s">
        <v>1036</v>
      </c>
      <c r="N204">
        <v>46</v>
      </c>
    </row>
    <row r="205" spans="1:14" x14ac:dyDescent="0.3">
      <c r="A205" t="s">
        <v>204</v>
      </c>
      <c r="B205" t="s">
        <v>1017</v>
      </c>
      <c r="C205" t="s">
        <v>1024</v>
      </c>
      <c r="D205">
        <v>41</v>
      </c>
      <c r="E205">
        <v>14</v>
      </c>
      <c r="F205" s="3">
        <v>29782</v>
      </c>
      <c r="G205">
        <v>36</v>
      </c>
      <c r="H205">
        <v>3</v>
      </c>
      <c r="I205">
        <v>14</v>
      </c>
      <c r="J205">
        <v>26</v>
      </c>
      <c r="K205">
        <v>3.5</v>
      </c>
      <c r="L205" s="3">
        <v>4.4000000000000004</v>
      </c>
      <c r="M205" t="s">
        <v>1036</v>
      </c>
      <c r="N205">
        <v>41.9</v>
      </c>
    </row>
    <row r="206" spans="1:14" x14ac:dyDescent="0.3">
      <c r="A206" t="s">
        <v>278</v>
      </c>
      <c r="B206" t="s">
        <v>1017</v>
      </c>
      <c r="C206" t="s">
        <v>1030</v>
      </c>
      <c r="D206">
        <v>26</v>
      </c>
      <c r="E206">
        <v>2</v>
      </c>
      <c r="F206" s="3">
        <v>41495</v>
      </c>
      <c r="G206">
        <v>42</v>
      </c>
      <c r="H206">
        <v>12</v>
      </c>
      <c r="I206">
        <v>20</v>
      </c>
      <c r="J206">
        <v>31</v>
      </c>
      <c r="K206">
        <v>3.8</v>
      </c>
      <c r="L206" s="3">
        <v>4.4000000000000004</v>
      </c>
      <c r="M206" t="s">
        <v>1036</v>
      </c>
      <c r="N206">
        <v>57.8</v>
      </c>
    </row>
    <row r="207" spans="1:14" x14ac:dyDescent="0.3">
      <c r="A207" t="s">
        <v>298</v>
      </c>
      <c r="B207" t="s">
        <v>1018</v>
      </c>
      <c r="C207" t="s">
        <v>1032</v>
      </c>
      <c r="D207">
        <v>42</v>
      </c>
      <c r="E207">
        <v>14</v>
      </c>
      <c r="F207" s="3">
        <v>65593</v>
      </c>
      <c r="G207">
        <v>36</v>
      </c>
      <c r="H207">
        <v>14</v>
      </c>
      <c r="I207">
        <v>11</v>
      </c>
      <c r="J207">
        <v>0</v>
      </c>
      <c r="K207">
        <v>3.5</v>
      </c>
      <c r="L207" s="3">
        <v>4.4000000000000004</v>
      </c>
      <c r="M207" t="s">
        <v>1036</v>
      </c>
      <c r="N207">
        <v>60.23</v>
      </c>
    </row>
    <row r="208" spans="1:14" x14ac:dyDescent="0.3">
      <c r="A208" t="s">
        <v>370</v>
      </c>
      <c r="B208" t="s">
        <v>1018</v>
      </c>
      <c r="C208" t="s">
        <v>1028</v>
      </c>
      <c r="D208">
        <v>25</v>
      </c>
      <c r="E208">
        <v>2</v>
      </c>
      <c r="F208" s="3">
        <v>25250</v>
      </c>
      <c r="G208">
        <v>48</v>
      </c>
      <c r="H208">
        <v>2</v>
      </c>
      <c r="I208">
        <v>9</v>
      </c>
      <c r="J208">
        <v>40</v>
      </c>
      <c r="K208">
        <v>3.8</v>
      </c>
      <c r="L208" s="3">
        <v>4.4000000000000004</v>
      </c>
      <c r="M208" t="s">
        <v>1036</v>
      </c>
      <c r="N208">
        <v>41.13</v>
      </c>
    </row>
    <row r="209" spans="1:14" x14ac:dyDescent="0.3">
      <c r="A209" t="s">
        <v>412</v>
      </c>
      <c r="B209" t="s">
        <v>1014</v>
      </c>
      <c r="C209" t="s">
        <v>1031</v>
      </c>
      <c r="D209">
        <v>54</v>
      </c>
      <c r="E209">
        <v>3</v>
      </c>
      <c r="F209" s="3">
        <v>43527</v>
      </c>
      <c r="G209">
        <v>38</v>
      </c>
      <c r="H209">
        <v>13</v>
      </c>
      <c r="I209">
        <v>3</v>
      </c>
      <c r="J209">
        <v>31</v>
      </c>
      <c r="K209">
        <v>2.6</v>
      </c>
      <c r="L209" s="3">
        <v>4.4000000000000004</v>
      </c>
      <c r="M209" t="s">
        <v>1036</v>
      </c>
      <c r="N209">
        <v>55.87</v>
      </c>
    </row>
    <row r="210" spans="1:14" x14ac:dyDescent="0.3">
      <c r="A210" t="s">
        <v>453</v>
      </c>
      <c r="B210" t="s">
        <v>1018</v>
      </c>
      <c r="C210" t="s">
        <v>1027</v>
      </c>
      <c r="D210">
        <v>22</v>
      </c>
      <c r="E210">
        <v>0</v>
      </c>
      <c r="F210" s="3">
        <v>38813</v>
      </c>
      <c r="G210">
        <v>55</v>
      </c>
      <c r="H210">
        <v>13</v>
      </c>
      <c r="I210">
        <v>6</v>
      </c>
      <c r="J210">
        <v>27</v>
      </c>
      <c r="K210">
        <v>4.5</v>
      </c>
      <c r="L210" s="3">
        <v>4.4000000000000004</v>
      </c>
      <c r="M210" t="s">
        <v>1036</v>
      </c>
      <c r="N210">
        <v>61.57</v>
      </c>
    </row>
    <row r="211" spans="1:14" x14ac:dyDescent="0.3">
      <c r="A211" t="s">
        <v>466</v>
      </c>
      <c r="B211" t="s">
        <v>1015</v>
      </c>
      <c r="C211" t="s">
        <v>1020</v>
      </c>
      <c r="D211">
        <v>28</v>
      </c>
      <c r="E211">
        <v>2</v>
      </c>
      <c r="F211" s="3">
        <v>67306</v>
      </c>
      <c r="G211">
        <v>54</v>
      </c>
      <c r="H211">
        <v>2</v>
      </c>
      <c r="I211">
        <v>8</v>
      </c>
      <c r="J211">
        <v>8</v>
      </c>
      <c r="K211">
        <v>4.7</v>
      </c>
      <c r="L211" s="3">
        <v>4.4000000000000004</v>
      </c>
      <c r="M211" t="s">
        <v>1036</v>
      </c>
      <c r="N211">
        <v>43.83</v>
      </c>
    </row>
    <row r="212" spans="1:14" x14ac:dyDescent="0.3">
      <c r="A212" t="s">
        <v>545</v>
      </c>
      <c r="B212" t="s">
        <v>1016</v>
      </c>
      <c r="C212" t="s">
        <v>1033</v>
      </c>
      <c r="D212">
        <v>29</v>
      </c>
      <c r="E212">
        <v>1</v>
      </c>
      <c r="F212" s="3">
        <v>59288</v>
      </c>
      <c r="G212">
        <v>37</v>
      </c>
      <c r="H212">
        <v>1</v>
      </c>
      <c r="I212">
        <v>4</v>
      </c>
      <c r="J212">
        <v>11</v>
      </c>
      <c r="K212">
        <v>4.5999999999999996</v>
      </c>
      <c r="L212" s="3">
        <v>4.4000000000000004</v>
      </c>
      <c r="M212" t="s">
        <v>1036</v>
      </c>
      <c r="N212">
        <v>41.87</v>
      </c>
    </row>
    <row r="213" spans="1:14" x14ac:dyDescent="0.3">
      <c r="A213" t="s">
        <v>666</v>
      </c>
      <c r="B213" t="s">
        <v>1016</v>
      </c>
      <c r="C213" t="s">
        <v>1022</v>
      </c>
      <c r="D213">
        <v>53</v>
      </c>
      <c r="E213">
        <v>2</v>
      </c>
      <c r="F213" s="3">
        <v>83013</v>
      </c>
      <c r="G213">
        <v>55</v>
      </c>
      <c r="H213">
        <v>8</v>
      </c>
      <c r="I213">
        <v>23</v>
      </c>
      <c r="J213">
        <v>12</v>
      </c>
      <c r="K213">
        <v>2.4</v>
      </c>
      <c r="L213" s="3">
        <v>4.4000000000000004</v>
      </c>
      <c r="M213" t="s">
        <v>1036</v>
      </c>
      <c r="N213">
        <v>46.93</v>
      </c>
    </row>
    <row r="214" spans="1:14" x14ac:dyDescent="0.3">
      <c r="A214" t="s">
        <v>710</v>
      </c>
      <c r="B214" t="s">
        <v>1014</v>
      </c>
      <c r="C214" t="s">
        <v>1025</v>
      </c>
      <c r="D214">
        <v>47</v>
      </c>
      <c r="E214">
        <v>7</v>
      </c>
      <c r="F214" s="3">
        <v>54227</v>
      </c>
      <c r="G214">
        <v>46</v>
      </c>
      <c r="H214">
        <v>2</v>
      </c>
      <c r="I214">
        <v>10</v>
      </c>
      <c r="J214">
        <v>3</v>
      </c>
      <c r="K214">
        <v>3.8</v>
      </c>
      <c r="L214" s="3">
        <v>4.4000000000000004</v>
      </c>
      <c r="M214" t="s">
        <v>1036</v>
      </c>
      <c r="N214">
        <v>41.13</v>
      </c>
    </row>
    <row r="215" spans="1:14" x14ac:dyDescent="0.3">
      <c r="A215" t="s">
        <v>731</v>
      </c>
      <c r="B215" t="s">
        <v>1016</v>
      </c>
      <c r="C215" t="s">
        <v>1022</v>
      </c>
      <c r="D215">
        <v>22</v>
      </c>
      <c r="E215">
        <v>0</v>
      </c>
      <c r="F215" s="3">
        <v>76273</v>
      </c>
      <c r="G215">
        <v>38</v>
      </c>
      <c r="H215">
        <v>15</v>
      </c>
      <c r="I215">
        <v>19</v>
      </c>
      <c r="J215">
        <v>13</v>
      </c>
      <c r="K215">
        <v>3.8</v>
      </c>
      <c r="L215" s="3">
        <v>4.4000000000000004</v>
      </c>
      <c r="M215" t="s">
        <v>1036</v>
      </c>
      <c r="N215">
        <v>62.8</v>
      </c>
    </row>
    <row r="216" spans="1:14" x14ac:dyDescent="0.3">
      <c r="A216" t="s">
        <v>780</v>
      </c>
      <c r="B216" t="s">
        <v>1014</v>
      </c>
      <c r="C216" t="s">
        <v>1025</v>
      </c>
      <c r="D216">
        <v>23</v>
      </c>
      <c r="E216">
        <v>2</v>
      </c>
      <c r="F216" s="3">
        <v>67408</v>
      </c>
      <c r="G216">
        <v>54</v>
      </c>
      <c r="H216">
        <v>11</v>
      </c>
      <c r="I216">
        <v>7</v>
      </c>
      <c r="J216">
        <v>5</v>
      </c>
      <c r="K216">
        <v>4.9000000000000004</v>
      </c>
      <c r="L216" s="3">
        <v>4.4000000000000004</v>
      </c>
      <c r="M216" t="s">
        <v>1036</v>
      </c>
      <c r="N216">
        <v>59.43</v>
      </c>
    </row>
    <row r="217" spans="1:14" x14ac:dyDescent="0.3">
      <c r="A217" t="s">
        <v>826</v>
      </c>
      <c r="B217" t="s">
        <v>1015</v>
      </c>
      <c r="C217" t="s">
        <v>1021</v>
      </c>
      <c r="D217">
        <v>53</v>
      </c>
      <c r="E217">
        <v>3</v>
      </c>
      <c r="F217" s="3">
        <v>35111</v>
      </c>
      <c r="G217">
        <v>55</v>
      </c>
      <c r="H217">
        <v>6</v>
      </c>
      <c r="I217">
        <v>10</v>
      </c>
      <c r="J217">
        <v>8</v>
      </c>
      <c r="K217">
        <v>2.4</v>
      </c>
      <c r="L217" s="3">
        <v>4.4000000000000004</v>
      </c>
      <c r="M217" t="s">
        <v>1036</v>
      </c>
      <c r="N217">
        <v>43.6</v>
      </c>
    </row>
    <row r="218" spans="1:14" x14ac:dyDescent="0.3">
      <c r="A218" t="s">
        <v>832</v>
      </c>
      <c r="B218" t="s">
        <v>1016</v>
      </c>
      <c r="C218" t="s">
        <v>1022</v>
      </c>
      <c r="D218">
        <v>22</v>
      </c>
      <c r="E218">
        <v>1</v>
      </c>
      <c r="F218" s="3">
        <v>83996</v>
      </c>
      <c r="G218">
        <v>51</v>
      </c>
      <c r="H218">
        <v>10</v>
      </c>
      <c r="I218">
        <v>4</v>
      </c>
      <c r="J218">
        <v>25</v>
      </c>
      <c r="K218">
        <v>3.3</v>
      </c>
      <c r="L218" s="3">
        <v>4.4000000000000004</v>
      </c>
      <c r="M218" t="s">
        <v>1036</v>
      </c>
      <c r="N218">
        <v>52.97</v>
      </c>
    </row>
    <row r="219" spans="1:14" x14ac:dyDescent="0.3">
      <c r="A219" t="s">
        <v>876</v>
      </c>
      <c r="B219" t="s">
        <v>1018</v>
      </c>
      <c r="C219" t="s">
        <v>1028</v>
      </c>
      <c r="D219">
        <v>25</v>
      </c>
      <c r="E219">
        <v>2</v>
      </c>
      <c r="F219" s="3">
        <v>85187</v>
      </c>
      <c r="G219">
        <v>48</v>
      </c>
      <c r="H219">
        <v>9</v>
      </c>
      <c r="I219">
        <v>14</v>
      </c>
      <c r="J219">
        <v>20</v>
      </c>
      <c r="K219">
        <v>2</v>
      </c>
      <c r="L219" s="3">
        <v>4.4000000000000004</v>
      </c>
      <c r="M219" t="s">
        <v>1036</v>
      </c>
      <c r="N219">
        <v>47.4</v>
      </c>
    </row>
    <row r="220" spans="1:14" x14ac:dyDescent="0.3">
      <c r="A220" t="s">
        <v>892</v>
      </c>
      <c r="B220" t="s">
        <v>1016</v>
      </c>
      <c r="C220" t="s">
        <v>1022</v>
      </c>
      <c r="D220">
        <v>22</v>
      </c>
      <c r="E220">
        <v>0</v>
      </c>
      <c r="F220" s="3">
        <v>48454</v>
      </c>
      <c r="G220">
        <v>35</v>
      </c>
      <c r="H220">
        <v>9</v>
      </c>
      <c r="I220">
        <v>3</v>
      </c>
      <c r="J220">
        <v>9</v>
      </c>
      <c r="K220">
        <v>2.9</v>
      </c>
      <c r="L220" s="3">
        <v>4.4000000000000004</v>
      </c>
      <c r="M220" t="s">
        <v>1036</v>
      </c>
      <c r="N220">
        <v>50.1</v>
      </c>
    </row>
    <row r="221" spans="1:14" x14ac:dyDescent="0.3">
      <c r="A221" t="s">
        <v>64</v>
      </c>
      <c r="B221" t="s">
        <v>1017</v>
      </c>
      <c r="C221" t="s">
        <v>1024</v>
      </c>
      <c r="D221">
        <v>37</v>
      </c>
      <c r="E221">
        <v>4</v>
      </c>
      <c r="F221" s="3">
        <v>67995</v>
      </c>
      <c r="G221">
        <v>35</v>
      </c>
      <c r="H221">
        <v>15</v>
      </c>
      <c r="I221">
        <v>24</v>
      </c>
      <c r="J221">
        <v>6</v>
      </c>
      <c r="K221">
        <v>4.3</v>
      </c>
      <c r="L221" s="3">
        <v>4.5</v>
      </c>
      <c r="M221" t="s">
        <v>1036</v>
      </c>
      <c r="N221">
        <v>64.900000000000006</v>
      </c>
    </row>
    <row r="222" spans="1:14" x14ac:dyDescent="0.3">
      <c r="A222" t="s">
        <v>223</v>
      </c>
      <c r="B222" t="s">
        <v>1018</v>
      </c>
      <c r="C222" t="s">
        <v>1027</v>
      </c>
      <c r="D222">
        <v>40</v>
      </c>
      <c r="E222">
        <v>1</v>
      </c>
      <c r="F222" s="3">
        <v>43850</v>
      </c>
      <c r="G222">
        <v>37</v>
      </c>
      <c r="H222">
        <v>6</v>
      </c>
      <c r="I222">
        <v>14</v>
      </c>
      <c r="J222">
        <v>16</v>
      </c>
      <c r="K222">
        <v>4.2</v>
      </c>
      <c r="L222" s="3">
        <v>4.5</v>
      </c>
      <c r="M222" t="s">
        <v>1036</v>
      </c>
      <c r="N222">
        <v>49.6</v>
      </c>
    </row>
    <row r="223" spans="1:14" x14ac:dyDescent="0.3">
      <c r="A223" t="s">
        <v>234</v>
      </c>
      <c r="B223" t="s">
        <v>1017</v>
      </c>
      <c r="C223" t="s">
        <v>1030</v>
      </c>
      <c r="D223">
        <v>54</v>
      </c>
      <c r="E223">
        <v>9</v>
      </c>
      <c r="F223" s="3">
        <v>70238</v>
      </c>
      <c r="G223">
        <v>38</v>
      </c>
      <c r="H223">
        <v>11</v>
      </c>
      <c r="I223">
        <v>9</v>
      </c>
      <c r="J223">
        <v>23</v>
      </c>
      <c r="K223">
        <v>3.8</v>
      </c>
      <c r="L223" s="3">
        <v>4.5</v>
      </c>
      <c r="M223" t="s">
        <v>1036</v>
      </c>
      <c r="N223">
        <v>56.73</v>
      </c>
    </row>
    <row r="224" spans="1:14" x14ac:dyDescent="0.3">
      <c r="A224" t="s">
        <v>253</v>
      </c>
      <c r="B224" t="s">
        <v>1015</v>
      </c>
      <c r="C224" t="s">
        <v>1021</v>
      </c>
      <c r="D224">
        <v>24</v>
      </c>
      <c r="E224">
        <v>0</v>
      </c>
      <c r="F224" s="3">
        <v>37331</v>
      </c>
      <c r="G224">
        <v>53</v>
      </c>
      <c r="H224">
        <v>12</v>
      </c>
      <c r="I224">
        <v>21</v>
      </c>
      <c r="J224">
        <v>35</v>
      </c>
      <c r="K224">
        <v>2.7</v>
      </c>
      <c r="L224" s="3">
        <v>4.5</v>
      </c>
      <c r="M224" t="s">
        <v>1036</v>
      </c>
      <c r="N224">
        <v>55.1</v>
      </c>
    </row>
    <row r="225" spans="1:14" x14ac:dyDescent="0.3">
      <c r="A225" t="s">
        <v>282</v>
      </c>
      <c r="B225" t="s">
        <v>1015</v>
      </c>
      <c r="C225" t="s">
        <v>1021</v>
      </c>
      <c r="D225">
        <v>33</v>
      </c>
      <c r="E225">
        <v>10</v>
      </c>
      <c r="F225" s="3">
        <v>75306</v>
      </c>
      <c r="G225">
        <v>52</v>
      </c>
      <c r="H225">
        <v>1</v>
      </c>
      <c r="I225">
        <v>23</v>
      </c>
      <c r="J225">
        <v>29</v>
      </c>
      <c r="K225">
        <v>4.8</v>
      </c>
      <c r="L225" s="3">
        <v>4.5</v>
      </c>
      <c r="M225" t="s">
        <v>1036</v>
      </c>
      <c r="N225">
        <v>43.07</v>
      </c>
    </row>
    <row r="226" spans="1:14" x14ac:dyDescent="0.3">
      <c r="A226" t="s">
        <v>475</v>
      </c>
      <c r="B226" t="s">
        <v>1015</v>
      </c>
      <c r="C226" t="s">
        <v>1029</v>
      </c>
      <c r="D226">
        <v>22</v>
      </c>
      <c r="E226">
        <v>0</v>
      </c>
      <c r="F226" s="3">
        <v>53829</v>
      </c>
      <c r="G226">
        <v>40</v>
      </c>
      <c r="H226">
        <v>4</v>
      </c>
      <c r="I226">
        <v>2</v>
      </c>
      <c r="J226">
        <v>32</v>
      </c>
      <c r="K226">
        <v>3.9</v>
      </c>
      <c r="L226" s="3">
        <v>4.5</v>
      </c>
      <c r="M226" t="s">
        <v>1036</v>
      </c>
      <c r="N226">
        <v>45.37</v>
      </c>
    </row>
    <row r="227" spans="1:14" x14ac:dyDescent="0.3">
      <c r="A227" t="s">
        <v>500</v>
      </c>
      <c r="B227" t="s">
        <v>1015</v>
      </c>
      <c r="C227" t="s">
        <v>1020</v>
      </c>
      <c r="D227">
        <v>23</v>
      </c>
      <c r="E227">
        <v>1</v>
      </c>
      <c r="F227" s="3">
        <v>32619</v>
      </c>
      <c r="G227">
        <v>43</v>
      </c>
      <c r="H227">
        <v>2</v>
      </c>
      <c r="I227">
        <v>12</v>
      </c>
      <c r="J227">
        <v>40</v>
      </c>
      <c r="K227">
        <v>4.4000000000000004</v>
      </c>
      <c r="L227" s="3">
        <v>4.5</v>
      </c>
      <c r="M227" t="s">
        <v>1036</v>
      </c>
      <c r="N227">
        <v>43.53</v>
      </c>
    </row>
    <row r="228" spans="1:14" x14ac:dyDescent="0.3">
      <c r="A228" t="s">
        <v>502</v>
      </c>
      <c r="B228" t="s">
        <v>1014</v>
      </c>
      <c r="C228" t="s">
        <v>1025</v>
      </c>
      <c r="D228">
        <v>47</v>
      </c>
      <c r="E228">
        <v>10</v>
      </c>
      <c r="F228" s="3">
        <v>29982</v>
      </c>
      <c r="G228">
        <v>52</v>
      </c>
      <c r="H228">
        <v>15</v>
      </c>
      <c r="I228">
        <v>5</v>
      </c>
      <c r="J228">
        <v>30</v>
      </c>
      <c r="K228">
        <v>2.9</v>
      </c>
      <c r="L228" s="3">
        <v>4.5</v>
      </c>
      <c r="M228" t="s">
        <v>1036</v>
      </c>
      <c r="N228">
        <v>60.7</v>
      </c>
    </row>
    <row r="229" spans="1:14" x14ac:dyDescent="0.3">
      <c r="A229" t="s">
        <v>527</v>
      </c>
      <c r="B229" t="s">
        <v>1018</v>
      </c>
      <c r="C229" t="s">
        <v>1028</v>
      </c>
      <c r="D229">
        <v>48</v>
      </c>
      <c r="E229">
        <v>13</v>
      </c>
      <c r="F229" s="3">
        <v>50870</v>
      </c>
      <c r="G229">
        <v>42</v>
      </c>
      <c r="H229">
        <v>3</v>
      </c>
      <c r="I229">
        <v>22</v>
      </c>
      <c r="J229">
        <v>24</v>
      </c>
      <c r="K229">
        <v>4.5</v>
      </c>
      <c r="L229" s="3">
        <v>4.5</v>
      </c>
      <c r="M229" t="s">
        <v>1036</v>
      </c>
      <c r="N229">
        <v>45.5</v>
      </c>
    </row>
    <row r="230" spans="1:14" x14ac:dyDescent="0.3">
      <c r="A230" t="s">
        <v>557</v>
      </c>
      <c r="B230" t="s">
        <v>1018</v>
      </c>
      <c r="C230" t="s">
        <v>1028</v>
      </c>
      <c r="D230">
        <v>36</v>
      </c>
      <c r="E230">
        <v>8</v>
      </c>
      <c r="F230" s="3">
        <v>78154</v>
      </c>
      <c r="G230">
        <v>44</v>
      </c>
      <c r="H230">
        <v>2</v>
      </c>
      <c r="I230">
        <v>18</v>
      </c>
      <c r="J230">
        <v>25</v>
      </c>
      <c r="K230">
        <v>3.7</v>
      </c>
      <c r="L230" s="3">
        <v>4.5</v>
      </c>
      <c r="M230" t="s">
        <v>1036</v>
      </c>
      <c r="N230">
        <v>41.43</v>
      </c>
    </row>
    <row r="231" spans="1:14" x14ac:dyDescent="0.3">
      <c r="A231" t="s">
        <v>568</v>
      </c>
      <c r="B231" t="s">
        <v>1016</v>
      </c>
      <c r="C231" t="s">
        <v>1022</v>
      </c>
      <c r="D231">
        <v>22</v>
      </c>
      <c r="E231">
        <v>1</v>
      </c>
      <c r="F231" s="3">
        <v>70468</v>
      </c>
      <c r="G231">
        <v>38</v>
      </c>
      <c r="H231">
        <v>5</v>
      </c>
      <c r="I231">
        <v>14</v>
      </c>
      <c r="J231">
        <v>30</v>
      </c>
      <c r="K231">
        <v>2.1</v>
      </c>
      <c r="L231" s="3">
        <v>4.5</v>
      </c>
      <c r="M231" t="s">
        <v>1036</v>
      </c>
      <c r="N231">
        <v>41.63</v>
      </c>
    </row>
    <row r="232" spans="1:14" x14ac:dyDescent="0.3">
      <c r="A232" t="s">
        <v>668</v>
      </c>
      <c r="B232" t="s">
        <v>1014</v>
      </c>
      <c r="C232" t="s">
        <v>1025</v>
      </c>
      <c r="D232">
        <v>24</v>
      </c>
      <c r="E232">
        <v>2</v>
      </c>
      <c r="F232" s="3">
        <v>28673</v>
      </c>
      <c r="G232">
        <v>45</v>
      </c>
      <c r="H232">
        <v>13</v>
      </c>
      <c r="I232">
        <v>23</v>
      </c>
      <c r="J232">
        <v>2</v>
      </c>
      <c r="K232">
        <v>3.2</v>
      </c>
      <c r="L232" s="3">
        <v>4.5</v>
      </c>
      <c r="M232" t="s">
        <v>1036</v>
      </c>
      <c r="N232">
        <v>58.27</v>
      </c>
    </row>
    <row r="233" spans="1:14" x14ac:dyDescent="0.3">
      <c r="A233" t="s">
        <v>671</v>
      </c>
      <c r="B233" t="s">
        <v>1017</v>
      </c>
      <c r="C233" t="s">
        <v>1030</v>
      </c>
      <c r="D233">
        <v>32</v>
      </c>
      <c r="E233">
        <v>9</v>
      </c>
      <c r="F233" s="3">
        <v>29191</v>
      </c>
      <c r="G233">
        <v>38</v>
      </c>
      <c r="H233">
        <v>2</v>
      </c>
      <c r="I233">
        <v>15</v>
      </c>
      <c r="J233">
        <v>38</v>
      </c>
      <c r="K233">
        <v>4.4000000000000004</v>
      </c>
      <c r="L233" s="3">
        <v>4.5</v>
      </c>
      <c r="M233" t="s">
        <v>1036</v>
      </c>
      <c r="N233">
        <v>43.53</v>
      </c>
    </row>
    <row r="234" spans="1:14" x14ac:dyDescent="0.3">
      <c r="A234" t="s">
        <v>757</v>
      </c>
      <c r="B234" t="s">
        <v>1015</v>
      </c>
      <c r="C234" t="s">
        <v>1029</v>
      </c>
      <c r="D234">
        <v>28</v>
      </c>
      <c r="E234">
        <v>5</v>
      </c>
      <c r="F234" s="3">
        <v>42915</v>
      </c>
      <c r="G234">
        <v>37</v>
      </c>
      <c r="H234">
        <v>10</v>
      </c>
      <c r="I234">
        <v>25</v>
      </c>
      <c r="J234">
        <v>33</v>
      </c>
      <c r="K234">
        <v>3.4</v>
      </c>
      <c r="L234" s="3">
        <v>4.5</v>
      </c>
      <c r="M234" t="s">
        <v>1036</v>
      </c>
      <c r="N234">
        <v>53.87</v>
      </c>
    </row>
    <row r="235" spans="1:14" x14ac:dyDescent="0.3">
      <c r="A235" t="s">
        <v>959</v>
      </c>
      <c r="B235" t="s">
        <v>1018</v>
      </c>
      <c r="C235" t="s">
        <v>1028</v>
      </c>
      <c r="D235">
        <v>30</v>
      </c>
      <c r="E235">
        <v>3</v>
      </c>
      <c r="F235" s="3">
        <v>56881</v>
      </c>
      <c r="G235">
        <v>40</v>
      </c>
      <c r="H235">
        <v>9</v>
      </c>
      <c r="I235">
        <v>3</v>
      </c>
      <c r="J235">
        <v>28</v>
      </c>
      <c r="K235">
        <v>3.7</v>
      </c>
      <c r="L235" s="3">
        <v>4.5</v>
      </c>
      <c r="M235" t="s">
        <v>1036</v>
      </c>
      <c r="N235">
        <v>53.1</v>
      </c>
    </row>
    <row r="236" spans="1:14" x14ac:dyDescent="0.3">
      <c r="A236" t="s">
        <v>971</v>
      </c>
      <c r="B236" t="s">
        <v>1014</v>
      </c>
      <c r="C236" t="s">
        <v>1031</v>
      </c>
      <c r="D236">
        <v>28</v>
      </c>
      <c r="E236">
        <v>6</v>
      </c>
      <c r="F236" s="3">
        <v>71908</v>
      </c>
      <c r="G236">
        <v>35</v>
      </c>
      <c r="H236">
        <v>3</v>
      </c>
      <c r="I236">
        <v>10</v>
      </c>
      <c r="J236">
        <v>24</v>
      </c>
      <c r="K236">
        <v>4.3</v>
      </c>
      <c r="L236" s="3">
        <v>4.5</v>
      </c>
      <c r="M236" t="s">
        <v>1036</v>
      </c>
      <c r="N236">
        <v>44.9</v>
      </c>
    </row>
    <row r="237" spans="1:14" x14ac:dyDescent="0.3">
      <c r="A237" t="s">
        <v>68</v>
      </c>
      <c r="B237" t="s">
        <v>1014</v>
      </c>
      <c r="C237" t="s">
        <v>1025</v>
      </c>
      <c r="D237">
        <v>40</v>
      </c>
      <c r="E237">
        <v>7</v>
      </c>
      <c r="F237" s="3">
        <v>42807</v>
      </c>
      <c r="G237">
        <v>45</v>
      </c>
      <c r="H237">
        <v>6</v>
      </c>
      <c r="I237">
        <v>17</v>
      </c>
      <c r="J237">
        <v>5</v>
      </c>
      <c r="K237">
        <v>2.4</v>
      </c>
      <c r="L237" s="3">
        <v>4.5999999999999996</v>
      </c>
      <c r="M237" t="s">
        <v>1036</v>
      </c>
      <c r="N237">
        <v>44.8</v>
      </c>
    </row>
    <row r="238" spans="1:14" x14ac:dyDescent="0.3">
      <c r="A238" t="s">
        <v>199</v>
      </c>
      <c r="B238" t="s">
        <v>1014</v>
      </c>
      <c r="C238" t="s">
        <v>1025</v>
      </c>
      <c r="D238">
        <v>29</v>
      </c>
      <c r="E238">
        <v>8</v>
      </c>
      <c r="F238" s="3">
        <v>35028</v>
      </c>
      <c r="G238">
        <v>44</v>
      </c>
      <c r="H238">
        <v>3</v>
      </c>
      <c r="I238">
        <v>5</v>
      </c>
      <c r="J238">
        <v>20</v>
      </c>
      <c r="K238">
        <v>4.8</v>
      </c>
      <c r="L238" s="3">
        <v>4.5999999999999996</v>
      </c>
      <c r="M238" t="s">
        <v>1036</v>
      </c>
      <c r="N238">
        <v>47</v>
      </c>
    </row>
    <row r="239" spans="1:14" x14ac:dyDescent="0.3">
      <c r="A239" t="s">
        <v>250</v>
      </c>
      <c r="B239" t="s">
        <v>1017</v>
      </c>
      <c r="C239" t="s">
        <v>1024</v>
      </c>
      <c r="D239">
        <v>31</v>
      </c>
      <c r="E239">
        <v>4</v>
      </c>
      <c r="F239" s="3">
        <v>49671</v>
      </c>
      <c r="G239">
        <v>40</v>
      </c>
      <c r="H239">
        <v>13</v>
      </c>
      <c r="I239">
        <v>17</v>
      </c>
      <c r="J239">
        <v>30</v>
      </c>
      <c r="K239">
        <v>2.7</v>
      </c>
      <c r="L239" s="3">
        <v>4.5999999999999996</v>
      </c>
      <c r="M239" t="s">
        <v>1036</v>
      </c>
      <c r="N239">
        <v>57.37</v>
      </c>
    </row>
    <row r="240" spans="1:14" x14ac:dyDescent="0.3">
      <c r="A240" t="s">
        <v>464</v>
      </c>
      <c r="B240" t="s">
        <v>1015</v>
      </c>
      <c r="C240" t="s">
        <v>1020</v>
      </c>
      <c r="D240">
        <v>45</v>
      </c>
      <c r="E240">
        <v>10</v>
      </c>
      <c r="F240" s="3">
        <v>87826</v>
      </c>
      <c r="G240">
        <v>48</v>
      </c>
      <c r="H240">
        <v>3</v>
      </c>
      <c r="I240">
        <v>0</v>
      </c>
      <c r="J240">
        <v>20</v>
      </c>
      <c r="K240">
        <v>2.7</v>
      </c>
      <c r="L240" s="3">
        <v>4.5999999999999996</v>
      </c>
      <c r="M240" t="s">
        <v>1036</v>
      </c>
      <c r="N240">
        <v>40.700000000000003</v>
      </c>
    </row>
    <row r="241" spans="1:14" x14ac:dyDescent="0.3">
      <c r="A241" t="s">
        <v>539</v>
      </c>
      <c r="B241" t="s">
        <v>1014</v>
      </c>
      <c r="C241" t="s">
        <v>1025</v>
      </c>
      <c r="D241">
        <v>25</v>
      </c>
      <c r="E241">
        <v>2</v>
      </c>
      <c r="F241" s="3">
        <v>67242</v>
      </c>
      <c r="G241">
        <v>39</v>
      </c>
      <c r="H241">
        <v>12</v>
      </c>
      <c r="I241">
        <v>17</v>
      </c>
      <c r="J241">
        <v>6</v>
      </c>
      <c r="K241">
        <v>2.4</v>
      </c>
      <c r="L241" s="3">
        <v>4.5999999999999996</v>
      </c>
      <c r="M241" t="s">
        <v>1036</v>
      </c>
      <c r="N241">
        <v>54.8</v>
      </c>
    </row>
    <row r="242" spans="1:14" x14ac:dyDescent="0.3">
      <c r="A242" t="s">
        <v>575</v>
      </c>
      <c r="B242" t="s">
        <v>1016</v>
      </c>
      <c r="C242" t="s">
        <v>1033</v>
      </c>
      <c r="D242">
        <v>25</v>
      </c>
      <c r="E242">
        <v>2</v>
      </c>
      <c r="F242" s="3">
        <v>82584</v>
      </c>
      <c r="G242">
        <v>47</v>
      </c>
      <c r="H242">
        <v>15</v>
      </c>
      <c r="I242">
        <v>0</v>
      </c>
      <c r="J242">
        <v>35</v>
      </c>
      <c r="K242">
        <v>4.8</v>
      </c>
      <c r="L242" s="3">
        <v>4.5999999999999996</v>
      </c>
      <c r="M242" t="s">
        <v>1036</v>
      </c>
      <c r="N242">
        <v>67</v>
      </c>
    </row>
    <row r="243" spans="1:14" x14ac:dyDescent="0.3">
      <c r="A243" t="s">
        <v>581</v>
      </c>
      <c r="B243" t="s">
        <v>1014</v>
      </c>
      <c r="C243" t="s">
        <v>1019</v>
      </c>
      <c r="D243">
        <v>30</v>
      </c>
      <c r="E243">
        <v>2</v>
      </c>
      <c r="F243" s="3">
        <v>26716</v>
      </c>
      <c r="G243">
        <v>54</v>
      </c>
      <c r="H243">
        <v>10</v>
      </c>
      <c r="I243">
        <v>8</v>
      </c>
      <c r="J243">
        <v>38</v>
      </c>
      <c r="K243">
        <v>3.7</v>
      </c>
      <c r="L243" s="3">
        <v>4.5999999999999996</v>
      </c>
      <c r="M243" t="s">
        <v>1036</v>
      </c>
      <c r="N243">
        <v>55.37</v>
      </c>
    </row>
    <row r="244" spans="1:14" x14ac:dyDescent="0.3">
      <c r="A244" t="s">
        <v>742</v>
      </c>
      <c r="B244" t="s">
        <v>1017</v>
      </c>
      <c r="C244" t="s">
        <v>1030</v>
      </c>
      <c r="D244">
        <v>54</v>
      </c>
      <c r="E244">
        <v>8</v>
      </c>
      <c r="F244" s="3">
        <v>34658</v>
      </c>
      <c r="G244">
        <v>49</v>
      </c>
      <c r="H244">
        <v>2</v>
      </c>
      <c r="I244">
        <v>3</v>
      </c>
      <c r="J244">
        <v>16</v>
      </c>
      <c r="K244">
        <v>3.5</v>
      </c>
      <c r="L244" s="3">
        <v>4.5999999999999996</v>
      </c>
      <c r="M244" t="s">
        <v>1036</v>
      </c>
      <c r="N244">
        <v>41.43</v>
      </c>
    </row>
    <row r="245" spans="1:14" x14ac:dyDescent="0.3">
      <c r="A245" t="s">
        <v>882</v>
      </c>
      <c r="B245" t="s">
        <v>1014</v>
      </c>
      <c r="C245" t="s">
        <v>1025</v>
      </c>
      <c r="D245">
        <v>25</v>
      </c>
      <c r="E245">
        <v>2</v>
      </c>
      <c r="F245" s="3">
        <v>80700</v>
      </c>
      <c r="G245">
        <v>47</v>
      </c>
      <c r="H245">
        <v>7</v>
      </c>
      <c r="I245">
        <v>3</v>
      </c>
      <c r="J245">
        <v>39</v>
      </c>
      <c r="K245">
        <v>4.3</v>
      </c>
      <c r="L245" s="3">
        <v>4.5999999999999996</v>
      </c>
      <c r="M245" t="s">
        <v>1036</v>
      </c>
      <c r="N245">
        <v>52.17</v>
      </c>
    </row>
    <row r="246" spans="1:14" x14ac:dyDescent="0.3">
      <c r="A246" t="s">
        <v>29</v>
      </c>
      <c r="B246" t="s">
        <v>1015</v>
      </c>
      <c r="C246" t="s">
        <v>1020</v>
      </c>
      <c r="D246">
        <v>42</v>
      </c>
      <c r="E246">
        <v>15</v>
      </c>
      <c r="F246" s="3">
        <v>26276</v>
      </c>
      <c r="G246">
        <v>38</v>
      </c>
      <c r="H246">
        <v>15</v>
      </c>
      <c r="I246">
        <v>11</v>
      </c>
      <c r="J246">
        <v>19</v>
      </c>
      <c r="K246">
        <v>2.7</v>
      </c>
      <c r="L246" s="3">
        <v>4.7</v>
      </c>
      <c r="M246" t="s">
        <v>1036</v>
      </c>
      <c r="N246">
        <v>61.3</v>
      </c>
    </row>
    <row r="247" spans="1:14" x14ac:dyDescent="0.3">
      <c r="A247" t="s">
        <v>67</v>
      </c>
      <c r="B247" t="s">
        <v>1017</v>
      </c>
      <c r="C247" t="s">
        <v>1026</v>
      </c>
      <c r="D247">
        <v>38</v>
      </c>
      <c r="E247">
        <v>7</v>
      </c>
      <c r="F247" s="3">
        <v>80041</v>
      </c>
      <c r="G247">
        <v>55</v>
      </c>
      <c r="H247">
        <v>5</v>
      </c>
      <c r="I247">
        <v>24</v>
      </c>
      <c r="J247">
        <v>33</v>
      </c>
      <c r="K247">
        <v>3.5</v>
      </c>
      <c r="L247" s="3">
        <v>4.7</v>
      </c>
      <c r="M247" t="s">
        <v>1036</v>
      </c>
      <c r="N247">
        <v>47.03</v>
      </c>
    </row>
    <row r="248" spans="1:14" x14ac:dyDescent="0.3">
      <c r="A248" t="s">
        <v>84</v>
      </c>
      <c r="B248" t="s">
        <v>1018</v>
      </c>
      <c r="C248" t="s">
        <v>1027</v>
      </c>
      <c r="D248">
        <v>52</v>
      </c>
      <c r="E248">
        <v>15</v>
      </c>
      <c r="F248" s="3">
        <v>54371</v>
      </c>
      <c r="G248">
        <v>35</v>
      </c>
      <c r="H248">
        <v>2</v>
      </c>
      <c r="I248">
        <v>9</v>
      </c>
      <c r="J248">
        <v>14</v>
      </c>
      <c r="K248">
        <v>3.2</v>
      </c>
      <c r="L248" s="3">
        <v>4.7</v>
      </c>
      <c r="M248" t="s">
        <v>1036</v>
      </c>
      <c r="N248">
        <v>41.13</v>
      </c>
    </row>
    <row r="249" spans="1:14" x14ac:dyDescent="0.3">
      <c r="A249" t="s">
        <v>208</v>
      </c>
      <c r="B249" t="s">
        <v>1017</v>
      </c>
      <c r="C249" t="s">
        <v>1024</v>
      </c>
      <c r="D249">
        <v>53</v>
      </c>
      <c r="E249">
        <v>9</v>
      </c>
      <c r="F249" s="3">
        <v>57595</v>
      </c>
      <c r="G249">
        <v>35</v>
      </c>
      <c r="H249">
        <v>2</v>
      </c>
      <c r="I249">
        <v>12</v>
      </c>
      <c r="J249">
        <v>32</v>
      </c>
      <c r="K249">
        <v>3.4</v>
      </c>
      <c r="L249" s="3">
        <v>4.7</v>
      </c>
      <c r="M249" t="s">
        <v>1036</v>
      </c>
      <c r="N249">
        <v>41.73</v>
      </c>
    </row>
    <row r="250" spans="1:14" x14ac:dyDescent="0.3">
      <c r="A250" t="s">
        <v>217</v>
      </c>
      <c r="B250" t="s">
        <v>1017</v>
      </c>
      <c r="C250" t="s">
        <v>1024</v>
      </c>
      <c r="D250">
        <v>32</v>
      </c>
      <c r="E250">
        <v>8</v>
      </c>
      <c r="F250" s="3">
        <v>66223</v>
      </c>
      <c r="G250">
        <v>54</v>
      </c>
      <c r="H250">
        <v>13</v>
      </c>
      <c r="I250">
        <v>12</v>
      </c>
      <c r="J250">
        <v>9</v>
      </c>
      <c r="K250">
        <v>4.5</v>
      </c>
      <c r="L250" s="3">
        <v>4.7</v>
      </c>
      <c r="M250" t="s">
        <v>1036</v>
      </c>
      <c r="N250">
        <v>63.37</v>
      </c>
    </row>
    <row r="251" spans="1:14" x14ac:dyDescent="0.3">
      <c r="A251" t="s">
        <v>251</v>
      </c>
      <c r="B251" t="s">
        <v>1018</v>
      </c>
      <c r="C251" t="s">
        <v>1028</v>
      </c>
      <c r="D251">
        <v>51</v>
      </c>
      <c r="E251">
        <v>1</v>
      </c>
      <c r="F251" s="3">
        <v>61856</v>
      </c>
      <c r="G251">
        <v>48</v>
      </c>
      <c r="H251">
        <v>7</v>
      </c>
      <c r="I251">
        <v>17</v>
      </c>
      <c r="J251">
        <v>33</v>
      </c>
      <c r="K251">
        <v>2.4</v>
      </c>
      <c r="L251" s="3">
        <v>4.7</v>
      </c>
      <c r="M251" t="s">
        <v>1036</v>
      </c>
      <c r="N251">
        <v>47.07</v>
      </c>
    </row>
    <row r="252" spans="1:14" x14ac:dyDescent="0.3">
      <c r="A252" t="s">
        <v>258</v>
      </c>
      <c r="B252" t="s">
        <v>1015</v>
      </c>
      <c r="C252" t="s">
        <v>1020</v>
      </c>
      <c r="D252">
        <v>48</v>
      </c>
      <c r="E252">
        <v>9</v>
      </c>
      <c r="F252" s="3">
        <v>34988</v>
      </c>
      <c r="G252">
        <v>41</v>
      </c>
      <c r="H252">
        <v>6</v>
      </c>
      <c r="I252">
        <v>7</v>
      </c>
      <c r="J252">
        <v>24</v>
      </c>
      <c r="K252">
        <v>3.7</v>
      </c>
      <c r="L252" s="3">
        <v>4.7</v>
      </c>
      <c r="M252" t="s">
        <v>1036</v>
      </c>
      <c r="N252">
        <v>49.3</v>
      </c>
    </row>
    <row r="253" spans="1:14" x14ac:dyDescent="0.3">
      <c r="A253" t="s">
        <v>272</v>
      </c>
      <c r="B253" t="s">
        <v>1017</v>
      </c>
      <c r="C253" t="s">
        <v>1030</v>
      </c>
      <c r="D253">
        <v>33</v>
      </c>
      <c r="E253">
        <v>10</v>
      </c>
      <c r="F253" s="3">
        <v>63395</v>
      </c>
      <c r="G253">
        <v>47</v>
      </c>
      <c r="H253">
        <v>2</v>
      </c>
      <c r="I253">
        <v>24</v>
      </c>
      <c r="J253">
        <v>39</v>
      </c>
      <c r="K253">
        <v>2.9</v>
      </c>
      <c r="L253" s="3">
        <v>4.7</v>
      </c>
      <c r="M253" t="s">
        <v>1036</v>
      </c>
      <c r="N253">
        <v>40.229999999999997</v>
      </c>
    </row>
    <row r="254" spans="1:14" x14ac:dyDescent="0.3">
      <c r="A254" t="s">
        <v>450</v>
      </c>
      <c r="B254" t="s">
        <v>1014</v>
      </c>
      <c r="C254" t="s">
        <v>1019</v>
      </c>
      <c r="D254">
        <v>29</v>
      </c>
      <c r="E254">
        <v>5</v>
      </c>
      <c r="F254" s="3">
        <v>54207</v>
      </c>
      <c r="G254">
        <v>42</v>
      </c>
      <c r="H254">
        <v>15</v>
      </c>
      <c r="I254">
        <v>20</v>
      </c>
      <c r="J254">
        <v>39</v>
      </c>
      <c r="K254">
        <v>4.8</v>
      </c>
      <c r="L254" s="3">
        <v>4.7</v>
      </c>
      <c r="M254" t="s">
        <v>1036</v>
      </c>
      <c r="N254">
        <v>67.599999999999994</v>
      </c>
    </row>
    <row r="255" spans="1:14" x14ac:dyDescent="0.3">
      <c r="A255" t="s">
        <v>503</v>
      </c>
      <c r="B255" t="s">
        <v>1016</v>
      </c>
      <c r="C255" t="s">
        <v>1033</v>
      </c>
      <c r="D255">
        <v>33</v>
      </c>
      <c r="E255">
        <v>11</v>
      </c>
      <c r="F255" s="3">
        <v>69768</v>
      </c>
      <c r="G255">
        <v>41</v>
      </c>
      <c r="H255">
        <v>8</v>
      </c>
      <c r="I255">
        <v>23</v>
      </c>
      <c r="J255">
        <v>12</v>
      </c>
      <c r="K255">
        <v>2.7</v>
      </c>
      <c r="L255" s="3">
        <v>4.7</v>
      </c>
      <c r="M255" t="s">
        <v>1036</v>
      </c>
      <c r="N255">
        <v>49.63</v>
      </c>
    </row>
    <row r="256" spans="1:14" x14ac:dyDescent="0.3">
      <c r="A256" t="s">
        <v>536</v>
      </c>
      <c r="B256" t="s">
        <v>1016</v>
      </c>
      <c r="C256" t="s">
        <v>1033</v>
      </c>
      <c r="D256">
        <v>34</v>
      </c>
      <c r="E256">
        <v>5</v>
      </c>
      <c r="F256" s="3">
        <v>83164</v>
      </c>
      <c r="G256">
        <v>36</v>
      </c>
      <c r="H256">
        <v>14</v>
      </c>
      <c r="I256">
        <v>21</v>
      </c>
      <c r="J256">
        <v>13</v>
      </c>
      <c r="K256">
        <v>4.9000000000000004</v>
      </c>
      <c r="L256" s="3">
        <v>4.7</v>
      </c>
      <c r="M256" t="s">
        <v>1036</v>
      </c>
      <c r="N256">
        <v>66.23</v>
      </c>
    </row>
    <row r="257" spans="1:14" x14ac:dyDescent="0.3">
      <c r="A257" t="s">
        <v>586</v>
      </c>
      <c r="B257" t="s">
        <v>1015</v>
      </c>
      <c r="C257" t="s">
        <v>1020</v>
      </c>
      <c r="D257">
        <v>55</v>
      </c>
      <c r="E257">
        <v>1</v>
      </c>
      <c r="F257" s="3">
        <v>59121</v>
      </c>
      <c r="G257">
        <v>38</v>
      </c>
      <c r="H257">
        <v>8</v>
      </c>
      <c r="I257">
        <v>14</v>
      </c>
      <c r="J257">
        <v>2</v>
      </c>
      <c r="K257">
        <v>4.5999999999999996</v>
      </c>
      <c r="L257" s="3">
        <v>4.7</v>
      </c>
      <c r="M257" t="s">
        <v>1036</v>
      </c>
      <c r="N257">
        <v>55.33</v>
      </c>
    </row>
    <row r="258" spans="1:14" x14ac:dyDescent="0.3">
      <c r="A258" t="s">
        <v>648</v>
      </c>
      <c r="B258" t="s">
        <v>1016</v>
      </c>
      <c r="C258" t="s">
        <v>1033</v>
      </c>
      <c r="D258">
        <v>27</v>
      </c>
      <c r="E258">
        <v>1</v>
      </c>
      <c r="F258" s="3">
        <v>64029</v>
      </c>
      <c r="G258">
        <v>39</v>
      </c>
      <c r="H258">
        <v>14</v>
      </c>
      <c r="I258">
        <v>15</v>
      </c>
      <c r="J258">
        <v>26</v>
      </c>
      <c r="K258">
        <v>4.3</v>
      </c>
      <c r="L258" s="3">
        <v>4.7</v>
      </c>
      <c r="M258" t="s">
        <v>1036</v>
      </c>
      <c r="N258">
        <v>64.430000000000007</v>
      </c>
    </row>
    <row r="259" spans="1:14" x14ac:dyDescent="0.3">
      <c r="A259" t="s">
        <v>762</v>
      </c>
      <c r="B259" t="s">
        <v>1018</v>
      </c>
      <c r="C259" t="s">
        <v>1028</v>
      </c>
      <c r="D259">
        <v>48</v>
      </c>
      <c r="E259">
        <v>8</v>
      </c>
      <c r="F259" s="3">
        <v>78982</v>
      </c>
      <c r="G259">
        <v>44</v>
      </c>
      <c r="H259">
        <v>11</v>
      </c>
      <c r="I259">
        <v>5</v>
      </c>
      <c r="J259">
        <v>16</v>
      </c>
      <c r="K259">
        <v>4.0999999999999996</v>
      </c>
      <c r="L259" s="3">
        <v>4.7</v>
      </c>
      <c r="M259" t="s">
        <v>1036</v>
      </c>
      <c r="N259">
        <v>58.83</v>
      </c>
    </row>
    <row r="260" spans="1:14" x14ac:dyDescent="0.3">
      <c r="A260" t="s">
        <v>777</v>
      </c>
      <c r="B260" t="s">
        <v>1014</v>
      </c>
      <c r="C260" t="s">
        <v>1025</v>
      </c>
      <c r="D260">
        <v>47</v>
      </c>
      <c r="E260">
        <v>6</v>
      </c>
      <c r="F260" s="3">
        <v>66176</v>
      </c>
      <c r="G260">
        <v>44</v>
      </c>
      <c r="H260">
        <v>6</v>
      </c>
      <c r="I260">
        <v>18</v>
      </c>
      <c r="J260">
        <v>5</v>
      </c>
      <c r="K260">
        <v>2.2999999999999998</v>
      </c>
      <c r="L260" s="3">
        <v>4.7</v>
      </c>
      <c r="M260" t="s">
        <v>1036</v>
      </c>
      <c r="N260">
        <v>45.1</v>
      </c>
    </row>
    <row r="261" spans="1:14" x14ac:dyDescent="0.3">
      <c r="A261" t="s">
        <v>859</v>
      </c>
      <c r="B261" t="s">
        <v>1014</v>
      </c>
      <c r="C261" t="s">
        <v>1025</v>
      </c>
      <c r="D261">
        <v>48</v>
      </c>
      <c r="E261">
        <v>7</v>
      </c>
      <c r="F261" s="3">
        <v>84882</v>
      </c>
      <c r="G261">
        <v>35</v>
      </c>
      <c r="H261">
        <v>5</v>
      </c>
      <c r="I261">
        <v>17</v>
      </c>
      <c r="J261">
        <v>37</v>
      </c>
      <c r="K261">
        <v>4</v>
      </c>
      <c r="L261" s="3">
        <v>4.7</v>
      </c>
      <c r="M261" t="s">
        <v>1036</v>
      </c>
      <c r="N261">
        <v>48.53</v>
      </c>
    </row>
    <row r="262" spans="1:14" x14ac:dyDescent="0.3">
      <c r="A262" t="s">
        <v>879</v>
      </c>
      <c r="B262" t="s">
        <v>1014</v>
      </c>
      <c r="C262" t="s">
        <v>1019</v>
      </c>
      <c r="D262">
        <v>52</v>
      </c>
      <c r="E262">
        <v>7</v>
      </c>
      <c r="F262" s="3">
        <v>87836</v>
      </c>
      <c r="G262">
        <v>45</v>
      </c>
      <c r="H262">
        <v>14</v>
      </c>
      <c r="I262">
        <v>1</v>
      </c>
      <c r="J262">
        <v>21</v>
      </c>
      <c r="K262">
        <v>3.6</v>
      </c>
      <c r="L262" s="3">
        <v>4.7</v>
      </c>
      <c r="M262" t="s">
        <v>1036</v>
      </c>
      <c r="N262">
        <v>62.33</v>
      </c>
    </row>
    <row r="263" spans="1:14" x14ac:dyDescent="0.3">
      <c r="A263" t="s">
        <v>885</v>
      </c>
      <c r="B263" t="s">
        <v>1015</v>
      </c>
      <c r="C263" t="s">
        <v>1029</v>
      </c>
      <c r="D263">
        <v>30</v>
      </c>
      <c r="E263">
        <v>8</v>
      </c>
      <c r="F263" s="3">
        <v>41795</v>
      </c>
      <c r="G263">
        <v>46</v>
      </c>
      <c r="H263">
        <v>7</v>
      </c>
      <c r="I263">
        <v>15</v>
      </c>
      <c r="J263">
        <v>39</v>
      </c>
      <c r="K263">
        <v>3.3</v>
      </c>
      <c r="L263" s="3">
        <v>4.7</v>
      </c>
      <c r="M263" t="s">
        <v>1036</v>
      </c>
      <c r="N263">
        <v>49.77</v>
      </c>
    </row>
    <row r="264" spans="1:14" x14ac:dyDescent="0.3">
      <c r="A264" t="s">
        <v>55</v>
      </c>
      <c r="B264" t="s">
        <v>1016</v>
      </c>
      <c r="C264" t="s">
        <v>1022</v>
      </c>
      <c r="D264">
        <v>54</v>
      </c>
      <c r="E264">
        <v>12</v>
      </c>
      <c r="F264" s="3">
        <v>69532</v>
      </c>
      <c r="G264">
        <v>52</v>
      </c>
      <c r="H264">
        <v>6</v>
      </c>
      <c r="I264">
        <v>0</v>
      </c>
      <c r="J264">
        <v>7</v>
      </c>
      <c r="K264">
        <v>4.5999999999999996</v>
      </c>
      <c r="L264" s="3">
        <v>4.8</v>
      </c>
      <c r="M264" t="s">
        <v>1036</v>
      </c>
      <c r="N264">
        <v>52.6</v>
      </c>
    </row>
    <row r="265" spans="1:14" x14ac:dyDescent="0.3">
      <c r="A265" t="s">
        <v>155</v>
      </c>
      <c r="B265" t="s">
        <v>1018</v>
      </c>
      <c r="C265" t="s">
        <v>1028</v>
      </c>
      <c r="D265">
        <v>44</v>
      </c>
      <c r="E265">
        <v>11</v>
      </c>
      <c r="F265" s="3">
        <v>72669</v>
      </c>
      <c r="G265">
        <v>55</v>
      </c>
      <c r="H265">
        <v>14</v>
      </c>
      <c r="I265">
        <v>4</v>
      </c>
      <c r="J265">
        <v>15</v>
      </c>
      <c r="K265">
        <v>2.2999999999999998</v>
      </c>
      <c r="L265" s="3">
        <v>4.8</v>
      </c>
      <c r="M265" t="s">
        <v>1036</v>
      </c>
      <c r="N265">
        <v>59.03</v>
      </c>
    </row>
    <row r="266" spans="1:14" x14ac:dyDescent="0.3">
      <c r="A266" t="s">
        <v>180</v>
      </c>
      <c r="B266" t="s">
        <v>1015</v>
      </c>
      <c r="C266" t="s">
        <v>1029</v>
      </c>
      <c r="D266">
        <v>23</v>
      </c>
      <c r="E266">
        <v>1</v>
      </c>
      <c r="F266" s="3">
        <v>82234</v>
      </c>
      <c r="G266">
        <v>50</v>
      </c>
      <c r="H266">
        <v>1</v>
      </c>
      <c r="I266">
        <v>20</v>
      </c>
      <c r="J266">
        <v>24</v>
      </c>
      <c r="K266">
        <v>4.9000000000000004</v>
      </c>
      <c r="L266" s="3">
        <v>4.8</v>
      </c>
      <c r="M266" t="s">
        <v>1036</v>
      </c>
      <c r="N266">
        <v>45.17</v>
      </c>
    </row>
    <row r="267" spans="1:14" x14ac:dyDescent="0.3">
      <c r="A267" t="s">
        <v>192</v>
      </c>
      <c r="B267" t="s">
        <v>1014</v>
      </c>
      <c r="C267" t="s">
        <v>1031</v>
      </c>
      <c r="D267">
        <v>33</v>
      </c>
      <c r="E267">
        <v>7</v>
      </c>
      <c r="F267" s="3">
        <v>58930</v>
      </c>
      <c r="G267">
        <v>47</v>
      </c>
      <c r="H267">
        <v>15</v>
      </c>
      <c r="I267">
        <v>17</v>
      </c>
      <c r="J267">
        <v>7</v>
      </c>
      <c r="K267">
        <v>2.8</v>
      </c>
      <c r="L267" s="3">
        <v>4.8</v>
      </c>
      <c r="M267" t="s">
        <v>1036</v>
      </c>
      <c r="N267">
        <v>62.2</v>
      </c>
    </row>
    <row r="268" spans="1:14" x14ac:dyDescent="0.3">
      <c r="A268" t="s">
        <v>346</v>
      </c>
      <c r="B268" t="s">
        <v>1018</v>
      </c>
      <c r="C268" t="s">
        <v>1028</v>
      </c>
      <c r="D268">
        <v>34</v>
      </c>
      <c r="E268">
        <v>13</v>
      </c>
      <c r="F268" s="3">
        <v>51252</v>
      </c>
      <c r="G268">
        <v>46</v>
      </c>
      <c r="H268">
        <v>11</v>
      </c>
      <c r="I268">
        <v>20</v>
      </c>
      <c r="J268">
        <v>5</v>
      </c>
      <c r="K268">
        <v>3.7</v>
      </c>
      <c r="L268" s="3">
        <v>4.8</v>
      </c>
      <c r="M268" t="s">
        <v>1036</v>
      </c>
      <c r="N268">
        <v>58.23</v>
      </c>
    </row>
    <row r="269" spans="1:14" x14ac:dyDescent="0.3">
      <c r="A269" t="s">
        <v>501</v>
      </c>
      <c r="B269" t="s">
        <v>1018</v>
      </c>
      <c r="C269" t="s">
        <v>1032</v>
      </c>
      <c r="D269">
        <v>42</v>
      </c>
      <c r="E269">
        <v>13</v>
      </c>
      <c r="F269" s="3">
        <v>87616</v>
      </c>
      <c r="G269">
        <v>46</v>
      </c>
      <c r="H269">
        <v>9</v>
      </c>
      <c r="I269">
        <v>17</v>
      </c>
      <c r="J269">
        <v>0</v>
      </c>
      <c r="K269">
        <v>4.0999999999999996</v>
      </c>
      <c r="L269" s="3">
        <v>4.8</v>
      </c>
      <c r="M269" t="s">
        <v>1036</v>
      </c>
      <c r="N269">
        <v>56.1</v>
      </c>
    </row>
    <row r="270" spans="1:14" x14ac:dyDescent="0.3">
      <c r="A270" t="s">
        <v>535</v>
      </c>
      <c r="B270" t="s">
        <v>1017</v>
      </c>
      <c r="C270" t="s">
        <v>1024</v>
      </c>
      <c r="D270">
        <v>41</v>
      </c>
      <c r="E270">
        <v>10</v>
      </c>
      <c r="F270" s="3">
        <v>35394</v>
      </c>
      <c r="G270">
        <v>55</v>
      </c>
      <c r="H270">
        <v>12</v>
      </c>
      <c r="I270">
        <v>1</v>
      </c>
      <c r="J270">
        <v>35</v>
      </c>
      <c r="K270">
        <v>3.6</v>
      </c>
      <c r="L270" s="3">
        <v>4.8</v>
      </c>
      <c r="M270" t="s">
        <v>1036</v>
      </c>
      <c r="N270">
        <v>59.6</v>
      </c>
    </row>
    <row r="271" spans="1:14" x14ac:dyDescent="0.3">
      <c r="A271" t="s">
        <v>703</v>
      </c>
      <c r="B271" t="s">
        <v>1015</v>
      </c>
      <c r="C271" t="s">
        <v>1021</v>
      </c>
      <c r="D271">
        <v>50</v>
      </c>
      <c r="E271">
        <v>14</v>
      </c>
      <c r="F271" s="3">
        <v>44928</v>
      </c>
      <c r="G271">
        <v>53</v>
      </c>
      <c r="H271">
        <v>3</v>
      </c>
      <c r="I271">
        <v>25</v>
      </c>
      <c r="J271">
        <v>19</v>
      </c>
      <c r="K271">
        <v>2.5</v>
      </c>
      <c r="L271" s="3">
        <v>4.8</v>
      </c>
      <c r="M271" t="s">
        <v>1036</v>
      </c>
      <c r="N271">
        <v>41.3</v>
      </c>
    </row>
    <row r="272" spans="1:14" x14ac:dyDescent="0.3">
      <c r="A272" t="s">
        <v>730</v>
      </c>
      <c r="B272" t="s">
        <v>1014</v>
      </c>
      <c r="C272" t="s">
        <v>1019</v>
      </c>
      <c r="D272">
        <v>34</v>
      </c>
      <c r="E272">
        <v>1</v>
      </c>
      <c r="F272" s="3">
        <v>27149</v>
      </c>
      <c r="G272">
        <v>51</v>
      </c>
      <c r="H272">
        <v>10</v>
      </c>
      <c r="I272">
        <v>1</v>
      </c>
      <c r="J272">
        <v>30</v>
      </c>
      <c r="K272">
        <v>2.4</v>
      </c>
      <c r="L272" s="3">
        <v>4.8</v>
      </c>
      <c r="M272" t="s">
        <v>1036</v>
      </c>
      <c r="N272">
        <v>52.67</v>
      </c>
    </row>
    <row r="273" spans="1:14" x14ac:dyDescent="0.3">
      <c r="A273" t="s">
        <v>20</v>
      </c>
      <c r="B273" t="s">
        <v>1017</v>
      </c>
      <c r="C273" t="s">
        <v>1024</v>
      </c>
      <c r="D273">
        <v>39</v>
      </c>
      <c r="E273">
        <v>14</v>
      </c>
      <c r="F273" s="3">
        <v>66660</v>
      </c>
      <c r="G273">
        <v>46</v>
      </c>
      <c r="H273">
        <v>3</v>
      </c>
      <c r="I273">
        <v>11</v>
      </c>
      <c r="J273">
        <v>22</v>
      </c>
      <c r="K273">
        <v>2.6</v>
      </c>
      <c r="L273" s="3">
        <v>4.9000000000000004</v>
      </c>
      <c r="M273" t="s">
        <v>1036</v>
      </c>
      <c r="N273">
        <v>42.2</v>
      </c>
    </row>
    <row r="274" spans="1:14" x14ac:dyDescent="0.3">
      <c r="A274" t="s">
        <v>147</v>
      </c>
      <c r="B274" t="s">
        <v>1015</v>
      </c>
      <c r="C274" t="s">
        <v>1020</v>
      </c>
      <c r="D274">
        <v>27</v>
      </c>
      <c r="E274">
        <v>0</v>
      </c>
      <c r="F274" s="3">
        <v>35196</v>
      </c>
      <c r="G274">
        <v>40</v>
      </c>
      <c r="H274">
        <v>13</v>
      </c>
      <c r="I274">
        <v>19</v>
      </c>
      <c r="J274">
        <v>3</v>
      </c>
      <c r="K274">
        <v>4</v>
      </c>
      <c r="L274" s="3">
        <v>4.9000000000000004</v>
      </c>
      <c r="M274" t="s">
        <v>1036</v>
      </c>
      <c r="N274">
        <v>63.07</v>
      </c>
    </row>
    <row r="275" spans="1:14" x14ac:dyDescent="0.3">
      <c r="A275" t="s">
        <v>188</v>
      </c>
      <c r="B275" t="s">
        <v>1018</v>
      </c>
      <c r="C275" t="s">
        <v>1028</v>
      </c>
      <c r="D275">
        <v>50</v>
      </c>
      <c r="E275">
        <v>11</v>
      </c>
      <c r="F275" s="3">
        <v>54303</v>
      </c>
      <c r="G275">
        <v>36</v>
      </c>
      <c r="H275">
        <v>12</v>
      </c>
      <c r="I275">
        <v>11</v>
      </c>
      <c r="J275">
        <v>39</v>
      </c>
      <c r="K275">
        <v>5</v>
      </c>
      <c r="L275" s="3">
        <v>4.9000000000000004</v>
      </c>
      <c r="M275" t="s">
        <v>1036</v>
      </c>
      <c r="N275">
        <v>64.400000000000006</v>
      </c>
    </row>
    <row r="276" spans="1:14" x14ac:dyDescent="0.3">
      <c r="A276" t="s">
        <v>277</v>
      </c>
      <c r="B276" t="s">
        <v>1018</v>
      </c>
      <c r="C276" t="s">
        <v>1032</v>
      </c>
      <c r="D276">
        <v>30</v>
      </c>
      <c r="E276">
        <v>4</v>
      </c>
      <c r="F276" s="3">
        <v>44734</v>
      </c>
      <c r="G276">
        <v>43</v>
      </c>
      <c r="H276">
        <v>8</v>
      </c>
      <c r="I276">
        <v>4</v>
      </c>
      <c r="J276">
        <v>4</v>
      </c>
      <c r="K276">
        <v>2.5</v>
      </c>
      <c r="L276" s="3">
        <v>4.9000000000000004</v>
      </c>
      <c r="M276" t="s">
        <v>1036</v>
      </c>
      <c r="N276">
        <v>50.23</v>
      </c>
    </row>
    <row r="277" spans="1:14" x14ac:dyDescent="0.3">
      <c r="A277" t="s">
        <v>548</v>
      </c>
      <c r="B277" t="s">
        <v>1014</v>
      </c>
      <c r="C277" t="s">
        <v>1019</v>
      </c>
      <c r="D277">
        <v>45</v>
      </c>
      <c r="E277">
        <v>13</v>
      </c>
      <c r="F277" s="3">
        <v>78872</v>
      </c>
      <c r="G277">
        <v>46</v>
      </c>
      <c r="H277">
        <v>13</v>
      </c>
      <c r="I277">
        <v>22</v>
      </c>
      <c r="J277">
        <v>3</v>
      </c>
      <c r="K277">
        <v>4.5</v>
      </c>
      <c r="L277" s="3">
        <v>4.9000000000000004</v>
      </c>
      <c r="M277" t="s">
        <v>1036</v>
      </c>
      <c r="N277">
        <v>64.569999999999993</v>
      </c>
    </row>
    <row r="278" spans="1:14" x14ac:dyDescent="0.3">
      <c r="A278" t="s">
        <v>580</v>
      </c>
      <c r="B278" t="s">
        <v>1014</v>
      </c>
      <c r="C278" t="s">
        <v>1019</v>
      </c>
      <c r="D278">
        <v>42</v>
      </c>
      <c r="E278">
        <v>13</v>
      </c>
      <c r="F278" s="3">
        <v>87992</v>
      </c>
      <c r="G278">
        <v>48</v>
      </c>
      <c r="H278">
        <v>5</v>
      </c>
      <c r="I278">
        <v>14</v>
      </c>
      <c r="J278">
        <v>40</v>
      </c>
      <c r="K278">
        <v>4.8</v>
      </c>
      <c r="L278" s="3">
        <v>4.9000000000000004</v>
      </c>
      <c r="M278" t="s">
        <v>1036</v>
      </c>
      <c r="N278">
        <v>52.13</v>
      </c>
    </row>
    <row r="279" spans="1:14" x14ac:dyDescent="0.3">
      <c r="A279" t="s">
        <v>645</v>
      </c>
      <c r="B279" t="s">
        <v>1015</v>
      </c>
      <c r="C279" t="s">
        <v>1029</v>
      </c>
      <c r="D279">
        <v>23</v>
      </c>
      <c r="E279">
        <v>1</v>
      </c>
      <c r="F279" s="3">
        <v>56769</v>
      </c>
      <c r="G279">
        <v>37</v>
      </c>
      <c r="H279">
        <v>3</v>
      </c>
      <c r="I279">
        <v>16</v>
      </c>
      <c r="J279">
        <v>4</v>
      </c>
      <c r="K279">
        <v>4.5999999999999996</v>
      </c>
      <c r="L279" s="3">
        <v>4.9000000000000004</v>
      </c>
      <c r="M279" t="s">
        <v>1036</v>
      </c>
      <c r="N279">
        <v>48.2</v>
      </c>
    </row>
    <row r="280" spans="1:14" x14ac:dyDescent="0.3">
      <c r="A280" t="s">
        <v>652</v>
      </c>
      <c r="B280" t="s">
        <v>1014</v>
      </c>
      <c r="C280" t="s">
        <v>1019</v>
      </c>
      <c r="D280">
        <v>28</v>
      </c>
      <c r="E280">
        <v>5</v>
      </c>
      <c r="F280" s="3">
        <v>87664</v>
      </c>
      <c r="G280">
        <v>48</v>
      </c>
      <c r="H280">
        <v>10</v>
      </c>
      <c r="I280">
        <v>20</v>
      </c>
      <c r="J280">
        <v>17</v>
      </c>
      <c r="K280">
        <v>3</v>
      </c>
      <c r="L280" s="3">
        <v>4.9000000000000004</v>
      </c>
      <c r="M280" t="s">
        <v>1036</v>
      </c>
      <c r="N280">
        <v>55.07</v>
      </c>
    </row>
    <row r="281" spans="1:14" x14ac:dyDescent="0.3">
      <c r="A281" t="s">
        <v>693</v>
      </c>
      <c r="B281" t="s">
        <v>1017</v>
      </c>
      <c r="C281" t="s">
        <v>1024</v>
      </c>
      <c r="D281">
        <v>22</v>
      </c>
      <c r="E281">
        <v>0</v>
      </c>
      <c r="F281" s="3">
        <v>50223</v>
      </c>
      <c r="G281">
        <v>45</v>
      </c>
      <c r="H281">
        <v>9</v>
      </c>
      <c r="I281">
        <v>1</v>
      </c>
      <c r="J281">
        <v>18</v>
      </c>
      <c r="K281">
        <v>3.3</v>
      </c>
      <c r="L281" s="3">
        <v>4.9000000000000004</v>
      </c>
      <c r="M281" t="s">
        <v>1036</v>
      </c>
      <c r="N281">
        <v>54.3</v>
      </c>
    </row>
    <row r="282" spans="1:14" x14ac:dyDescent="0.3">
      <c r="A282" t="s">
        <v>61</v>
      </c>
      <c r="B282" t="s">
        <v>1016</v>
      </c>
      <c r="C282" t="s">
        <v>1022</v>
      </c>
      <c r="D282">
        <v>51</v>
      </c>
      <c r="E282">
        <v>14</v>
      </c>
      <c r="F282" s="3">
        <v>53977</v>
      </c>
      <c r="G282">
        <v>41</v>
      </c>
      <c r="H282">
        <v>9</v>
      </c>
      <c r="I282">
        <v>15</v>
      </c>
      <c r="J282">
        <v>10</v>
      </c>
      <c r="K282">
        <v>4</v>
      </c>
      <c r="L282" s="3">
        <v>5</v>
      </c>
      <c r="M282" t="s">
        <v>1036</v>
      </c>
      <c r="N282">
        <v>57</v>
      </c>
    </row>
    <row r="283" spans="1:14" x14ac:dyDescent="0.3">
      <c r="A283" t="s">
        <v>103</v>
      </c>
      <c r="B283" t="s">
        <v>1016</v>
      </c>
      <c r="C283" t="s">
        <v>1022</v>
      </c>
      <c r="D283">
        <v>53</v>
      </c>
      <c r="E283">
        <v>14</v>
      </c>
      <c r="F283" s="3">
        <v>74806</v>
      </c>
      <c r="G283">
        <v>36</v>
      </c>
      <c r="H283">
        <v>4</v>
      </c>
      <c r="I283">
        <v>8</v>
      </c>
      <c r="J283">
        <v>35</v>
      </c>
      <c r="K283">
        <v>2.4</v>
      </c>
      <c r="L283" s="3">
        <v>5</v>
      </c>
      <c r="M283" t="s">
        <v>1036</v>
      </c>
      <c r="N283">
        <v>43.87</v>
      </c>
    </row>
    <row r="284" spans="1:14" x14ac:dyDescent="0.3">
      <c r="A284" t="s">
        <v>158</v>
      </c>
      <c r="B284" t="s">
        <v>1014</v>
      </c>
      <c r="C284" t="s">
        <v>1025</v>
      </c>
      <c r="D284">
        <v>44</v>
      </c>
      <c r="E284">
        <v>2</v>
      </c>
      <c r="F284" s="3">
        <v>45342</v>
      </c>
      <c r="G284">
        <v>49</v>
      </c>
      <c r="H284">
        <v>8</v>
      </c>
      <c r="I284">
        <v>1</v>
      </c>
      <c r="J284">
        <v>3</v>
      </c>
      <c r="K284">
        <v>3.1</v>
      </c>
      <c r="L284" s="3">
        <v>5</v>
      </c>
      <c r="M284" t="s">
        <v>1036</v>
      </c>
      <c r="N284">
        <v>52.63</v>
      </c>
    </row>
    <row r="285" spans="1:14" x14ac:dyDescent="0.3">
      <c r="A285" t="s">
        <v>191</v>
      </c>
      <c r="B285" t="s">
        <v>1016</v>
      </c>
      <c r="C285" t="s">
        <v>1023</v>
      </c>
      <c r="D285">
        <v>50</v>
      </c>
      <c r="E285">
        <v>2</v>
      </c>
      <c r="F285" s="3">
        <v>62612</v>
      </c>
      <c r="G285">
        <v>39</v>
      </c>
      <c r="H285">
        <v>9</v>
      </c>
      <c r="I285">
        <v>11</v>
      </c>
      <c r="J285">
        <v>25</v>
      </c>
      <c r="K285">
        <v>2.9</v>
      </c>
      <c r="L285" s="3">
        <v>5</v>
      </c>
      <c r="M285" t="s">
        <v>1036</v>
      </c>
      <c r="N285">
        <v>53.7</v>
      </c>
    </row>
    <row r="286" spans="1:14" x14ac:dyDescent="0.3">
      <c r="A286" t="s">
        <v>226</v>
      </c>
      <c r="B286" t="s">
        <v>1015</v>
      </c>
      <c r="C286" t="s">
        <v>1021</v>
      </c>
      <c r="D286">
        <v>32</v>
      </c>
      <c r="E286">
        <v>6</v>
      </c>
      <c r="F286" s="3">
        <v>67787</v>
      </c>
      <c r="G286">
        <v>50</v>
      </c>
      <c r="H286">
        <v>8</v>
      </c>
      <c r="I286">
        <v>20</v>
      </c>
      <c r="J286">
        <v>12</v>
      </c>
      <c r="K286">
        <v>4.3</v>
      </c>
      <c r="L286" s="3">
        <v>5</v>
      </c>
      <c r="M286" t="s">
        <v>1036</v>
      </c>
      <c r="N286">
        <v>56.23</v>
      </c>
    </row>
    <row r="287" spans="1:14" x14ac:dyDescent="0.3">
      <c r="A287" t="s">
        <v>350</v>
      </c>
      <c r="B287" t="s">
        <v>1015</v>
      </c>
      <c r="C287" t="s">
        <v>1029</v>
      </c>
      <c r="D287">
        <v>37</v>
      </c>
      <c r="E287">
        <v>9</v>
      </c>
      <c r="F287" s="3">
        <v>57695</v>
      </c>
      <c r="G287">
        <v>48</v>
      </c>
      <c r="H287">
        <v>15</v>
      </c>
      <c r="I287">
        <v>17</v>
      </c>
      <c r="J287">
        <v>30</v>
      </c>
      <c r="K287">
        <v>2.2000000000000002</v>
      </c>
      <c r="L287" s="3">
        <v>5</v>
      </c>
      <c r="M287" t="s">
        <v>1036</v>
      </c>
      <c r="N287">
        <v>61.6</v>
      </c>
    </row>
    <row r="288" spans="1:14" x14ac:dyDescent="0.3">
      <c r="A288" t="s">
        <v>515</v>
      </c>
      <c r="B288" t="s">
        <v>1015</v>
      </c>
      <c r="C288" t="s">
        <v>1021</v>
      </c>
      <c r="D288">
        <v>34</v>
      </c>
      <c r="E288">
        <v>9</v>
      </c>
      <c r="F288" s="3">
        <v>62741</v>
      </c>
      <c r="G288">
        <v>55</v>
      </c>
      <c r="H288">
        <v>11</v>
      </c>
      <c r="I288">
        <v>17</v>
      </c>
      <c r="J288">
        <v>11</v>
      </c>
      <c r="K288">
        <v>4.9000000000000004</v>
      </c>
      <c r="L288" s="3">
        <v>5</v>
      </c>
      <c r="M288" t="s">
        <v>1036</v>
      </c>
      <c r="N288">
        <v>63.03</v>
      </c>
    </row>
    <row r="289" spans="1:14" x14ac:dyDescent="0.3">
      <c r="A289" t="s">
        <v>624</v>
      </c>
      <c r="B289" t="s">
        <v>1017</v>
      </c>
      <c r="C289" t="s">
        <v>1026</v>
      </c>
      <c r="D289">
        <v>23</v>
      </c>
      <c r="E289">
        <v>0</v>
      </c>
      <c r="F289" s="3">
        <v>56151</v>
      </c>
      <c r="G289">
        <v>38</v>
      </c>
      <c r="H289">
        <v>6</v>
      </c>
      <c r="I289">
        <v>15</v>
      </c>
      <c r="J289">
        <v>29</v>
      </c>
      <c r="K289">
        <v>4.5</v>
      </c>
      <c r="L289" s="3">
        <v>5</v>
      </c>
      <c r="M289" t="s">
        <v>1036</v>
      </c>
      <c r="N289">
        <v>53.5</v>
      </c>
    </row>
    <row r="290" spans="1:14" x14ac:dyDescent="0.3">
      <c r="A290" t="s">
        <v>708</v>
      </c>
      <c r="B290" t="s">
        <v>1016</v>
      </c>
      <c r="C290" t="s">
        <v>1022</v>
      </c>
      <c r="D290">
        <v>31</v>
      </c>
      <c r="E290">
        <v>0</v>
      </c>
      <c r="F290" s="3">
        <v>88579</v>
      </c>
      <c r="G290">
        <v>52</v>
      </c>
      <c r="H290">
        <v>9</v>
      </c>
      <c r="I290">
        <v>10</v>
      </c>
      <c r="J290">
        <v>18</v>
      </c>
      <c r="K290">
        <v>3.4</v>
      </c>
      <c r="L290" s="3">
        <v>5</v>
      </c>
      <c r="M290" t="s">
        <v>1036</v>
      </c>
      <c r="N290">
        <v>55.2</v>
      </c>
    </row>
    <row r="291" spans="1:14" x14ac:dyDescent="0.3">
      <c r="A291" t="s">
        <v>817</v>
      </c>
      <c r="B291" t="s">
        <v>1017</v>
      </c>
      <c r="C291" t="s">
        <v>1030</v>
      </c>
      <c r="D291">
        <v>29</v>
      </c>
      <c r="E291">
        <v>7</v>
      </c>
      <c r="F291" s="3">
        <v>65809</v>
      </c>
      <c r="G291">
        <v>55</v>
      </c>
      <c r="H291">
        <v>6</v>
      </c>
      <c r="I291">
        <v>14</v>
      </c>
      <c r="J291">
        <v>27</v>
      </c>
      <c r="K291">
        <v>2.1</v>
      </c>
      <c r="L291" s="3">
        <v>5</v>
      </c>
      <c r="M291" t="s">
        <v>1036</v>
      </c>
      <c r="N291">
        <v>46.3</v>
      </c>
    </row>
    <row r="292" spans="1:14" x14ac:dyDescent="0.3">
      <c r="A292" t="s">
        <v>825</v>
      </c>
      <c r="B292" t="s">
        <v>1014</v>
      </c>
      <c r="C292" t="s">
        <v>1031</v>
      </c>
      <c r="D292">
        <v>24</v>
      </c>
      <c r="E292">
        <v>0</v>
      </c>
      <c r="F292" s="3">
        <v>35947</v>
      </c>
      <c r="G292">
        <v>55</v>
      </c>
      <c r="H292">
        <v>2</v>
      </c>
      <c r="I292">
        <v>6</v>
      </c>
      <c r="J292">
        <v>23</v>
      </c>
      <c r="K292">
        <v>2.5</v>
      </c>
      <c r="L292" s="3">
        <v>5</v>
      </c>
      <c r="M292" t="s">
        <v>1036</v>
      </c>
      <c r="N292">
        <v>40.83</v>
      </c>
    </row>
    <row r="293" spans="1:14" x14ac:dyDescent="0.3">
      <c r="A293" t="s">
        <v>926</v>
      </c>
      <c r="B293" t="s">
        <v>1014</v>
      </c>
      <c r="C293" t="s">
        <v>1019</v>
      </c>
      <c r="D293">
        <v>27</v>
      </c>
      <c r="E293">
        <v>4</v>
      </c>
      <c r="F293" s="3">
        <v>68058</v>
      </c>
      <c r="G293">
        <v>42</v>
      </c>
      <c r="H293">
        <v>12</v>
      </c>
      <c r="I293">
        <v>14</v>
      </c>
      <c r="J293">
        <v>8</v>
      </c>
      <c r="K293">
        <v>3.4</v>
      </c>
      <c r="L293" s="3">
        <v>5</v>
      </c>
      <c r="M293" t="s">
        <v>1036</v>
      </c>
      <c r="N293">
        <v>60.2</v>
      </c>
    </row>
    <row r="294" spans="1:14" x14ac:dyDescent="0.3">
      <c r="A294" t="s">
        <v>940</v>
      </c>
      <c r="B294" t="s">
        <v>1018</v>
      </c>
      <c r="C294" t="s">
        <v>1028</v>
      </c>
      <c r="D294">
        <v>39</v>
      </c>
      <c r="E294">
        <v>10</v>
      </c>
      <c r="F294" s="3">
        <v>67179</v>
      </c>
      <c r="G294">
        <v>36</v>
      </c>
      <c r="H294">
        <v>9</v>
      </c>
      <c r="I294">
        <v>25</v>
      </c>
      <c r="J294">
        <v>26</v>
      </c>
      <c r="K294">
        <v>3.9</v>
      </c>
      <c r="L294" s="3">
        <v>5</v>
      </c>
      <c r="M294" t="s">
        <v>1036</v>
      </c>
      <c r="N294">
        <v>56.7</v>
      </c>
    </row>
    <row r="295" spans="1:14" x14ac:dyDescent="0.3">
      <c r="A295" t="s">
        <v>58</v>
      </c>
      <c r="B295" t="s">
        <v>1018</v>
      </c>
      <c r="C295" t="s">
        <v>1032</v>
      </c>
      <c r="D295">
        <v>45</v>
      </c>
      <c r="E295">
        <v>13</v>
      </c>
      <c r="F295" s="3">
        <v>29585</v>
      </c>
      <c r="G295">
        <v>45</v>
      </c>
      <c r="H295">
        <v>10</v>
      </c>
      <c r="I295">
        <v>10</v>
      </c>
      <c r="J295">
        <v>7</v>
      </c>
      <c r="K295">
        <v>4.2</v>
      </c>
      <c r="L295" s="3">
        <v>5.0999999999999996</v>
      </c>
      <c r="M295" t="s">
        <v>1036</v>
      </c>
      <c r="N295">
        <v>59.87</v>
      </c>
    </row>
    <row r="296" spans="1:14" x14ac:dyDescent="0.3">
      <c r="A296" t="s">
        <v>149</v>
      </c>
      <c r="B296" t="s">
        <v>1015</v>
      </c>
      <c r="C296" t="s">
        <v>1029</v>
      </c>
      <c r="D296">
        <v>53</v>
      </c>
      <c r="E296">
        <v>9</v>
      </c>
      <c r="F296" s="3">
        <v>27976</v>
      </c>
      <c r="G296">
        <v>42</v>
      </c>
      <c r="H296">
        <v>7</v>
      </c>
      <c r="I296">
        <v>19</v>
      </c>
      <c r="J296">
        <v>3</v>
      </c>
      <c r="K296">
        <v>2</v>
      </c>
      <c r="L296" s="3">
        <v>5.0999999999999996</v>
      </c>
      <c r="M296" t="s">
        <v>1036</v>
      </c>
      <c r="N296">
        <v>48.27</v>
      </c>
    </row>
    <row r="297" spans="1:14" x14ac:dyDescent="0.3">
      <c r="A297" t="s">
        <v>232</v>
      </c>
      <c r="B297" t="s">
        <v>1018</v>
      </c>
      <c r="C297" t="s">
        <v>1027</v>
      </c>
      <c r="D297">
        <v>22</v>
      </c>
      <c r="E297">
        <v>1</v>
      </c>
      <c r="F297" s="3">
        <v>50137</v>
      </c>
      <c r="G297">
        <v>42</v>
      </c>
      <c r="H297">
        <v>8</v>
      </c>
      <c r="I297">
        <v>24</v>
      </c>
      <c r="J297">
        <v>17</v>
      </c>
      <c r="K297">
        <v>4.9000000000000004</v>
      </c>
      <c r="L297" s="3">
        <v>5.0999999999999996</v>
      </c>
      <c r="M297" t="s">
        <v>1036</v>
      </c>
      <c r="N297">
        <v>58.63</v>
      </c>
    </row>
    <row r="298" spans="1:14" x14ac:dyDescent="0.3">
      <c r="A298" t="s">
        <v>289</v>
      </c>
      <c r="B298" t="s">
        <v>1015</v>
      </c>
      <c r="C298" t="s">
        <v>1020</v>
      </c>
      <c r="D298">
        <v>52</v>
      </c>
      <c r="E298">
        <v>11</v>
      </c>
      <c r="F298" s="3">
        <v>56205</v>
      </c>
      <c r="G298">
        <v>38</v>
      </c>
      <c r="H298">
        <v>8</v>
      </c>
      <c r="I298">
        <v>23</v>
      </c>
      <c r="J298">
        <v>28</v>
      </c>
      <c r="K298">
        <v>3</v>
      </c>
      <c r="L298" s="3">
        <v>5.0999999999999996</v>
      </c>
      <c r="M298" t="s">
        <v>1036</v>
      </c>
      <c r="N298">
        <v>52.93</v>
      </c>
    </row>
    <row r="299" spans="1:14" x14ac:dyDescent="0.3">
      <c r="A299" t="s">
        <v>392</v>
      </c>
      <c r="B299" t="s">
        <v>1017</v>
      </c>
      <c r="C299" t="s">
        <v>1030</v>
      </c>
      <c r="D299">
        <v>28</v>
      </c>
      <c r="E299">
        <v>0</v>
      </c>
      <c r="F299" s="3">
        <v>58522</v>
      </c>
      <c r="G299">
        <v>46</v>
      </c>
      <c r="H299">
        <v>9</v>
      </c>
      <c r="I299">
        <v>20</v>
      </c>
      <c r="J299">
        <v>38</v>
      </c>
      <c r="K299">
        <v>3.8</v>
      </c>
      <c r="L299" s="3">
        <v>5.0999999999999996</v>
      </c>
      <c r="M299" t="s">
        <v>1036</v>
      </c>
      <c r="N299">
        <v>57</v>
      </c>
    </row>
    <row r="300" spans="1:14" x14ac:dyDescent="0.3">
      <c r="A300" t="s">
        <v>608</v>
      </c>
      <c r="B300" t="s">
        <v>1017</v>
      </c>
      <c r="C300" t="s">
        <v>1024</v>
      </c>
      <c r="D300">
        <v>43</v>
      </c>
      <c r="E300">
        <v>14</v>
      </c>
      <c r="F300" s="3">
        <v>76379</v>
      </c>
      <c r="G300">
        <v>48</v>
      </c>
      <c r="H300">
        <v>15</v>
      </c>
      <c r="I300">
        <v>23</v>
      </c>
      <c r="J300">
        <v>3</v>
      </c>
      <c r="K300">
        <v>4.5</v>
      </c>
      <c r="L300" s="3">
        <v>5.0999999999999996</v>
      </c>
      <c r="M300" t="s">
        <v>1036</v>
      </c>
      <c r="N300">
        <v>69.099999999999994</v>
      </c>
    </row>
    <row r="301" spans="1:14" x14ac:dyDescent="0.3">
      <c r="A301" t="s">
        <v>813</v>
      </c>
      <c r="B301" t="s">
        <v>1018</v>
      </c>
      <c r="C301" t="s">
        <v>1032</v>
      </c>
      <c r="D301">
        <v>50</v>
      </c>
      <c r="E301">
        <v>15</v>
      </c>
      <c r="F301" s="3">
        <v>55899</v>
      </c>
      <c r="G301">
        <v>35</v>
      </c>
      <c r="H301">
        <v>14</v>
      </c>
      <c r="I301">
        <v>14</v>
      </c>
      <c r="J301">
        <v>37</v>
      </c>
      <c r="K301">
        <v>2.7</v>
      </c>
      <c r="L301" s="3">
        <v>5.0999999999999996</v>
      </c>
      <c r="M301" t="s">
        <v>1036</v>
      </c>
      <c r="N301">
        <v>62.03</v>
      </c>
    </row>
    <row r="302" spans="1:14" x14ac:dyDescent="0.3">
      <c r="A302" t="s">
        <v>835</v>
      </c>
      <c r="B302" t="s">
        <v>1018</v>
      </c>
      <c r="C302" t="s">
        <v>1032</v>
      </c>
      <c r="D302">
        <v>23</v>
      </c>
      <c r="E302">
        <v>0</v>
      </c>
      <c r="F302" s="3">
        <v>83347</v>
      </c>
      <c r="G302">
        <v>52</v>
      </c>
      <c r="H302">
        <v>10</v>
      </c>
      <c r="I302">
        <v>8</v>
      </c>
      <c r="J302">
        <v>15</v>
      </c>
      <c r="K302">
        <v>4.5</v>
      </c>
      <c r="L302" s="3">
        <v>5.0999999999999996</v>
      </c>
      <c r="M302" t="s">
        <v>1036</v>
      </c>
      <c r="N302">
        <v>60.77</v>
      </c>
    </row>
    <row r="303" spans="1:14" x14ac:dyDescent="0.3">
      <c r="A303" t="s">
        <v>968</v>
      </c>
      <c r="B303" t="s">
        <v>1014</v>
      </c>
      <c r="C303" t="s">
        <v>1019</v>
      </c>
      <c r="D303">
        <v>44</v>
      </c>
      <c r="E303">
        <v>13</v>
      </c>
      <c r="F303" s="3">
        <v>86543</v>
      </c>
      <c r="G303">
        <v>50</v>
      </c>
      <c r="H303">
        <v>11</v>
      </c>
      <c r="I303">
        <v>22</v>
      </c>
      <c r="J303">
        <v>6</v>
      </c>
      <c r="K303">
        <v>4.2</v>
      </c>
      <c r="L303" s="3">
        <v>5.0999999999999996</v>
      </c>
      <c r="M303" t="s">
        <v>1036</v>
      </c>
      <c r="N303">
        <v>61.53</v>
      </c>
    </row>
    <row r="304" spans="1:14" x14ac:dyDescent="0.3">
      <c r="A304" t="s">
        <v>104</v>
      </c>
      <c r="B304" t="s">
        <v>1017</v>
      </c>
      <c r="C304" t="s">
        <v>1030</v>
      </c>
      <c r="D304">
        <v>29</v>
      </c>
      <c r="E304">
        <v>0</v>
      </c>
      <c r="F304" s="3">
        <v>88776</v>
      </c>
      <c r="G304">
        <v>55</v>
      </c>
      <c r="H304">
        <v>10</v>
      </c>
      <c r="I304">
        <v>25</v>
      </c>
      <c r="J304">
        <v>15</v>
      </c>
      <c r="K304">
        <v>4.0999999999999996</v>
      </c>
      <c r="L304" s="3">
        <v>5.2</v>
      </c>
      <c r="M304" t="s">
        <v>1036</v>
      </c>
      <c r="N304">
        <v>60.17</v>
      </c>
    </row>
    <row r="305" spans="1:14" x14ac:dyDescent="0.3">
      <c r="A305" t="s">
        <v>112</v>
      </c>
      <c r="B305" t="s">
        <v>1016</v>
      </c>
      <c r="C305" t="s">
        <v>1022</v>
      </c>
      <c r="D305">
        <v>47</v>
      </c>
      <c r="E305">
        <v>2</v>
      </c>
      <c r="F305" s="3">
        <v>80821</v>
      </c>
      <c r="G305">
        <v>45</v>
      </c>
      <c r="H305">
        <v>14</v>
      </c>
      <c r="I305">
        <v>21</v>
      </c>
      <c r="J305">
        <v>34</v>
      </c>
      <c r="K305">
        <v>3.1</v>
      </c>
      <c r="L305" s="3">
        <v>5.2</v>
      </c>
      <c r="M305" t="s">
        <v>1036</v>
      </c>
      <c r="N305">
        <v>63.83</v>
      </c>
    </row>
    <row r="306" spans="1:14" x14ac:dyDescent="0.3">
      <c r="A306" t="s">
        <v>144</v>
      </c>
      <c r="B306" t="s">
        <v>1015</v>
      </c>
      <c r="C306" t="s">
        <v>1021</v>
      </c>
      <c r="D306">
        <v>23</v>
      </c>
      <c r="E306">
        <v>2</v>
      </c>
      <c r="F306" s="3">
        <v>85888</v>
      </c>
      <c r="G306">
        <v>43</v>
      </c>
      <c r="H306">
        <v>1</v>
      </c>
      <c r="I306">
        <v>5</v>
      </c>
      <c r="J306">
        <v>17</v>
      </c>
      <c r="K306">
        <v>4.0999999999999996</v>
      </c>
      <c r="L306" s="3">
        <v>5.2</v>
      </c>
      <c r="M306" t="s">
        <v>1036</v>
      </c>
      <c r="N306">
        <v>45.17</v>
      </c>
    </row>
    <row r="307" spans="1:14" x14ac:dyDescent="0.3">
      <c r="A307" t="s">
        <v>183</v>
      </c>
      <c r="B307" t="s">
        <v>1017</v>
      </c>
      <c r="C307" t="s">
        <v>1026</v>
      </c>
      <c r="D307">
        <v>24</v>
      </c>
      <c r="E307">
        <v>2</v>
      </c>
      <c r="F307" s="3">
        <v>38211</v>
      </c>
      <c r="G307">
        <v>36</v>
      </c>
      <c r="H307">
        <v>13</v>
      </c>
      <c r="I307">
        <v>6</v>
      </c>
      <c r="J307">
        <v>2</v>
      </c>
      <c r="K307">
        <v>2.9</v>
      </c>
      <c r="L307" s="3">
        <v>5.2</v>
      </c>
      <c r="M307" t="s">
        <v>1036</v>
      </c>
      <c r="N307">
        <v>61.57</v>
      </c>
    </row>
    <row r="308" spans="1:14" x14ac:dyDescent="0.3">
      <c r="A308" t="s">
        <v>197</v>
      </c>
      <c r="B308" t="s">
        <v>1017</v>
      </c>
      <c r="C308" t="s">
        <v>1030</v>
      </c>
      <c r="D308">
        <v>55</v>
      </c>
      <c r="E308">
        <v>13</v>
      </c>
      <c r="F308" s="3">
        <v>75407</v>
      </c>
      <c r="G308">
        <v>48</v>
      </c>
      <c r="H308">
        <v>14</v>
      </c>
      <c r="I308">
        <v>18</v>
      </c>
      <c r="J308">
        <v>4</v>
      </c>
      <c r="K308">
        <v>2.4</v>
      </c>
      <c r="L308" s="3">
        <v>5.2</v>
      </c>
      <c r="M308" t="s">
        <v>1036</v>
      </c>
      <c r="N308">
        <v>61.73</v>
      </c>
    </row>
    <row r="309" spans="1:14" x14ac:dyDescent="0.3">
      <c r="A309" t="s">
        <v>219</v>
      </c>
      <c r="B309" t="s">
        <v>1017</v>
      </c>
      <c r="C309" t="s">
        <v>1030</v>
      </c>
      <c r="D309">
        <v>25</v>
      </c>
      <c r="E309">
        <v>1</v>
      </c>
      <c r="F309" s="3">
        <v>58992</v>
      </c>
      <c r="G309">
        <v>41</v>
      </c>
      <c r="H309">
        <v>9</v>
      </c>
      <c r="I309">
        <v>10</v>
      </c>
      <c r="J309">
        <v>30</v>
      </c>
      <c r="K309">
        <v>3.6</v>
      </c>
      <c r="L309" s="3">
        <v>5.2</v>
      </c>
      <c r="M309" t="s">
        <v>1036</v>
      </c>
      <c r="N309">
        <v>57</v>
      </c>
    </row>
    <row r="310" spans="1:14" x14ac:dyDescent="0.3">
      <c r="A310" t="s">
        <v>249</v>
      </c>
      <c r="B310" t="s">
        <v>1018</v>
      </c>
      <c r="C310" t="s">
        <v>1032</v>
      </c>
      <c r="D310">
        <v>49</v>
      </c>
      <c r="E310">
        <v>15</v>
      </c>
      <c r="F310" s="3">
        <v>28072</v>
      </c>
      <c r="G310">
        <v>46</v>
      </c>
      <c r="H310">
        <v>11</v>
      </c>
      <c r="I310">
        <v>21</v>
      </c>
      <c r="J310">
        <v>24</v>
      </c>
      <c r="K310">
        <v>4.4000000000000004</v>
      </c>
      <c r="L310" s="3">
        <v>5.2</v>
      </c>
      <c r="M310" t="s">
        <v>1036</v>
      </c>
      <c r="N310">
        <v>62.73</v>
      </c>
    </row>
    <row r="311" spans="1:14" x14ac:dyDescent="0.3">
      <c r="A311" t="s">
        <v>256</v>
      </c>
      <c r="B311" t="s">
        <v>1016</v>
      </c>
      <c r="C311" t="s">
        <v>1023</v>
      </c>
      <c r="D311">
        <v>45</v>
      </c>
      <c r="E311">
        <v>15</v>
      </c>
      <c r="F311" s="3">
        <v>55540</v>
      </c>
      <c r="G311">
        <v>38</v>
      </c>
      <c r="H311">
        <v>13</v>
      </c>
      <c r="I311">
        <v>23</v>
      </c>
      <c r="J311">
        <v>30</v>
      </c>
      <c r="K311">
        <v>4.3</v>
      </c>
      <c r="L311" s="3">
        <v>5.2</v>
      </c>
      <c r="M311" t="s">
        <v>1036</v>
      </c>
      <c r="N311">
        <v>65.77</v>
      </c>
    </row>
    <row r="312" spans="1:14" x14ac:dyDescent="0.3">
      <c r="A312" t="s">
        <v>366</v>
      </c>
      <c r="B312" t="s">
        <v>1014</v>
      </c>
      <c r="C312" t="s">
        <v>1019</v>
      </c>
      <c r="D312">
        <v>52</v>
      </c>
      <c r="E312">
        <v>7</v>
      </c>
      <c r="F312" s="3">
        <v>35659</v>
      </c>
      <c r="G312">
        <v>49</v>
      </c>
      <c r="H312">
        <v>2</v>
      </c>
      <c r="I312">
        <v>25</v>
      </c>
      <c r="J312">
        <v>2</v>
      </c>
      <c r="K312">
        <v>2.9</v>
      </c>
      <c r="L312" s="3">
        <v>5.2</v>
      </c>
      <c r="M312" t="s">
        <v>1036</v>
      </c>
      <c r="N312">
        <v>43.23</v>
      </c>
    </row>
    <row r="313" spans="1:14" x14ac:dyDescent="0.3">
      <c r="A313" t="s">
        <v>394</v>
      </c>
      <c r="B313" t="s">
        <v>1016</v>
      </c>
      <c r="C313" t="s">
        <v>1023</v>
      </c>
      <c r="D313">
        <v>34</v>
      </c>
      <c r="E313">
        <v>2</v>
      </c>
      <c r="F313" s="3">
        <v>58901</v>
      </c>
      <c r="G313">
        <v>42</v>
      </c>
      <c r="H313">
        <v>15</v>
      </c>
      <c r="I313">
        <v>1</v>
      </c>
      <c r="J313">
        <v>38</v>
      </c>
      <c r="K313">
        <v>3.2</v>
      </c>
      <c r="L313" s="3">
        <v>5.2</v>
      </c>
      <c r="M313" t="s">
        <v>1036</v>
      </c>
      <c r="N313">
        <v>65.8</v>
      </c>
    </row>
    <row r="314" spans="1:14" x14ac:dyDescent="0.3">
      <c r="A314" t="s">
        <v>421</v>
      </c>
      <c r="B314" t="s">
        <v>1018</v>
      </c>
      <c r="C314" t="s">
        <v>1027</v>
      </c>
      <c r="D314">
        <v>52</v>
      </c>
      <c r="E314">
        <v>15</v>
      </c>
      <c r="F314" s="3">
        <v>32401</v>
      </c>
      <c r="G314">
        <v>48</v>
      </c>
      <c r="H314">
        <v>8</v>
      </c>
      <c r="I314">
        <v>1</v>
      </c>
      <c r="J314">
        <v>4</v>
      </c>
      <c r="K314">
        <v>2.8</v>
      </c>
      <c r="L314" s="3">
        <v>5.2</v>
      </c>
      <c r="M314" t="s">
        <v>1036</v>
      </c>
      <c r="N314">
        <v>52.93</v>
      </c>
    </row>
    <row r="315" spans="1:14" x14ac:dyDescent="0.3">
      <c r="A315" t="s">
        <v>447</v>
      </c>
      <c r="B315" t="s">
        <v>1015</v>
      </c>
      <c r="C315" t="s">
        <v>1029</v>
      </c>
      <c r="D315">
        <v>41</v>
      </c>
      <c r="E315">
        <v>15</v>
      </c>
      <c r="F315" s="3">
        <v>76767</v>
      </c>
      <c r="G315">
        <v>53</v>
      </c>
      <c r="H315">
        <v>9</v>
      </c>
      <c r="I315">
        <v>11</v>
      </c>
      <c r="J315">
        <v>4</v>
      </c>
      <c r="K315">
        <v>4.4000000000000004</v>
      </c>
      <c r="L315" s="3">
        <v>5.2</v>
      </c>
      <c r="M315" t="s">
        <v>1036</v>
      </c>
      <c r="N315">
        <v>59.4</v>
      </c>
    </row>
    <row r="316" spans="1:14" x14ac:dyDescent="0.3">
      <c r="A316" t="s">
        <v>517</v>
      </c>
      <c r="B316" t="s">
        <v>1016</v>
      </c>
      <c r="C316" t="s">
        <v>1033</v>
      </c>
      <c r="D316">
        <v>48</v>
      </c>
      <c r="E316">
        <v>12</v>
      </c>
      <c r="F316" s="3">
        <v>80633</v>
      </c>
      <c r="G316">
        <v>37</v>
      </c>
      <c r="H316">
        <v>2</v>
      </c>
      <c r="I316">
        <v>5</v>
      </c>
      <c r="J316">
        <v>21</v>
      </c>
      <c r="K316">
        <v>2.7</v>
      </c>
      <c r="L316" s="3">
        <v>5.2</v>
      </c>
      <c r="M316" t="s">
        <v>1036</v>
      </c>
      <c r="N316">
        <v>42.63</v>
      </c>
    </row>
    <row r="317" spans="1:14" x14ac:dyDescent="0.3">
      <c r="A317" t="s">
        <v>605</v>
      </c>
      <c r="B317" t="s">
        <v>1016</v>
      </c>
      <c r="C317" t="s">
        <v>1022</v>
      </c>
      <c r="D317">
        <v>35</v>
      </c>
      <c r="E317">
        <v>0</v>
      </c>
      <c r="F317" s="3">
        <v>66983</v>
      </c>
      <c r="G317">
        <v>41</v>
      </c>
      <c r="H317">
        <v>12</v>
      </c>
      <c r="I317">
        <v>9</v>
      </c>
      <c r="J317">
        <v>16</v>
      </c>
      <c r="K317">
        <v>4.4000000000000004</v>
      </c>
      <c r="L317" s="3">
        <v>5.2</v>
      </c>
      <c r="M317" t="s">
        <v>1036</v>
      </c>
      <c r="N317">
        <v>64.400000000000006</v>
      </c>
    </row>
    <row r="318" spans="1:14" x14ac:dyDescent="0.3">
      <c r="A318" t="s">
        <v>614</v>
      </c>
      <c r="B318" t="s">
        <v>1015</v>
      </c>
      <c r="C318" t="s">
        <v>1029</v>
      </c>
      <c r="D318">
        <v>30</v>
      </c>
      <c r="E318">
        <v>3</v>
      </c>
      <c r="F318" s="3">
        <v>72485</v>
      </c>
      <c r="G318">
        <v>36</v>
      </c>
      <c r="H318">
        <v>8</v>
      </c>
      <c r="I318">
        <v>12</v>
      </c>
      <c r="J318">
        <v>33</v>
      </c>
      <c r="K318">
        <v>2.2999999999999998</v>
      </c>
      <c r="L318" s="3">
        <v>5.2</v>
      </c>
      <c r="M318" t="s">
        <v>1036</v>
      </c>
      <c r="N318">
        <v>51.43</v>
      </c>
    </row>
    <row r="319" spans="1:14" x14ac:dyDescent="0.3">
      <c r="A319" t="s">
        <v>620</v>
      </c>
      <c r="B319" t="s">
        <v>1017</v>
      </c>
      <c r="C319" t="s">
        <v>1030</v>
      </c>
      <c r="D319">
        <v>33</v>
      </c>
      <c r="E319">
        <v>11</v>
      </c>
      <c r="F319" s="3">
        <v>64067</v>
      </c>
      <c r="G319">
        <v>53</v>
      </c>
      <c r="H319">
        <v>11</v>
      </c>
      <c r="I319">
        <v>22</v>
      </c>
      <c r="J319">
        <v>28</v>
      </c>
      <c r="K319">
        <v>3.8</v>
      </c>
      <c r="L319" s="3">
        <v>5.2</v>
      </c>
      <c r="M319" t="s">
        <v>1036</v>
      </c>
      <c r="N319">
        <v>60.93</v>
      </c>
    </row>
    <row r="320" spans="1:14" x14ac:dyDescent="0.3">
      <c r="A320" t="s">
        <v>651</v>
      </c>
      <c r="B320" t="s">
        <v>1017</v>
      </c>
      <c r="C320" t="s">
        <v>1024</v>
      </c>
      <c r="D320">
        <v>38</v>
      </c>
      <c r="E320">
        <v>4</v>
      </c>
      <c r="F320" s="3">
        <v>59763</v>
      </c>
      <c r="G320">
        <v>48</v>
      </c>
      <c r="H320">
        <v>1</v>
      </c>
      <c r="I320">
        <v>9</v>
      </c>
      <c r="J320">
        <v>28</v>
      </c>
      <c r="K320">
        <v>3.1</v>
      </c>
      <c r="L320" s="3">
        <v>5.2</v>
      </c>
      <c r="M320" t="s">
        <v>1036</v>
      </c>
      <c r="N320">
        <v>42.17</v>
      </c>
    </row>
    <row r="321" spans="1:14" x14ac:dyDescent="0.3">
      <c r="A321" t="s">
        <v>705</v>
      </c>
      <c r="B321" t="s">
        <v>1016</v>
      </c>
      <c r="C321" t="s">
        <v>1023</v>
      </c>
      <c r="D321">
        <v>33</v>
      </c>
      <c r="E321">
        <v>2</v>
      </c>
      <c r="F321" s="3">
        <v>80006</v>
      </c>
      <c r="G321">
        <v>39</v>
      </c>
      <c r="H321">
        <v>3</v>
      </c>
      <c r="I321">
        <v>7</v>
      </c>
      <c r="J321">
        <v>7</v>
      </c>
      <c r="K321">
        <v>2.1</v>
      </c>
      <c r="L321" s="3">
        <v>5.2</v>
      </c>
      <c r="M321" t="s">
        <v>1036</v>
      </c>
      <c r="N321">
        <v>42.5</v>
      </c>
    </row>
    <row r="322" spans="1:14" x14ac:dyDescent="0.3">
      <c r="A322" t="s">
        <v>727</v>
      </c>
      <c r="B322" t="s">
        <v>1015</v>
      </c>
      <c r="C322" t="s">
        <v>1021</v>
      </c>
      <c r="D322">
        <v>29</v>
      </c>
      <c r="E322">
        <v>6</v>
      </c>
      <c r="F322" s="3">
        <v>55178</v>
      </c>
      <c r="G322">
        <v>37</v>
      </c>
      <c r="H322">
        <v>2</v>
      </c>
      <c r="I322">
        <v>4</v>
      </c>
      <c r="J322">
        <v>1</v>
      </c>
      <c r="K322">
        <v>3.4</v>
      </c>
      <c r="L322" s="3">
        <v>5.2</v>
      </c>
      <c r="M322" t="s">
        <v>1036</v>
      </c>
      <c r="N322">
        <v>44.73</v>
      </c>
    </row>
    <row r="323" spans="1:14" x14ac:dyDescent="0.3">
      <c r="A323" t="s">
        <v>767</v>
      </c>
      <c r="B323" t="s">
        <v>1015</v>
      </c>
      <c r="C323" t="s">
        <v>1020</v>
      </c>
      <c r="D323">
        <v>55</v>
      </c>
      <c r="E323">
        <v>8</v>
      </c>
      <c r="F323" s="3">
        <v>57535</v>
      </c>
      <c r="G323">
        <v>37</v>
      </c>
      <c r="H323">
        <v>4</v>
      </c>
      <c r="I323">
        <v>19</v>
      </c>
      <c r="J323">
        <v>7</v>
      </c>
      <c r="K323">
        <v>4.3</v>
      </c>
      <c r="L323" s="3">
        <v>5.2</v>
      </c>
      <c r="M323" t="s">
        <v>1036</v>
      </c>
      <c r="N323">
        <v>50.77</v>
      </c>
    </row>
    <row r="324" spans="1:14" x14ac:dyDescent="0.3">
      <c r="A324" t="s">
        <v>834</v>
      </c>
      <c r="B324" t="s">
        <v>1016</v>
      </c>
      <c r="C324" t="s">
        <v>1033</v>
      </c>
      <c r="D324">
        <v>46</v>
      </c>
      <c r="E324">
        <v>4</v>
      </c>
      <c r="F324" s="3">
        <v>59109</v>
      </c>
      <c r="G324">
        <v>52</v>
      </c>
      <c r="H324">
        <v>5</v>
      </c>
      <c r="I324">
        <v>6</v>
      </c>
      <c r="J324">
        <v>5</v>
      </c>
      <c r="K324">
        <v>3.5</v>
      </c>
      <c r="L324" s="3">
        <v>5.2</v>
      </c>
      <c r="M324" t="s">
        <v>1036</v>
      </c>
      <c r="N324">
        <v>50.03</v>
      </c>
    </row>
    <row r="325" spans="1:14" x14ac:dyDescent="0.3">
      <c r="A325" t="s">
        <v>864</v>
      </c>
      <c r="B325" t="s">
        <v>1014</v>
      </c>
      <c r="C325" t="s">
        <v>1025</v>
      </c>
      <c r="D325">
        <v>30</v>
      </c>
      <c r="E325">
        <v>8</v>
      </c>
      <c r="F325" s="3">
        <v>43314</v>
      </c>
      <c r="G325">
        <v>48</v>
      </c>
      <c r="H325">
        <v>4</v>
      </c>
      <c r="I325">
        <v>19</v>
      </c>
      <c r="J325">
        <v>32</v>
      </c>
      <c r="K325">
        <v>4.9000000000000004</v>
      </c>
      <c r="L325" s="3">
        <v>5.2</v>
      </c>
      <c r="M325" t="s">
        <v>1036</v>
      </c>
      <c r="N325">
        <v>52.57</v>
      </c>
    </row>
    <row r="326" spans="1:14" x14ac:dyDescent="0.3">
      <c r="A326" t="s">
        <v>877</v>
      </c>
      <c r="B326" t="s">
        <v>1015</v>
      </c>
      <c r="C326" t="s">
        <v>1020</v>
      </c>
      <c r="D326">
        <v>23</v>
      </c>
      <c r="E326">
        <v>2</v>
      </c>
      <c r="F326" s="3">
        <v>39786</v>
      </c>
      <c r="G326">
        <v>48</v>
      </c>
      <c r="H326">
        <v>2</v>
      </c>
      <c r="I326">
        <v>7</v>
      </c>
      <c r="J326">
        <v>12</v>
      </c>
      <c r="K326">
        <v>2.5</v>
      </c>
      <c r="L326" s="3">
        <v>5.2</v>
      </c>
      <c r="M326" t="s">
        <v>1036</v>
      </c>
      <c r="N326">
        <v>42.03</v>
      </c>
    </row>
    <row r="327" spans="1:14" x14ac:dyDescent="0.3">
      <c r="A327" t="s">
        <v>73</v>
      </c>
      <c r="B327" t="s">
        <v>1017</v>
      </c>
      <c r="C327" t="s">
        <v>1026</v>
      </c>
      <c r="D327">
        <v>30</v>
      </c>
      <c r="E327">
        <v>7</v>
      </c>
      <c r="F327" s="3">
        <v>36909</v>
      </c>
      <c r="G327">
        <v>36</v>
      </c>
      <c r="H327">
        <v>5</v>
      </c>
      <c r="I327">
        <v>12</v>
      </c>
      <c r="J327">
        <v>20</v>
      </c>
      <c r="K327">
        <v>2.6</v>
      </c>
      <c r="L327" s="3">
        <v>5.3</v>
      </c>
      <c r="M327" t="s">
        <v>1036</v>
      </c>
      <c r="N327">
        <v>47.93</v>
      </c>
    </row>
    <row r="328" spans="1:14" x14ac:dyDescent="0.3">
      <c r="A328" t="s">
        <v>163</v>
      </c>
      <c r="B328" t="s">
        <v>1016</v>
      </c>
      <c r="C328" t="s">
        <v>1022</v>
      </c>
      <c r="D328">
        <v>28</v>
      </c>
      <c r="E328">
        <v>6</v>
      </c>
      <c r="F328" s="3">
        <v>43621</v>
      </c>
      <c r="G328">
        <v>43</v>
      </c>
      <c r="H328">
        <v>12</v>
      </c>
      <c r="I328">
        <v>21</v>
      </c>
      <c r="J328">
        <v>38</v>
      </c>
      <c r="K328">
        <v>4.5999999999999996</v>
      </c>
      <c r="L328" s="3">
        <v>5.3</v>
      </c>
      <c r="M328" t="s">
        <v>1036</v>
      </c>
      <c r="N328">
        <v>65.599999999999994</v>
      </c>
    </row>
    <row r="329" spans="1:14" x14ac:dyDescent="0.3">
      <c r="A329" t="s">
        <v>181</v>
      </c>
      <c r="B329" t="s">
        <v>1016</v>
      </c>
      <c r="C329" t="s">
        <v>1023</v>
      </c>
      <c r="D329">
        <v>26</v>
      </c>
      <c r="E329">
        <v>2</v>
      </c>
      <c r="F329" s="3">
        <v>40802</v>
      </c>
      <c r="G329">
        <v>55</v>
      </c>
      <c r="H329">
        <v>2</v>
      </c>
      <c r="I329">
        <v>24</v>
      </c>
      <c r="J329">
        <v>37</v>
      </c>
      <c r="K329">
        <v>4.2</v>
      </c>
      <c r="L329" s="3">
        <v>5.3</v>
      </c>
      <c r="M329" t="s">
        <v>1036</v>
      </c>
      <c r="N329">
        <v>47.73</v>
      </c>
    </row>
    <row r="330" spans="1:14" x14ac:dyDescent="0.3">
      <c r="A330" t="s">
        <v>266</v>
      </c>
      <c r="B330" t="s">
        <v>1017</v>
      </c>
      <c r="C330" t="s">
        <v>1030</v>
      </c>
      <c r="D330">
        <v>25</v>
      </c>
      <c r="E330">
        <v>0</v>
      </c>
      <c r="F330" s="3">
        <v>71061</v>
      </c>
      <c r="G330">
        <v>40</v>
      </c>
      <c r="H330">
        <v>2</v>
      </c>
      <c r="I330">
        <v>15</v>
      </c>
      <c r="J330">
        <v>27</v>
      </c>
      <c r="K330">
        <v>3.9</v>
      </c>
      <c r="L330" s="3">
        <v>5.3</v>
      </c>
      <c r="M330" t="s">
        <v>1036</v>
      </c>
      <c r="N330">
        <v>46.83</v>
      </c>
    </row>
    <row r="331" spans="1:14" x14ac:dyDescent="0.3">
      <c r="A331" t="s">
        <v>279</v>
      </c>
      <c r="B331" t="s">
        <v>1018</v>
      </c>
      <c r="C331" t="s">
        <v>1032</v>
      </c>
      <c r="D331">
        <v>41</v>
      </c>
      <c r="E331">
        <v>0</v>
      </c>
      <c r="F331" s="3">
        <v>87182</v>
      </c>
      <c r="G331">
        <v>47</v>
      </c>
      <c r="H331">
        <v>6</v>
      </c>
      <c r="I331">
        <v>19</v>
      </c>
      <c r="J331">
        <v>24</v>
      </c>
      <c r="K331">
        <v>4.4000000000000004</v>
      </c>
      <c r="L331" s="3">
        <v>5.3</v>
      </c>
      <c r="M331" t="s">
        <v>1036</v>
      </c>
      <c r="N331">
        <v>55</v>
      </c>
    </row>
    <row r="332" spans="1:14" x14ac:dyDescent="0.3">
      <c r="A332" t="s">
        <v>293</v>
      </c>
      <c r="B332" t="s">
        <v>1018</v>
      </c>
      <c r="C332" t="s">
        <v>1032</v>
      </c>
      <c r="D332">
        <v>35</v>
      </c>
      <c r="E332">
        <v>4</v>
      </c>
      <c r="F332" s="3">
        <v>74304</v>
      </c>
      <c r="G332">
        <v>37</v>
      </c>
      <c r="H332">
        <v>10</v>
      </c>
      <c r="I332">
        <v>3</v>
      </c>
      <c r="J332">
        <v>34</v>
      </c>
      <c r="K332">
        <v>2.6</v>
      </c>
      <c r="L332" s="3">
        <v>5.3</v>
      </c>
      <c r="M332" t="s">
        <v>1036</v>
      </c>
      <c r="N332">
        <v>56.27</v>
      </c>
    </row>
    <row r="333" spans="1:14" x14ac:dyDescent="0.3">
      <c r="A333" t="s">
        <v>398</v>
      </c>
      <c r="B333" t="s">
        <v>1016</v>
      </c>
      <c r="C333" t="s">
        <v>1033</v>
      </c>
      <c r="D333">
        <v>27</v>
      </c>
      <c r="E333">
        <v>1</v>
      </c>
      <c r="F333" s="3">
        <v>48283</v>
      </c>
      <c r="G333">
        <v>42</v>
      </c>
      <c r="H333">
        <v>12</v>
      </c>
      <c r="I333">
        <v>9</v>
      </c>
      <c r="J333">
        <v>26</v>
      </c>
      <c r="K333">
        <v>4.4000000000000004</v>
      </c>
      <c r="L333" s="3">
        <v>5.3</v>
      </c>
      <c r="M333" t="s">
        <v>1036</v>
      </c>
      <c r="N333">
        <v>65</v>
      </c>
    </row>
    <row r="334" spans="1:14" x14ac:dyDescent="0.3">
      <c r="A334" t="s">
        <v>472</v>
      </c>
      <c r="B334" t="s">
        <v>1015</v>
      </c>
      <c r="C334" t="s">
        <v>1020</v>
      </c>
      <c r="D334">
        <v>45</v>
      </c>
      <c r="E334">
        <v>12</v>
      </c>
      <c r="F334" s="3">
        <v>55780</v>
      </c>
      <c r="G334">
        <v>49</v>
      </c>
      <c r="H334">
        <v>15</v>
      </c>
      <c r="I334">
        <v>1</v>
      </c>
      <c r="J334">
        <v>2</v>
      </c>
      <c r="K334">
        <v>4.9000000000000004</v>
      </c>
      <c r="L334" s="3">
        <v>5.3</v>
      </c>
      <c r="M334" t="s">
        <v>1036</v>
      </c>
      <c r="N334">
        <v>71.5</v>
      </c>
    </row>
    <row r="335" spans="1:14" x14ac:dyDescent="0.3">
      <c r="A335" t="s">
        <v>544</v>
      </c>
      <c r="B335" t="s">
        <v>1015</v>
      </c>
      <c r="C335" t="s">
        <v>1020</v>
      </c>
      <c r="D335">
        <v>46</v>
      </c>
      <c r="E335">
        <v>6</v>
      </c>
      <c r="F335" s="3">
        <v>59345</v>
      </c>
      <c r="G335">
        <v>50</v>
      </c>
      <c r="H335">
        <v>13</v>
      </c>
      <c r="I335">
        <v>17</v>
      </c>
      <c r="J335">
        <v>9</v>
      </c>
      <c r="K335">
        <v>3.8</v>
      </c>
      <c r="L335" s="3">
        <v>5.3</v>
      </c>
      <c r="M335" t="s">
        <v>1036</v>
      </c>
      <c r="N335">
        <v>64.87</v>
      </c>
    </row>
    <row r="336" spans="1:14" x14ac:dyDescent="0.3">
      <c r="A336" t="s">
        <v>599</v>
      </c>
      <c r="B336" t="s">
        <v>1015</v>
      </c>
      <c r="C336" t="s">
        <v>1021</v>
      </c>
      <c r="D336">
        <v>33</v>
      </c>
      <c r="E336">
        <v>7</v>
      </c>
      <c r="F336" s="3">
        <v>74108</v>
      </c>
      <c r="G336">
        <v>53</v>
      </c>
      <c r="H336">
        <v>6</v>
      </c>
      <c r="I336">
        <v>1</v>
      </c>
      <c r="J336">
        <v>5</v>
      </c>
      <c r="K336">
        <v>4.3</v>
      </c>
      <c r="L336" s="3">
        <v>5.3</v>
      </c>
      <c r="M336" t="s">
        <v>1036</v>
      </c>
      <c r="N336">
        <v>54.7</v>
      </c>
    </row>
    <row r="337" spans="1:14" x14ac:dyDescent="0.3">
      <c r="A337" t="s">
        <v>613</v>
      </c>
      <c r="B337" t="s">
        <v>1017</v>
      </c>
      <c r="C337" t="s">
        <v>1030</v>
      </c>
      <c r="D337">
        <v>54</v>
      </c>
      <c r="E337">
        <v>4</v>
      </c>
      <c r="F337" s="3">
        <v>37465</v>
      </c>
      <c r="G337">
        <v>45</v>
      </c>
      <c r="H337">
        <v>15</v>
      </c>
      <c r="I337">
        <v>15</v>
      </c>
      <c r="J337">
        <v>33</v>
      </c>
      <c r="K337">
        <v>2.9</v>
      </c>
      <c r="L337" s="3">
        <v>5.3</v>
      </c>
      <c r="M337" t="s">
        <v>1036</v>
      </c>
      <c r="N337">
        <v>65.5</v>
      </c>
    </row>
    <row r="338" spans="1:14" x14ac:dyDescent="0.3">
      <c r="A338" t="s">
        <v>658</v>
      </c>
      <c r="B338" t="s">
        <v>1016</v>
      </c>
      <c r="C338" t="s">
        <v>1023</v>
      </c>
      <c r="D338">
        <v>38</v>
      </c>
      <c r="E338">
        <v>5</v>
      </c>
      <c r="F338" s="3">
        <v>76166</v>
      </c>
      <c r="G338">
        <v>37</v>
      </c>
      <c r="H338">
        <v>5</v>
      </c>
      <c r="I338">
        <v>24</v>
      </c>
      <c r="J338">
        <v>3</v>
      </c>
      <c r="K338">
        <v>3.1</v>
      </c>
      <c r="L338" s="3">
        <v>5.3</v>
      </c>
      <c r="M338" t="s">
        <v>1036</v>
      </c>
      <c r="N338">
        <v>49.43</v>
      </c>
    </row>
    <row r="339" spans="1:14" x14ac:dyDescent="0.3">
      <c r="A339" t="s">
        <v>797</v>
      </c>
      <c r="B339" t="s">
        <v>1017</v>
      </c>
      <c r="C339" t="s">
        <v>1024</v>
      </c>
      <c r="D339">
        <v>51</v>
      </c>
      <c r="E339">
        <v>8</v>
      </c>
      <c r="F339" s="3">
        <v>63941</v>
      </c>
      <c r="G339">
        <v>35</v>
      </c>
      <c r="H339">
        <v>6</v>
      </c>
      <c r="I339">
        <v>1</v>
      </c>
      <c r="J339">
        <v>39</v>
      </c>
      <c r="K339">
        <v>4.9000000000000004</v>
      </c>
      <c r="L339" s="3">
        <v>5.3</v>
      </c>
      <c r="M339" t="s">
        <v>1036</v>
      </c>
      <c r="N339">
        <v>56.5</v>
      </c>
    </row>
    <row r="340" spans="1:14" x14ac:dyDescent="0.3">
      <c r="A340" t="s">
        <v>848</v>
      </c>
      <c r="B340" t="s">
        <v>1018</v>
      </c>
      <c r="C340" t="s">
        <v>1027</v>
      </c>
      <c r="D340">
        <v>54</v>
      </c>
      <c r="E340">
        <v>14</v>
      </c>
      <c r="F340" s="3">
        <v>74917</v>
      </c>
      <c r="G340">
        <v>49</v>
      </c>
      <c r="H340">
        <v>11</v>
      </c>
      <c r="I340">
        <v>14</v>
      </c>
      <c r="J340">
        <v>9</v>
      </c>
      <c r="K340">
        <v>4.5999999999999996</v>
      </c>
      <c r="L340" s="3">
        <v>5.3</v>
      </c>
      <c r="M340" t="s">
        <v>1036</v>
      </c>
      <c r="N340">
        <v>63.93</v>
      </c>
    </row>
    <row r="341" spans="1:14" x14ac:dyDescent="0.3">
      <c r="A341" t="s">
        <v>979</v>
      </c>
      <c r="B341" t="s">
        <v>1015</v>
      </c>
      <c r="C341" t="s">
        <v>1020</v>
      </c>
      <c r="D341">
        <v>52</v>
      </c>
      <c r="E341">
        <v>6</v>
      </c>
      <c r="F341" s="3">
        <v>57441</v>
      </c>
      <c r="G341">
        <v>44</v>
      </c>
      <c r="H341">
        <v>12</v>
      </c>
      <c r="I341">
        <v>12</v>
      </c>
      <c r="J341">
        <v>3</v>
      </c>
      <c r="K341">
        <v>4.9000000000000004</v>
      </c>
      <c r="L341" s="3">
        <v>5.3</v>
      </c>
      <c r="M341" t="s">
        <v>1036</v>
      </c>
      <c r="N341">
        <v>66.5</v>
      </c>
    </row>
    <row r="342" spans="1:14" x14ac:dyDescent="0.3">
      <c r="A342" t="s">
        <v>79</v>
      </c>
      <c r="B342" t="s">
        <v>1015</v>
      </c>
      <c r="C342" t="s">
        <v>1021</v>
      </c>
      <c r="D342">
        <v>24</v>
      </c>
      <c r="E342">
        <v>2</v>
      </c>
      <c r="F342" s="3">
        <v>59913</v>
      </c>
      <c r="G342">
        <v>48</v>
      </c>
      <c r="H342">
        <v>11</v>
      </c>
      <c r="I342">
        <v>11</v>
      </c>
      <c r="J342">
        <v>4</v>
      </c>
      <c r="K342">
        <v>3.5</v>
      </c>
      <c r="L342" s="3">
        <v>5.4</v>
      </c>
      <c r="M342" t="s">
        <v>1036</v>
      </c>
      <c r="N342">
        <v>61.23</v>
      </c>
    </row>
    <row r="343" spans="1:14" x14ac:dyDescent="0.3">
      <c r="A343" t="s">
        <v>167</v>
      </c>
      <c r="B343" t="s">
        <v>1014</v>
      </c>
      <c r="C343" t="s">
        <v>1025</v>
      </c>
      <c r="D343">
        <v>40</v>
      </c>
      <c r="E343">
        <v>3</v>
      </c>
      <c r="F343" s="3">
        <v>58271</v>
      </c>
      <c r="G343">
        <v>52</v>
      </c>
      <c r="H343">
        <v>14</v>
      </c>
      <c r="I343">
        <v>23</v>
      </c>
      <c r="J343">
        <v>33</v>
      </c>
      <c r="K343">
        <v>2.1</v>
      </c>
      <c r="L343" s="3">
        <v>5.4</v>
      </c>
      <c r="M343" t="s">
        <v>1036</v>
      </c>
      <c r="N343">
        <v>62.03</v>
      </c>
    </row>
    <row r="344" spans="1:14" x14ac:dyDescent="0.3">
      <c r="A344" t="s">
        <v>288</v>
      </c>
      <c r="B344" t="s">
        <v>1017</v>
      </c>
      <c r="C344" t="s">
        <v>1030</v>
      </c>
      <c r="D344">
        <v>28</v>
      </c>
      <c r="E344">
        <v>4</v>
      </c>
      <c r="F344" s="3">
        <v>52261</v>
      </c>
      <c r="G344">
        <v>37</v>
      </c>
      <c r="H344">
        <v>2</v>
      </c>
      <c r="I344">
        <v>23</v>
      </c>
      <c r="J344">
        <v>9</v>
      </c>
      <c r="K344">
        <v>3</v>
      </c>
      <c r="L344" s="3">
        <v>5.4</v>
      </c>
      <c r="M344" t="s">
        <v>1036</v>
      </c>
      <c r="N344">
        <v>44.73</v>
      </c>
    </row>
    <row r="345" spans="1:14" x14ac:dyDescent="0.3">
      <c r="A345" t="s">
        <v>405</v>
      </c>
      <c r="B345" t="s">
        <v>1018</v>
      </c>
      <c r="C345" t="s">
        <v>1028</v>
      </c>
      <c r="D345">
        <v>23</v>
      </c>
      <c r="E345">
        <v>2</v>
      </c>
      <c r="F345" s="3">
        <v>25270</v>
      </c>
      <c r="G345">
        <v>55</v>
      </c>
      <c r="H345">
        <v>12</v>
      </c>
      <c r="I345">
        <v>7</v>
      </c>
      <c r="J345">
        <v>14</v>
      </c>
      <c r="K345">
        <v>4.0999999999999996</v>
      </c>
      <c r="L345" s="3">
        <v>5.4</v>
      </c>
      <c r="M345" t="s">
        <v>1036</v>
      </c>
      <c r="N345">
        <v>64.7</v>
      </c>
    </row>
    <row r="346" spans="1:14" x14ac:dyDescent="0.3">
      <c r="A346" t="s">
        <v>474</v>
      </c>
      <c r="B346" t="s">
        <v>1014</v>
      </c>
      <c r="C346" t="s">
        <v>1031</v>
      </c>
      <c r="D346">
        <v>55</v>
      </c>
      <c r="E346">
        <v>8</v>
      </c>
      <c r="F346" s="3">
        <v>49663</v>
      </c>
      <c r="G346">
        <v>42</v>
      </c>
      <c r="H346">
        <v>9</v>
      </c>
      <c r="I346">
        <v>12</v>
      </c>
      <c r="J346">
        <v>22</v>
      </c>
      <c r="K346">
        <v>4.5</v>
      </c>
      <c r="L346" s="3">
        <v>5.4</v>
      </c>
      <c r="M346" t="s">
        <v>1036</v>
      </c>
      <c r="N346">
        <v>60.9</v>
      </c>
    </row>
    <row r="347" spans="1:14" x14ac:dyDescent="0.3">
      <c r="A347" t="s">
        <v>490</v>
      </c>
      <c r="B347" t="s">
        <v>1014</v>
      </c>
      <c r="C347" t="s">
        <v>1025</v>
      </c>
      <c r="D347">
        <v>36</v>
      </c>
      <c r="E347">
        <v>14</v>
      </c>
      <c r="F347" s="3">
        <v>76321</v>
      </c>
      <c r="G347">
        <v>40</v>
      </c>
      <c r="H347">
        <v>2</v>
      </c>
      <c r="I347">
        <v>6</v>
      </c>
      <c r="J347">
        <v>32</v>
      </c>
      <c r="K347">
        <v>3.2</v>
      </c>
      <c r="L347" s="3">
        <v>5.4</v>
      </c>
      <c r="M347" t="s">
        <v>1036</v>
      </c>
      <c r="N347">
        <v>45.33</v>
      </c>
    </row>
    <row r="348" spans="1:14" x14ac:dyDescent="0.3">
      <c r="A348" t="s">
        <v>496</v>
      </c>
      <c r="B348" t="s">
        <v>1015</v>
      </c>
      <c r="C348" t="s">
        <v>1021</v>
      </c>
      <c r="D348">
        <v>22</v>
      </c>
      <c r="E348">
        <v>0</v>
      </c>
      <c r="F348" s="3">
        <v>85239</v>
      </c>
      <c r="G348">
        <v>37</v>
      </c>
      <c r="H348">
        <v>9</v>
      </c>
      <c r="I348">
        <v>9</v>
      </c>
      <c r="J348">
        <v>35</v>
      </c>
      <c r="K348">
        <v>4.7</v>
      </c>
      <c r="L348" s="3">
        <v>5.4</v>
      </c>
      <c r="M348" t="s">
        <v>1036</v>
      </c>
      <c r="N348">
        <v>61.5</v>
      </c>
    </row>
    <row r="349" spans="1:14" x14ac:dyDescent="0.3">
      <c r="A349" t="s">
        <v>565</v>
      </c>
      <c r="B349" t="s">
        <v>1015</v>
      </c>
      <c r="C349" t="s">
        <v>1020</v>
      </c>
      <c r="D349">
        <v>27</v>
      </c>
      <c r="E349">
        <v>0</v>
      </c>
      <c r="F349" s="3">
        <v>69023</v>
      </c>
      <c r="G349">
        <v>48</v>
      </c>
      <c r="H349">
        <v>7</v>
      </c>
      <c r="I349">
        <v>11</v>
      </c>
      <c r="J349">
        <v>22</v>
      </c>
      <c r="K349">
        <v>2.6</v>
      </c>
      <c r="L349" s="3">
        <v>5.4</v>
      </c>
      <c r="M349" t="s">
        <v>1036</v>
      </c>
      <c r="N349">
        <v>51.87</v>
      </c>
    </row>
    <row r="350" spans="1:14" x14ac:dyDescent="0.3">
      <c r="A350" t="s">
        <v>627</v>
      </c>
      <c r="B350" t="s">
        <v>1014</v>
      </c>
      <c r="C350" t="s">
        <v>1025</v>
      </c>
      <c r="D350">
        <v>43</v>
      </c>
      <c r="E350">
        <v>6</v>
      </c>
      <c r="F350" s="3">
        <v>78340</v>
      </c>
      <c r="G350">
        <v>53</v>
      </c>
      <c r="H350">
        <v>7</v>
      </c>
      <c r="I350">
        <v>25</v>
      </c>
      <c r="J350">
        <v>27</v>
      </c>
      <c r="K350">
        <v>3.7</v>
      </c>
      <c r="L350" s="3">
        <v>5.4</v>
      </c>
      <c r="M350" t="s">
        <v>1036</v>
      </c>
      <c r="N350">
        <v>55.17</v>
      </c>
    </row>
    <row r="351" spans="1:14" x14ac:dyDescent="0.3">
      <c r="A351" t="s">
        <v>750</v>
      </c>
      <c r="B351" t="s">
        <v>1016</v>
      </c>
      <c r="C351" t="s">
        <v>1022</v>
      </c>
      <c r="D351">
        <v>40</v>
      </c>
      <c r="E351">
        <v>10</v>
      </c>
      <c r="F351" s="3">
        <v>29025</v>
      </c>
      <c r="G351">
        <v>35</v>
      </c>
      <c r="H351">
        <v>10</v>
      </c>
      <c r="I351">
        <v>1</v>
      </c>
      <c r="J351">
        <v>8</v>
      </c>
      <c r="K351">
        <v>4.5</v>
      </c>
      <c r="L351" s="3">
        <v>5.4</v>
      </c>
      <c r="M351" t="s">
        <v>1036</v>
      </c>
      <c r="N351">
        <v>62.57</v>
      </c>
    </row>
    <row r="352" spans="1:14" x14ac:dyDescent="0.3">
      <c r="A352" t="s">
        <v>883</v>
      </c>
      <c r="B352" t="s">
        <v>1015</v>
      </c>
      <c r="C352" t="s">
        <v>1020</v>
      </c>
      <c r="D352">
        <v>22</v>
      </c>
      <c r="E352">
        <v>1</v>
      </c>
      <c r="F352" s="3">
        <v>50160</v>
      </c>
      <c r="G352">
        <v>49</v>
      </c>
      <c r="H352">
        <v>13</v>
      </c>
      <c r="I352">
        <v>13</v>
      </c>
      <c r="J352">
        <v>39</v>
      </c>
      <c r="K352">
        <v>3.9</v>
      </c>
      <c r="L352" s="3">
        <v>5.4</v>
      </c>
      <c r="M352" t="s">
        <v>1036</v>
      </c>
      <c r="N352">
        <v>65.77</v>
      </c>
    </row>
    <row r="353" spans="1:14" x14ac:dyDescent="0.3">
      <c r="A353" t="s">
        <v>930</v>
      </c>
      <c r="B353" t="s">
        <v>1018</v>
      </c>
      <c r="C353" t="s">
        <v>1028</v>
      </c>
      <c r="D353">
        <v>45</v>
      </c>
      <c r="E353">
        <v>7</v>
      </c>
      <c r="F353" s="3">
        <v>38106</v>
      </c>
      <c r="G353">
        <v>37</v>
      </c>
      <c r="H353">
        <v>1</v>
      </c>
      <c r="I353">
        <v>13</v>
      </c>
      <c r="J353">
        <v>1</v>
      </c>
      <c r="K353">
        <v>5</v>
      </c>
      <c r="L353" s="3">
        <v>5.4</v>
      </c>
      <c r="M353" t="s">
        <v>1036</v>
      </c>
      <c r="N353">
        <v>49.07</v>
      </c>
    </row>
    <row r="354" spans="1:14" x14ac:dyDescent="0.3">
      <c r="A354" t="s">
        <v>956</v>
      </c>
      <c r="B354" t="s">
        <v>1015</v>
      </c>
      <c r="C354" t="s">
        <v>1029</v>
      </c>
      <c r="D354">
        <v>41</v>
      </c>
      <c r="E354">
        <v>13</v>
      </c>
      <c r="F354" s="3">
        <v>74313</v>
      </c>
      <c r="G354">
        <v>37</v>
      </c>
      <c r="H354">
        <v>2</v>
      </c>
      <c r="I354">
        <v>20</v>
      </c>
      <c r="J354">
        <v>36</v>
      </c>
      <c r="K354">
        <v>4.3</v>
      </c>
      <c r="L354" s="3">
        <v>5.4</v>
      </c>
      <c r="M354" t="s">
        <v>1036</v>
      </c>
      <c r="N354">
        <v>48.63</v>
      </c>
    </row>
    <row r="355" spans="1:14" x14ac:dyDescent="0.3">
      <c r="A355" t="s">
        <v>963</v>
      </c>
      <c r="B355" t="s">
        <v>1015</v>
      </c>
      <c r="C355" t="s">
        <v>1021</v>
      </c>
      <c r="D355">
        <v>22</v>
      </c>
      <c r="E355">
        <v>1</v>
      </c>
      <c r="F355" s="3">
        <v>64517</v>
      </c>
      <c r="G355">
        <v>51</v>
      </c>
      <c r="H355">
        <v>13</v>
      </c>
      <c r="I355">
        <v>8</v>
      </c>
      <c r="J355">
        <v>31</v>
      </c>
      <c r="K355">
        <v>3.4</v>
      </c>
      <c r="L355" s="3">
        <v>5.4</v>
      </c>
      <c r="M355" t="s">
        <v>1036</v>
      </c>
      <c r="N355">
        <v>64.27</v>
      </c>
    </row>
    <row r="356" spans="1:14" x14ac:dyDescent="0.3">
      <c r="A356" t="s">
        <v>35</v>
      </c>
      <c r="B356" t="s">
        <v>1017</v>
      </c>
      <c r="C356" t="s">
        <v>1026</v>
      </c>
      <c r="D356">
        <v>37</v>
      </c>
      <c r="E356">
        <v>15</v>
      </c>
      <c r="F356" s="3">
        <v>77920</v>
      </c>
      <c r="G356">
        <v>48</v>
      </c>
      <c r="H356">
        <v>4</v>
      </c>
      <c r="I356">
        <v>3</v>
      </c>
      <c r="J356">
        <v>6</v>
      </c>
      <c r="K356">
        <v>4</v>
      </c>
      <c r="L356" s="3">
        <v>5.5</v>
      </c>
      <c r="M356" t="s">
        <v>1036</v>
      </c>
      <c r="N356">
        <v>51.67</v>
      </c>
    </row>
    <row r="357" spans="1:14" x14ac:dyDescent="0.3">
      <c r="A357" t="s">
        <v>82</v>
      </c>
      <c r="B357" t="s">
        <v>1018</v>
      </c>
      <c r="C357" t="s">
        <v>1032</v>
      </c>
      <c r="D357">
        <v>51</v>
      </c>
      <c r="E357">
        <v>12</v>
      </c>
      <c r="F357" s="3">
        <v>47046</v>
      </c>
      <c r="G357">
        <v>35</v>
      </c>
      <c r="H357">
        <v>8</v>
      </c>
      <c r="I357">
        <v>10</v>
      </c>
      <c r="J357">
        <v>11</v>
      </c>
      <c r="K357">
        <v>3.5</v>
      </c>
      <c r="L357" s="3">
        <v>5.5</v>
      </c>
      <c r="M357" t="s">
        <v>1036</v>
      </c>
      <c r="N357">
        <v>56.83</v>
      </c>
    </row>
    <row r="358" spans="1:14" x14ac:dyDescent="0.3">
      <c r="A358" t="s">
        <v>133</v>
      </c>
      <c r="B358" t="s">
        <v>1018</v>
      </c>
      <c r="C358" t="s">
        <v>1028</v>
      </c>
      <c r="D358">
        <v>30</v>
      </c>
      <c r="E358">
        <v>8</v>
      </c>
      <c r="F358" s="3">
        <v>41426</v>
      </c>
      <c r="G358">
        <v>40</v>
      </c>
      <c r="H358">
        <v>2</v>
      </c>
      <c r="I358">
        <v>21</v>
      </c>
      <c r="J358">
        <v>1</v>
      </c>
      <c r="K358">
        <v>2.4</v>
      </c>
      <c r="L358" s="3">
        <v>5.5</v>
      </c>
      <c r="M358" t="s">
        <v>1036</v>
      </c>
      <c r="N358">
        <v>43.53</v>
      </c>
    </row>
    <row r="359" spans="1:14" x14ac:dyDescent="0.3">
      <c r="A359" t="s">
        <v>365</v>
      </c>
      <c r="B359" t="s">
        <v>1014</v>
      </c>
      <c r="C359" t="s">
        <v>1031</v>
      </c>
      <c r="D359">
        <v>25</v>
      </c>
      <c r="E359">
        <v>3</v>
      </c>
      <c r="F359" s="3">
        <v>53719</v>
      </c>
      <c r="G359">
        <v>48</v>
      </c>
      <c r="H359">
        <v>3</v>
      </c>
      <c r="I359">
        <v>13</v>
      </c>
      <c r="J359">
        <v>31</v>
      </c>
      <c r="K359">
        <v>4.5999999999999996</v>
      </c>
      <c r="L359" s="3">
        <v>5.5</v>
      </c>
      <c r="M359" t="s">
        <v>1036</v>
      </c>
      <c r="N359">
        <v>51.8</v>
      </c>
    </row>
    <row r="360" spans="1:14" x14ac:dyDescent="0.3">
      <c r="A360" t="s">
        <v>429</v>
      </c>
      <c r="B360" t="s">
        <v>1017</v>
      </c>
      <c r="C360" t="s">
        <v>1024</v>
      </c>
      <c r="D360">
        <v>45</v>
      </c>
      <c r="E360">
        <v>14</v>
      </c>
      <c r="F360" s="3">
        <v>32472</v>
      </c>
      <c r="G360">
        <v>38</v>
      </c>
      <c r="H360">
        <v>13</v>
      </c>
      <c r="I360">
        <v>21</v>
      </c>
      <c r="J360">
        <v>14</v>
      </c>
      <c r="K360">
        <v>2</v>
      </c>
      <c r="L360" s="3">
        <v>5.5</v>
      </c>
      <c r="M360" t="s">
        <v>1036</v>
      </c>
      <c r="N360">
        <v>60.67</v>
      </c>
    </row>
    <row r="361" spans="1:14" x14ac:dyDescent="0.3">
      <c r="A361" t="s">
        <v>722</v>
      </c>
      <c r="B361" t="s">
        <v>1018</v>
      </c>
      <c r="C361" t="s">
        <v>1032</v>
      </c>
      <c r="D361">
        <v>44</v>
      </c>
      <c r="E361">
        <v>5</v>
      </c>
      <c r="F361" s="3">
        <v>28466</v>
      </c>
      <c r="G361">
        <v>43</v>
      </c>
      <c r="H361">
        <v>6</v>
      </c>
      <c r="I361">
        <v>13</v>
      </c>
      <c r="J361">
        <v>40</v>
      </c>
      <c r="K361">
        <v>4.7</v>
      </c>
      <c r="L361" s="3">
        <v>5.5</v>
      </c>
      <c r="M361" t="s">
        <v>1036</v>
      </c>
      <c r="N361">
        <v>57.1</v>
      </c>
    </row>
    <row r="362" spans="1:14" x14ac:dyDescent="0.3">
      <c r="A362" t="s">
        <v>760</v>
      </c>
      <c r="B362" t="s">
        <v>1017</v>
      </c>
      <c r="C362" t="s">
        <v>1030</v>
      </c>
      <c r="D362">
        <v>39</v>
      </c>
      <c r="E362">
        <v>13</v>
      </c>
      <c r="F362" s="3">
        <v>86252</v>
      </c>
      <c r="G362">
        <v>53</v>
      </c>
      <c r="H362">
        <v>12</v>
      </c>
      <c r="I362">
        <v>20</v>
      </c>
      <c r="J362">
        <v>3</v>
      </c>
      <c r="K362">
        <v>3.6</v>
      </c>
      <c r="L362" s="3">
        <v>5.5</v>
      </c>
      <c r="M362" t="s">
        <v>1036</v>
      </c>
      <c r="N362">
        <v>63.8</v>
      </c>
    </row>
    <row r="363" spans="1:14" x14ac:dyDescent="0.3">
      <c r="A363" t="s">
        <v>792</v>
      </c>
      <c r="B363" t="s">
        <v>1014</v>
      </c>
      <c r="C363" t="s">
        <v>1025</v>
      </c>
      <c r="D363">
        <v>52</v>
      </c>
      <c r="E363">
        <v>8</v>
      </c>
      <c r="F363" s="3">
        <v>35718</v>
      </c>
      <c r="G363">
        <v>49</v>
      </c>
      <c r="H363">
        <v>7</v>
      </c>
      <c r="I363">
        <v>3</v>
      </c>
      <c r="J363">
        <v>31</v>
      </c>
      <c r="K363">
        <v>2.1</v>
      </c>
      <c r="L363" s="3">
        <v>5.5</v>
      </c>
      <c r="M363" t="s">
        <v>1036</v>
      </c>
      <c r="N363">
        <v>50.97</v>
      </c>
    </row>
    <row r="364" spans="1:14" x14ac:dyDescent="0.3">
      <c r="A364" t="s">
        <v>821</v>
      </c>
      <c r="B364" t="s">
        <v>1014</v>
      </c>
      <c r="C364" t="s">
        <v>1031</v>
      </c>
      <c r="D364">
        <v>48</v>
      </c>
      <c r="E364">
        <v>15</v>
      </c>
      <c r="F364" s="3">
        <v>44900</v>
      </c>
      <c r="G364">
        <v>42</v>
      </c>
      <c r="H364">
        <v>4</v>
      </c>
      <c r="I364">
        <v>17</v>
      </c>
      <c r="J364">
        <v>3</v>
      </c>
      <c r="K364">
        <v>5</v>
      </c>
      <c r="L364" s="3">
        <v>5.5</v>
      </c>
      <c r="M364" t="s">
        <v>1036</v>
      </c>
      <c r="N364">
        <v>54.67</v>
      </c>
    </row>
    <row r="365" spans="1:14" x14ac:dyDescent="0.3">
      <c r="A365" t="s">
        <v>875</v>
      </c>
      <c r="B365" t="s">
        <v>1014</v>
      </c>
      <c r="C365" t="s">
        <v>1019</v>
      </c>
      <c r="D365">
        <v>42</v>
      </c>
      <c r="E365">
        <v>13</v>
      </c>
      <c r="F365" s="3">
        <v>80334</v>
      </c>
      <c r="G365">
        <v>48</v>
      </c>
      <c r="H365">
        <v>5</v>
      </c>
      <c r="I365">
        <v>3</v>
      </c>
      <c r="J365">
        <v>33</v>
      </c>
      <c r="K365">
        <v>3.4</v>
      </c>
      <c r="L365" s="3">
        <v>5.5</v>
      </c>
      <c r="M365" t="s">
        <v>1036</v>
      </c>
      <c r="N365">
        <v>51.53</v>
      </c>
    </row>
    <row r="366" spans="1:14" x14ac:dyDescent="0.3">
      <c r="A366" t="s">
        <v>904</v>
      </c>
      <c r="B366" t="s">
        <v>1016</v>
      </c>
      <c r="C366" t="s">
        <v>1023</v>
      </c>
      <c r="D366">
        <v>39</v>
      </c>
      <c r="E366">
        <v>12</v>
      </c>
      <c r="F366" s="3">
        <v>26619</v>
      </c>
      <c r="G366">
        <v>40</v>
      </c>
      <c r="H366">
        <v>8</v>
      </c>
      <c r="I366">
        <v>7</v>
      </c>
      <c r="J366">
        <v>16</v>
      </c>
      <c r="K366">
        <v>3.9</v>
      </c>
      <c r="L366" s="3">
        <v>5.5</v>
      </c>
      <c r="M366" t="s">
        <v>1036</v>
      </c>
      <c r="N366">
        <v>58.03</v>
      </c>
    </row>
    <row r="367" spans="1:14" x14ac:dyDescent="0.3">
      <c r="A367" t="s">
        <v>905</v>
      </c>
      <c r="B367" t="s">
        <v>1016</v>
      </c>
      <c r="C367" t="s">
        <v>1022</v>
      </c>
      <c r="D367">
        <v>54</v>
      </c>
      <c r="E367">
        <v>2</v>
      </c>
      <c r="F367" s="3">
        <v>76502</v>
      </c>
      <c r="G367">
        <v>43</v>
      </c>
      <c r="H367">
        <v>15</v>
      </c>
      <c r="I367">
        <v>7</v>
      </c>
      <c r="J367">
        <v>6</v>
      </c>
      <c r="K367">
        <v>2.4</v>
      </c>
      <c r="L367" s="3">
        <v>5.5</v>
      </c>
      <c r="M367" t="s">
        <v>1036</v>
      </c>
      <c r="N367">
        <v>65.2</v>
      </c>
    </row>
    <row r="368" spans="1:14" x14ac:dyDescent="0.3">
      <c r="A368" t="s">
        <v>45</v>
      </c>
      <c r="B368" t="s">
        <v>1015</v>
      </c>
      <c r="C368" t="s">
        <v>1029</v>
      </c>
      <c r="D368">
        <v>35</v>
      </c>
      <c r="E368">
        <v>8</v>
      </c>
      <c r="F368" s="3">
        <v>42380</v>
      </c>
      <c r="G368">
        <v>39</v>
      </c>
      <c r="H368">
        <v>15</v>
      </c>
      <c r="I368">
        <v>11</v>
      </c>
      <c r="J368">
        <v>4</v>
      </c>
      <c r="K368">
        <v>4.5999999999999996</v>
      </c>
      <c r="L368" s="3">
        <v>5.6</v>
      </c>
      <c r="M368" t="s">
        <v>1036</v>
      </c>
      <c r="N368">
        <v>72.400000000000006</v>
      </c>
    </row>
    <row r="369" spans="1:14" x14ac:dyDescent="0.3">
      <c r="A369" t="s">
        <v>50</v>
      </c>
      <c r="B369" t="s">
        <v>1018</v>
      </c>
      <c r="C369" t="s">
        <v>1028</v>
      </c>
      <c r="D369">
        <v>24</v>
      </c>
      <c r="E369">
        <v>2</v>
      </c>
      <c r="F369" s="3">
        <v>63175</v>
      </c>
      <c r="G369">
        <v>52</v>
      </c>
      <c r="H369">
        <v>3</v>
      </c>
      <c r="I369">
        <v>13</v>
      </c>
      <c r="J369">
        <v>8</v>
      </c>
      <c r="K369">
        <v>2.1</v>
      </c>
      <c r="L369" s="3">
        <v>5.6</v>
      </c>
      <c r="M369" t="s">
        <v>1036</v>
      </c>
      <c r="N369">
        <v>44.9</v>
      </c>
    </row>
    <row r="370" spans="1:14" x14ac:dyDescent="0.3">
      <c r="A370" t="s">
        <v>124</v>
      </c>
      <c r="B370" t="s">
        <v>1017</v>
      </c>
      <c r="C370" t="s">
        <v>1024</v>
      </c>
      <c r="D370">
        <v>45</v>
      </c>
      <c r="E370">
        <v>2</v>
      </c>
      <c r="F370" s="3">
        <v>76818</v>
      </c>
      <c r="G370">
        <v>47</v>
      </c>
      <c r="H370">
        <v>1</v>
      </c>
      <c r="I370">
        <v>8</v>
      </c>
      <c r="J370">
        <v>34</v>
      </c>
      <c r="K370">
        <v>2.4</v>
      </c>
      <c r="L370" s="3">
        <v>5.6</v>
      </c>
      <c r="M370" t="s">
        <v>1036</v>
      </c>
      <c r="N370">
        <v>42.47</v>
      </c>
    </row>
    <row r="371" spans="1:14" x14ac:dyDescent="0.3">
      <c r="A371" t="s">
        <v>127</v>
      </c>
      <c r="B371" t="s">
        <v>1014</v>
      </c>
      <c r="C371" t="s">
        <v>1025</v>
      </c>
      <c r="D371">
        <v>41</v>
      </c>
      <c r="E371">
        <v>15</v>
      </c>
      <c r="F371" s="3">
        <v>32610</v>
      </c>
      <c r="G371">
        <v>38</v>
      </c>
      <c r="H371">
        <v>4</v>
      </c>
      <c r="I371">
        <v>17</v>
      </c>
      <c r="J371">
        <v>8</v>
      </c>
      <c r="K371">
        <v>3.2</v>
      </c>
      <c r="L371" s="3">
        <v>5.6</v>
      </c>
      <c r="M371" t="s">
        <v>1036</v>
      </c>
      <c r="N371">
        <v>49.87</v>
      </c>
    </row>
    <row r="372" spans="1:14" x14ac:dyDescent="0.3">
      <c r="A372" t="s">
        <v>129</v>
      </c>
      <c r="B372" t="s">
        <v>1014</v>
      </c>
      <c r="C372" t="s">
        <v>1025</v>
      </c>
      <c r="D372">
        <v>45</v>
      </c>
      <c r="E372">
        <v>6</v>
      </c>
      <c r="F372" s="3">
        <v>54057</v>
      </c>
      <c r="G372">
        <v>49</v>
      </c>
      <c r="H372">
        <v>4</v>
      </c>
      <c r="I372">
        <v>11</v>
      </c>
      <c r="J372">
        <v>6</v>
      </c>
      <c r="K372">
        <v>4.9000000000000004</v>
      </c>
      <c r="L372" s="3">
        <v>5.6</v>
      </c>
      <c r="M372" t="s">
        <v>1036</v>
      </c>
      <c r="N372">
        <v>54.97</v>
      </c>
    </row>
    <row r="373" spans="1:14" x14ac:dyDescent="0.3">
      <c r="A373" t="s">
        <v>212</v>
      </c>
      <c r="B373" t="s">
        <v>1015</v>
      </c>
      <c r="C373" t="s">
        <v>1029</v>
      </c>
      <c r="D373">
        <v>29</v>
      </c>
      <c r="E373">
        <v>2</v>
      </c>
      <c r="F373" s="3">
        <v>88903</v>
      </c>
      <c r="G373">
        <v>38</v>
      </c>
      <c r="H373">
        <v>7</v>
      </c>
      <c r="I373">
        <v>11</v>
      </c>
      <c r="J373">
        <v>21</v>
      </c>
      <c r="K373">
        <v>3.7</v>
      </c>
      <c r="L373" s="3">
        <v>5.6</v>
      </c>
      <c r="M373" t="s">
        <v>1036</v>
      </c>
      <c r="N373">
        <v>56.37</v>
      </c>
    </row>
    <row r="374" spans="1:14" x14ac:dyDescent="0.3">
      <c r="A374" t="s">
        <v>252</v>
      </c>
      <c r="B374" t="s">
        <v>1016</v>
      </c>
      <c r="C374" t="s">
        <v>1022</v>
      </c>
      <c r="D374">
        <v>27</v>
      </c>
      <c r="E374">
        <v>3</v>
      </c>
      <c r="F374" s="3">
        <v>80517</v>
      </c>
      <c r="G374">
        <v>46</v>
      </c>
      <c r="H374">
        <v>2</v>
      </c>
      <c r="I374">
        <v>17</v>
      </c>
      <c r="J374">
        <v>12</v>
      </c>
      <c r="K374">
        <v>2.2000000000000002</v>
      </c>
      <c r="L374" s="3">
        <v>5.6</v>
      </c>
      <c r="M374" t="s">
        <v>1036</v>
      </c>
      <c r="N374">
        <v>43.53</v>
      </c>
    </row>
    <row r="375" spans="1:14" x14ac:dyDescent="0.3">
      <c r="A375" t="s">
        <v>301</v>
      </c>
      <c r="B375" t="s">
        <v>1015</v>
      </c>
      <c r="C375" t="s">
        <v>1029</v>
      </c>
      <c r="D375">
        <v>54</v>
      </c>
      <c r="E375">
        <v>3</v>
      </c>
      <c r="F375" s="3">
        <v>62533</v>
      </c>
      <c r="G375">
        <v>38</v>
      </c>
      <c r="H375">
        <v>5</v>
      </c>
      <c r="I375">
        <v>24</v>
      </c>
      <c r="J375">
        <v>34</v>
      </c>
      <c r="K375">
        <v>4.5</v>
      </c>
      <c r="L375" s="3">
        <v>5.6</v>
      </c>
      <c r="M375" t="s">
        <v>1036</v>
      </c>
      <c r="N375">
        <v>55.43</v>
      </c>
    </row>
    <row r="376" spans="1:14" x14ac:dyDescent="0.3">
      <c r="A376" t="s">
        <v>307</v>
      </c>
      <c r="B376" t="s">
        <v>1016</v>
      </c>
      <c r="C376" t="s">
        <v>1023</v>
      </c>
      <c r="D376">
        <v>37</v>
      </c>
      <c r="E376">
        <v>12</v>
      </c>
      <c r="F376" s="3">
        <v>57077</v>
      </c>
      <c r="G376">
        <v>39</v>
      </c>
      <c r="H376">
        <v>10</v>
      </c>
      <c r="I376">
        <v>20</v>
      </c>
      <c r="J376">
        <v>17</v>
      </c>
      <c r="K376">
        <v>3.9</v>
      </c>
      <c r="L376" s="3">
        <v>5.6</v>
      </c>
      <c r="M376" t="s">
        <v>1036</v>
      </c>
      <c r="N376">
        <v>61.97</v>
      </c>
    </row>
    <row r="377" spans="1:14" x14ac:dyDescent="0.3">
      <c r="A377" t="s">
        <v>312</v>
      </c>
      <c r="B377" t="s">
        <v>1018</v>
      </c>
      <c r="C377" t="s">
        <v>1027</v>
      </c>
      <c r="D377">
        <v>30</v>
      </c>
      <c r="E377">
        <v>4</v>
      </c>
      <c r="F377" s="3">
        <v>35418</v>
      </c>
      <c r="G377">
        <v>43</v>
      </c>
      <c r="H377">
        <v>2</v>
      </c>
      <c r="I377">
        <v>20</v>
      </c>
      <c r="J377">
        <v>23</v>
      </c>
      <c r="K377">
        <v>2.8</v>
      </c>
      <c r="L377" s="3">
        <v>5.6</v>
      </c>
      <c r="M377" t="s">
        <v>1036</v>
      </c>
      <c r="N377">
        <v>45.33</v>
      </c>
    </row>
    <row r="378" spans="1:14" x14ac:dyDescent="0.3">
      <c r="A378" t="s">
        <v>338</v>
      </c>
      <c r="B378" t="s">
        <v>1016</v>
      </c>
      <c r="C378" t="s">
        <v>1022</v>
      </c>
      <c r="D378">
        <v>27</v>
      </c>
      <c r="E378">
        <v>0</v>
      </c>
      <c r="F378" s="3">
        <v>85376</v>
      </c>
      <c r="G378">
        <v>42</v>
      </c>
      <c r="H378">
        <v>15</v>
      </c>
      <c r="I378">
        <v>16</v>
      </c>
      <c r="J378">
        <v>26</v>
      </c>
      <c r="K378">
        <v>4.0999999999999996</v>
      </c>
      <c r="L378" s="3">
        <v>5.6</v>
      </c>
      <c r="M378" t="s">
        <v>1036</v>
      </c>
      <c r="N378">
        <v>70.900000000000006</v>
      </c>
    </row>
    <row r="379" spans="1:14" x14ac:dyDescent="0.3">
      <c r="A379" t="s">
        <v>473</v>
      </c>
      <c r="B379" t="s">
        <v>1015</v>
      </c>
      <c r="C379" t="s">
        <v>1020</v>
      </c>
      <c r="D379">
        <v>39</v>
      </c>
      <c r="E379">
        <v>8</v>
      </c>
      <c r="F379" s="3">
        <v>62921</v>
      </c>
      <c r="G379">
        <v>52</v>
      </c>
      <c r="H379">
        <v>10</v>
      </c>
      <c r="I379">
        <v>5</v>
      </c>
      <c r="J379">
        <v>24</v>
      </c>
      <c r="K379">
        <v>4</v>
      </c>
      <c r="L379" s="3">
        <v>5.6</v>
      </c>
      <c r="M379" t="s">
        <v>1036</v>
      </c>
      <c r="N379">
        <v>62.27</v>
      </c>
    </row>
    <row r="380" spans="1:14" x14ac:dyDescent="0.3">
      <c r="A380" t="s">
        <v>524</v>
      </c>
      <c r="B380" t="s">
        <v>1015</v>
      </c>
      <c r="C380" t="s">
        <v>1021</v>
      </c>
      <c r="D380">
        <v>41</v>
      </c>
      <c r="E380">
        <v>11</v>
      </c>
      <c r="F380" s="3">
        <v>56565</v>
      </c>
      <c r="G380">
        <v>52</v>
      </c>
      <c r="H380">
        <v>4</v>
      </c>
      <c r="I380">
        <v>25</v>
      </c>
      <c r="J380">
        <v>5</v>
      </c>
      <c r="K380">
        <v>3.3</v>
      </c>
      <c r="L380" s="3">
        <v>5.6</v>
      </c>
      <c r="M380" t="s">
        <v>1036</v>
      </c>
      <c r="N380">
        <v>50.17</v>
      </c>
    </row>
    <row r="381" spans="1:14" x14ac:dyDescent="0.3">
      <c r="A381" t="s">
        <v>556</v>
      </c>
      <c r="B381" t="s">
        <v>1015</v>
      </c>
      <c r="C381" t="s">
        <v>1020</v>
      </c>
      <c r="D381">
        <v>54</v>
      </c>
      <c r="E381">
        <v>4</v>
      </c>
      <c r="F381" s="3">
        <v>31179</v>
      </c>
      <c r="G381">
        <v>36</v>
      </c>
      <c r="H381">
        <v>8</v>
      </c>
      <c r="I381">
        <v>11</v>
      </c>
      <c r="J381">
        <v>9</v>
      </c>
      <c r="K381">
        <v>2.4</v>
      </c>
      <c r="L381" s="3">
        <v>5.6</v>
      </c>
      <c r="M381" t="s">
        <v>1036</v>
      </c>
      <c r="N381">
        <v>54.13</v>
      </c>
    </row>
    <row r="382" spans="1:14" x14ac:dyDescent="0.3">
      <c r="A382" t="s">
        <v>673</v>
      </c>
      <c r="B382" t="s">
        <v>1014</v>
      </c>
      <c r="C382" t="s">
        <v>1019</v>
      </c>
      <c r="D382">
        <v>33</v>
      </c>
      <c r="E382">
        <v>5</v>
      </c>
      <c r="F382" s="3">
        <v>29143</v>
      </c>
      <c r="G382">
        <v>38</v>
      </c>
      <c r="H382">
        <v>5</v>
      </c>
      <c r="I382">
        <v>4</v>
      </c>
      <c r="J382">
        <v>26</v>
      </c>
      <c r="K382">
        <v>2.5</v>
      </c>
      <c r="L382" s="3">
        <v>5.6</v>
      </c>
      <c r="M382" t="s">
        <v>1036</v>
      </c>
      <c r="N382">
        <v>49.43</v>
      </c>
    </row>
    <row r="383" spans="1:14" x14ac:dyDescent="0.3">
      <c r="A383" t="s">
        <v>698</v>
      </c>
      <c r="B383" t="s">
        <v>1017</v>
      </c>
      <c r="C383" t="s">
        <v>1024</v>
      </c>
      <c r="D383">
        <v>53</v>
      </c>
      <c r="E383">
        <v>3</v>
      </c>
      <c r="F383" s="3">
        <v>55812</v>
      </c>
      <c r="G383">
        <v>52</v>
      </c>
      <c r="H383">
        <v>11</v>
      </c>
      <c r="I383">
        <v>17</v>
      </c>
      <c r="J383">
        <v>18</v>
      </c>
      <c r="K383">
        <v>3.4</v>
      </c>
      <c r="L383" s="3">
        <v>5.6</v>
      </c>
      <c r="M383" t="s">
        <v>1036</v>
      </c>
      <c r="N383">
        <v>62.13</v>
      </c>
    </row>
    <row r="384" spans="1:14" x14ac:dyDescent="0.3">
      <c r="A384" t="s">
        <v>712</v>
      </c>
      <c r="B384" t="s">
        <v>1016</v>
      </c>
      <c r="C384" t="s">
        <v>1033</v>
      </c>
      <c r="D384">
        <v>54</v>
      </c>
      <c r="E384">
        <v>1</v>
      </c>
      <c r="F384" s="3">
        <v>84535</v>
      </c>
      <c r="G384">
        <v>46</v>
      </c>
      <c r="H384">
        <v>7</v>
      </c>
      <c r="I384">
        <v>4</v>
      </c>
      <c r="J384">
        <v>27</v>
      </c>
      <c r="K384">
        <v>3.1</v>
      </c>
      <c r="L384" s="3">
        <v>5.6</v>
      </c>
      <c r="M384" t="s">
        <v>1036</v>
      </c>
      <c r="N384">
        <v>54.57</v>
      </c>
    </row>
    <row r="385" spans="1:14" x14ac:dyDescent="0.3">
      <c r="A385" t="s">
        <v>738</v>
      </c>
      <c r="B385" t="s">
        <v>1018</v>
      </c>
      <c r="C385" t="s">
        <v>1028</v>
      </c>
      <c r="D385">
        <v>48</v>
      </c>
      <c r="E385">
        <v>9</v>
      </c>
      <c r="F385" s="3">
        <v>89550</v>
      </c>
      <c r="G385">
        <v>48</v>
      </c>
      <c r="H385">
        <v>4</v>
      </c>
      <c r="I385">
        <v>2</v>
      </c>
      <c r="J385">
        <v>30</v>
      </c>
      <c r="K385">
        <v>4.8</v>
      </c>
      <c r="L385" s="3">
        <v>5.6</v>
      </c>
      <c r="M385" t="s">
        <v>1036</v>
      </c>
      <c r="N385">
        <v>54.67</v>
      </c>
    </row>
    <row r="386" spans="1:14" x14ac:dyDescent="0.3">
      <c r="A386" t="s">
        <v>749</v>
      </c>
      <c r="B386" t="s">
        <v>1017</v>
      </c>
      <c r="C386" t="s">
        <v>1024</v>
      </c>
      <c r="D386">
        <v>52</v>
      </c>
      <c r="E386">
        <v>5</v>
      </c>
      <c r="F386" s="3">
        <v>58206</v>
      </c>
      <c r="G386">
        <v>36</v>
      </c>
      <c r="H386">
        <v>7</v>
      </c>
      <c r="I386">
        <v>8</v>
      </c>
      <c r="J386">
        <v>31</v>
      </c>
      <c r="K386">
        <v>3.8</v>
      </c>
      <c r="L386" s="3">
        <v>5.6</v>
      </c>
      <c r="M386" t="s">
        <v>1036</v>
      </c>
      <c r="N386">
        <v>56.67</v>
      </c>
    </row>
    <row r="387" spans="1:14" x14ac:dyDescent="0.3">
      <c r="A387" t="s">
        <v>781</v>
      </c>
      <c r="B387" t="s">
        <v>1018</v>
      </c>
      <c r="C387" t="s">
        <v>1027</v>
      </c>
      <c r="D387">
        <v>25</v>
      </c>
      <c r="E387">
        <v>3</v>
      </c>
      <c r="F387" s="3">
        <v>65501</v>
      </c>
      <c r="G387">
        <v>48</v>
      </c>
      <c r="H387">
        <v>10</v>
      </c>
      <c r="I387">
        <v>8</v>
      </c>
      <c r="J387">
        <v>9</v>
      </c>
      <c r="K387">
        <v>2.2999999999999998</v>
      </c>
      <c r="L387" s="3">
        <v>5.6</v>
      </c>
      <c r="M387" t="s">
        <v>1036</v>
      </c>
      <c r="N387">
        <v>57.17</v>
      </c>
    </row>
    <row r="388" spans="1:14" x14ac:dyDescent="0.3">
      <c r="A388" t="s">
        <v>844</v>
      </c>
      <c r="B388" t="s">
        <v>1017</v>
      </c>
      <c r="C388" t="s">
        <v>1026</v>
      </c>
      <c r="D388">
        <v>29</v>
      </c>
      <c r="E388">
        <v>1</v>
      </c>
      <c r="F388" s="3">
        <v>49221</v>
      </c>
      <c r="G388">
        <v>53</v>
      </c>
      <c r="H388">
        <v>5</v>
      </c>
      <c r="I388">
        <v>1</v>
      </c>
      <c r="J388">
        <v>33</v>
      </c>
      <c r="K388">
        <v>2.5</v>
      </c>
      <c r="L388" s="3">
        <v>5.6</v>
      </c>
      <c r="M388" t="s">
        <v>1036</v>
      </c>
      <c r="N388">
        <v>49.43</v>
      </c>
    </row>
    <row r="389" spans="1:14" x14ac:dyDescent="0.3">
      <c r="A389" t="s">
        <v>949</v>
      </c>
      <c r="B389" t="s">
        <v>1017</v>
      </c>
      <c r="C389" t="s">
        <v>1026</v>
      </c>
      <c r="D389">
        <v>34</v>
      </c>
      <c r="E389">
        <v>2</v>
      </c>
      <c r="F389" s="3">
        <v>85039</v>
      </c>
      <c r="G389">
        <v>41</v>
      </c>
      <c r="H389">
        <v>1</v>
      </c>
      <c r="I389">
        <v>0</v>
      </c>
      <c r="J389">
        <v>32</v>
      </c>
      <c r="K389">
        <v>4.2</v>
      </c>
      <c r="L389" s="3">
        <v>5.6</v>
      </c>
      <c r="M389" t="s">
        <v>1036</v>
      </c>
      <c r="N389">
        <v>47.87</v>
      </c>
    </row>
    <row r="390" spans="1:14" x14ac:dyDescent="0.3">
      <c r="A390" t="s">
        <v>25</v>
      </c>
      <c r="B390" t="s">
        <v>1014</v>
      </c>
      <c r="C390" t="s">
        <v>1025</v>
      </c>
      <c r="D390">
        <v>25</v>
      </c>
      <c r="E390">
        <v>0</v>
      </c>
      <c r="F390" s="3">
        <v>35016</v>
      </c>
      <c r="G390">
        <v>55</v>
      </c>
      <c r="H390">
        <v>3</v>
      </c>
      <c r="I390">
        <v>25</v>
      </c>
      <c r="J390">
        <v>27</v>
      </c>
      <c r="K390">
        <v>3.8</v>
      </c>
      <c r="L390" s="3">
        <v>5.7</v>
      </c>
      <c r="M390" t="s">
        <v>1036</v>
      </c>
      <c r="N390">
        <v>50.6</v>
      </c>
    </row>
    <row r="391" spans="1:14" x14ac:dyDescent="0.3">
      <c r="A391" t="s">
        <v>118</v>
      </c>
      <c r="B391" t="s">
        <v>1017</v>
      </c>
      <c r="C391" t="s">
        <v>1026</v>
      </c>
      <c r="D391">
        <v>38</v>
      </c>
      <c r="E391">
        <v>14</v>
      </c>
      <c r="F391" s="3">
        <v>80397</v>
      </c>
      <c r="G391">
        <v>44</v>
      </c>
      <c r="H391">
        <v>4</v>
      </c>
      <c r="I391">
        <v>12</v>
      </c>
      <c r="J391">
        <v>30</v>
      </c>
      <c r="K391">
        <v>2.2999999999999998</v>
      </c>
      <c r="L391" s="3">
        <v>5.7</v>
      </c>
      <c r="M391" t="s">
        <v>1036</v>
      </c>
      <c r="N391">
        <v>47.77</v>
      </c>
    </row>
    <row r="392" spans="1:14" x14ac:dyDescent="0.3">
      <c r="A392" t="s">
        <v>150</v>
      </c>
      <c r="B392" t="s">
        <v>1018</v>
      </c>
      <c r="C392" t="s">
        <v>1027</v>
      </c>
      <c r="D392">
        <v>38</v>
      </c>
      <c r="E392">
        <v>9</v>
      </c>
      <c r="F392" s="3">
        <v>46503</v>
      </c>
      <c r="G392">
        <v>38</v>
      </c>
      <c r="H392">
        <v>1</v>
      </c>
      <c r="I392">
        <v>15</v>
      </c>
      <c r="J392">
        <v>27</v>
      </c>
      <c r="K392">
        <v>2.5</v>
      </c>
      <c r="L392" s="3">
        <v>5.7</v>
      </c>
      <c r="M392" t="s">
        <v>1036</v>
      </c>
      <c r="N392">
        <v>43.37</v>
      </c>
    </row>
    <row r="393" spans="1:14" x14ac:dyDescent="0.3">
      <c r="A393" t="s">
        <v>185</v>
      </c>
      <c r="B393" t="s">
        <v>1016</v>
      </c>
      <c r="C393" t="s">
        <v>1023</v>
      </c>
      <c r="D393">
        <v>39</v>
      </c>
      <c r="E393">
        <v>3</v>
      </c>
      <c r="F393" s="3">
        <v>77385</v>
      </c>
      <c r="G393">
        <v>46</v>
      </c>
      <c r="H393">
        <v>7</v>
      </c>
      <c r="I393">
        <v>12</v>
      </c>
      <c r="J393">
        <v>28</v>
      </c>
      <c r="K393">
        <v>4.7</v>
      </c>
      <c r="L393" s="3">
        <v>5.7</v>
      </c>
      <c r="M393" t="s">
        <v>1036</v>
      </c>
      <c r="N393">
        <v>59.97</v>
      </c>
    </row>
    <row r="394" spans="1:14" x14ac:dyDescent="0.3">
      <c r="A394" t="s">
        <v>206</v>
      </c>
      <c r="B394" t="s">
        <v>1017</v>
      </c>
      <c r="C394" t="s">
        <v>1024</v>
      </c>
      <c r="D394">
        <v>29</v>
      </c>
      <c r="E394">
        <v>4</v>
      </c>
      <c r="F394" s="3">
        <v>54464</v>
      </c>
      <c r="G394">
        <v>42</v>
      </c>
      <c r="H394">
        <v>3</v>
      </c>
      <c r="I394">
        <v>3</v>
      </c>
      <c r="J394">
        <v>3</v>
      </c>
      <c r="K394">
        <v>2.9</v>
      </c>
      <c r="L394" s="3">
        <v>5.7</v>
      </c>
      <c r="M394" t="s">
        <v>1036</v>
      </c>
      <c r="N394">
        <v>47.9</v>
      </c>
    </row>
    <row r="395" spans="1:14" x14ac:dyDescent="0.3">
      <c r="A395" t="s">
        <v>265</v>
      </c>
      <c r="B395" t="s">
        <v>1015</v>
      </c>
      <c r="C395" t="s">
        <v>1020</v>
      </c>
      <c r="D395">
        <v>37</v>
      </c>
      <c r="E395">
        <v>7</v>
      </c>
      <c r="F395" s="3">
        <v>44659</v>
      </c>
      <c r="G395">
        <v>37</v>
      </c>
      <c r="H395">
        <v>11</v>
      </c>
      <c r="I395">
        <v>20</v>
      </c>
      <c r="J395">
        <v>2</v>
      </c>
      <c r="K395">
        <v>2.2999999999999998</v>
      </c>
      <c r="L395" s="3">
        <v>5.7</v>
      </c>
      <c r="M395" t="s">
        <v>1036</v>
      </c>
      <c r="N395">
        <v>59.43</v>
      </c>
    </row>
    <row r="396" spans="1:14" x14ac:dyDescent="0.3">
      <c r="A396" t="s">
        <v>292</v>
      </c>
      <c r="B396" t="s">
        <v>1017</v>
      </c>
      <c r="C396" t="s">
        <v>1024</v>
      </c>
      <c r="D396">
        <v>47</v>
      </c>
      <c r="E396">
        <v>0</v>
      </c>
      <c r="F396" s="3">
        <v>73325</v>
      </c>
      <c r="G396">
        <v>54</v>
      </c>
      <c r="H396">
        <v>15</v>
      </c>
      <c r="I396">
        <v>6</v>
      </c>
      <c r="J396">
        <v>28</v>
      </c>
      <c r="K396">
        <v>3.8</v>
      </c>
      <c r="L396" s="3">
        <v>5.7</v>
      </c>
      <c r="M396" t="s">
        <v>1036</v>
      </c>
      <c r="N396">
        <v>70.599999999999994</v>
      </c>
    </row>
    <row r="397" spans="1:14" x14ac:dyDescent="0.3">
      <c r="A397" t="s">
        <v>318</v>
      </c>
      <c r="B397" t="s">
        <v>1017</v>
      </c>
      <c r="C397" t="s">
        <v>1026</v>
      </c>
      <c r="D397">
        <v>35</v>
      </c>
      <c r="E397">
        <v>1</v>
      </c>
      <c r="F397" s="3">
        <v>83759</v>
      </c>
      <c r="G397">
        <v>38</v>
      </c>
      <c r="H397">
        <v>3</v>
      </c>
      <c r="I397">
        <v>24</v>
      </c>
      <c r="J397">
        <v>7</v>
      </c>
      <c r="K397">
        <v>3.8</v>
      </c>
      <c r="L397" s="3">
        <v>5.7</v>
      </c>
      <c r="M397" t="s">
        <v>1036</v>
      </c>
      <c r="N397">
        <v>50.6</v>
      </c>
    </row>
    <row r="398" spans="1:14" x14ac:dyDescent="0.3">
      <c r="A398" t="s">
        <v>388</v>
      </c>
      <c r="B398" t="s">
        <v>1015</v>
      </c>
      <c r="C398" t="s">
        <v>1029</v>
      </c>
      <c r="D398">
        <v>44</v>
      </c>
      <c r="E398">
        <v>11</v>
      </c>
      <c r="F398" s="3">
        <v>35716</v>
      </c>
      <c r="G398">
        <v>43</v>
      </c>
      <c r="H398">
        <v>12</v>
      </c>
      <c r="I398">
        <v>22</v>
      </c>
      <c r="J398">
        <v>5</v>
      </c>
      <c r="K398">
        <v>2.9</v>
      </c>
      <c r="L398" s="3">
        <v>5.7</v>
      </c>
      <c r="M398" t="s">
        <v>1036</v>
      </c>
      <c r="N398">
        <v>62.9</v>
      </c>
    </row>
    <row r="399" spans="1:14" x14ac:dyDescent="0.3">
      <c r="A399" t="s">
        <v>492</v>
      </c>
      <c r="B399" t="s">
        <v>1017</v>
      </c>
      <c r="C399" t="s">
        <v>1026</v>
      </c>
      <c r="D399">
        <v>27</v>
      </c>
      <c r="E399">
        <v>0</v>
      </c>
      <c r="F399" s="3">
        <v>42241</v>
      </c>
      <c r="G399">
        <v>42</v>
      </c>
      <c r="H399">
        <v>6</v>
      </c>
      <c r="I399">
        <v>2</v>
      </c>
      <c r="J399">
        <v>38</v>
      </c>
      <c r="K399">
        <v>2.1</v>
      </c>
      <c r="L399" s="3">
        <v>5.7</v>
      </c>
      <c r="M399" t="s">
        <v>1036</v>
      </c>
      <c r="N399">
        <v>50.5</v>
      </c>
    </row>
    <row r="400" spans="1:14" x14ac:dyDescent="0.3">
      <c r="A400" t="s">
        <v>665</v>
      </c>
      <c r="B400" t="s">
        <v>1017</v>
      </c>
      <c r="C400" t="s">
        <v>1030</v>
      </c>
      <c r="D400">
        <v>40</v>
      </c>
      <c r="E400">
        <v>6</v>
      </c>
      <c r="F400" s="3">
        <v>36574</v>
      </c>
      <c r="G400">
        <v>52</v>
      </c>
      <c r="H400">
        <v>1</v>
      </c>
      <c r="I400">
        <v>12</v>
      </c>
      <c r="J400">
        <v>12</v>
      </c>
      <c r="K400">
        <v>2.9</v>
      </c>
      <c r="L400" s="3">
        <v>5.7</v>
      </c>
      <c r="M400" t="s">
        <v>1036</v>
      </c>
      <c r="N400">
        <v>44.57</v>
      </c>
    </row>
    <row r="401" spans="1:14" x14ac:dyDescent="0.3">
      <c r="A401" t="s">
        <v>743</v>
      </c>
      <c r="B401" t="s">
        <v>1014</v>
      </c>
      <c r="C401" t="s">
        <v>1025</v>
      </c>
      <c r="D401">
        <v>28</v>
      </c>
      <c r="E401">
        <v>0</v>
      </c>
      <c r="F401" s="3">
        <v>79415</v>
      </c>
      <c r="G401">
        <v>37</v>
      </c>
      <c r="H401">
        <v>8</v>
      </c>
      <c r="I401">
        <v>21</v>
      </c>
      <c r="J401">
        <v>1</v>
      </c>
      <c r="K401">
        <v>4.9000000000000004</v>
      </c>
      <c r="L401" s="3">
        <v>5.7</v>
      </c>
      <c r="M401" t="s">
        <v>1036</v>
      </c>
      <c r="N401">
        <v>62.23</v>
      </c>
    </row>
    <row r="402" spans="1:14" x14ac:dyDescent="0.3">
      <c r="A402" t="s">
        <v>862</v>
      </c>
      <c r="B402" t="s">
        <v>1016</v>
      </c>
      <c r="C402" t="s">
        <v>1033</v>
      </c>
      <c r="D402">
        <v>32</v>
      </c>
      <c r="E402">
        <v>0</v>
      </c>
      <c r="F402" s="3">
        <v>28943</v>
      </c>
      <c r="G402">
        <v>50</v>
      </c>
      <c r="H402">
        <v>5</v>
      </c>
      <c r="I402">
        <v>19</v>
      </c>
      <c r="J402">
        <v>16</v>
      </c>
      <c r="K402">
        <v>4.5</v>
      </c>
      <c r="L402" s="3">
        <v>5.7</v>
      </c>
      <c r="M402" t="s">
        <v>1036</v>
      </c>
      <c r="N402">
        <v>56.03</v>
      </c>
    </row>
    <row r="403" spans="1:14" x14ac:dyDescent="0.3">
      <c r="A403" t="s">
        <v>31</v>
      </c>
      <c r="B403" t="s">
        <v>1018</v>
      </c>
      <c r="C403" t="s">
        <v>1027</v>
      </c>
      <c r="D403">
        <v>38</v>
      </c>
      <c r="E403">
        <v>13</v>
      </c>
      <c r="F403" s="3">
        <v>88200</v>
      </c>
      <c r="G403">
        <v>41</v>
      </c>
      <c r="H403">
        <v>15</v>
      </c>
      <c r="I403">
        <v>17</v>
      </c>
      <c r="J403">
        <v>12</v>
      </c>
      <c r="K403">
        <v>4.0999999999999996</v>
      </c>
      <c r="L403" s="3">
        <v>5.8</v>
      </c>
      <c r="M403" t="s">
        <v>1036</v>
      </c>
      <c r="N403">
        <v>72.099999999999994</v>
      </c>
    </row>
    <row r="404" spans="1:14" x14ac:dyDescent="0.3">
      <c r="A404" t="s">
        <v>43</v>
      </c>
      <c r="B404" t="s">
        <v>1014</v>
      </c>
      <c r="C404" t="s">
        <v>1025</v>
      </c>
      <c r="D404">
        <v>48</v>
      </c>
      <c r="E404">
        <v>10</v>
      </c>
      <c r="F404" s="3">
        <v>86256</v>
      </c>
      <c r="G404">
        <v>43</v>
      </c>
      <c r="H404">
        <v>4</v>
      </c>
      <c r="I404">
        <v>21</v>
      </c>
      <c r="J404">
        <v>20</v>
      </c>
      <c r="K404">
        <v>2.7</v>
      </c>
      <c r="L404" s="3">
        <v>5.8</v>
      </c>
      <c r="M404" t="s">
        <v>1036</v>
      </c>
      <c r="N404">
        <v>49.57</v>
      </c>
    </row>
    <row r="405" spans="1:14" x14ac:dyDescent="0.3">
      <c r="A405" t="s">
        <v>51</v>
      </c>
      <c r="B405" t="s">
        <v>1016</v>
      </c>
      <c r="C405" t="s">
        <v>1022</v>
      </c>
      <c r="D405">
        <v>35</v>
      </c>
      <c r="E405">
        <v>10</v>
      </c>
      <c r="F405" s="3">
        <v>41353</v>
      </c>
      <c r="G405">
        <v>38</v>
      </c>
      <c r="H405">
        <v>6</v>
      </c>
      <c r="I405">
        <v>24</v>
      </c>
      <c r="J405">
        <v>35</v>
      </c>
      <c r="K405">
        <v>4.7</v>
      </c>
      <c r="L405" s="3">
        <v>5.8</v>
      </c>
      <c r="M405" t="s">
        <v>1036</v>
      </c>
      <c r="N405">
        <v>58.9</v>
      </c>
    </row>
    <row r="406" spans="1:14" x14ac:dyDescent="0.3">
      <c r="A406" t="s">
        <v>83</v>
      </c>
      <c r="B406" t="s">
        <v>1016</v>
      </c>
      <c r="C406" t="s">
        <v>1022</v>
      </c>
      <c r="D406">
        <v>39</v>
      </c>
      <c r="E406">
        <v>8</v>
      </c>
      <c r="F406" s="3">
        <v>61424</v>
      </c>
      <c r="G406">
        <v>35</v>
      </c>
      <c r="H406">
        <v>9</v>
      </c>
      <c r="I406">
        <v>6</v>
      </c>
      <c r="J406">
        <v>5</v>
      </c>
      <c r="K406">
        <v>2.7</v>
      </c>
      <c r="L406" s="3">
        <v>5.8</v>
      </c>
      <c r="M406" t="s">
        <v>1036</v>
      </c>
      <c r="N406">
        <v>57.9</v>
      </c>
    </row>
    <row r="407" spans="1:14" x14ac:dyDescent="0.3">
      <c r="A407" t="s">
        <v>153</v>
      </c>
      <c r="B407" t="s">
        <v>1015</v>
      </c>
      <c r="C407" t="s">
        <v>1029</v>
      </c>
      <c r="D407">
        <v>51</v>
      </c>
      <c r="E407">
        <v>11</v>
      </c>
      <c r="F407" s="3">
        <v>30775</v>
      </c>
      <c r="G407">
        <v>48</v>
      </c>
      <c r="H407">
        <v>14</v>
      </c>
      <c r="I407">
        <v>3</v>
      </c>
      <c r="J407">
        <v>15</v>
      </c>
      <c r="K407">
        <v>3.3</v>
      </c>
      <c r="L407" s="3">
        <v>5.8</v>
      </c>
      <c r="M407" t="s">
        <v>1036</v>
      </c>
      <c r="N407">
        <v>68.03</v>
      </c>
    </row>
    <row r="408" spans="1:14" x14ac:dyDescent="0.3">
      <c r="A408" t="s">
        <v>196</v>
      </c>
      <c r="B408" t="s">
        <v>1015</v>
      </c>
      <c r="C408" t="s">
        <v>1020</v>
      </c>
      <c r="D408">
        <v>45</v>
      </c>
      <c r="E408">
        <v>14</v>
      </c>
      <c r="F408" s="3">
        <v>77668</v>
      </c>
      <c r="G408">
        <v>52</v>
      </c>
      <c r="H408">
        <v>3</v>
      </c>
      <c r="I408">
        <v>19</v>
      </c>
      <c r="J408">
        <v>5</v>
      </c>
      <c r="K408">
        <v>2.2000000000000002</v>
      </c>
      <c r="L408" s="3">
        <v>5.8</v>
      </c>
      <c r="M408" t="s">
        <v>1036</v>
      </c>
      <c r="N408">
        <v>46.4</v>
      </c>
    </row>
    <row r="409" spans="1:14" x14ac:dyDescent="0.3">
      <c r="A409" t="s">
        <v>214</v>
      </c>
      <c r="B409" t="s">
        <v>1017</v>
      </c>
      <c r="C409" t="s">
        <v>1024</v>
      </c>
      <c r="D409">
        <v>31</v>
      </c>
      <c r="E409">
        <v>9</v>
      </c>
      <c r="F409" s="3">
        <v>83532</v>
      </c>
      <c r="G409">
        <v>51</v>
      </c>
      <c r="H409">
        <v>3</v>
      </c>
      <c r="I409">
        <v>10</v>
      </c>
      <c r="J409">
        <v>39</v>
      </c>
      <c r="K409">
        <v>3</v>
      </c>
      <c r="L409" s="3">
        <v>5.8</v>
      </c>
      <c r="M409" t="s">
        <v>1036</v>
      </c>
      <c r="N409">
        <v>48.8</v>
      </c>
    </row>
    <row r="410" spans="1:14" x14ac:dyDescent="0.3">
      <c r="A410" t="s">
        <v>222</v>
      </c>
      <c r="B410" t="s">
        <v>1016</v>
      </c>
      <c r="C410" t="s">
        <v>1033</v>
      </c>
      <c r="D410">
        <v>39</v>
      </c>
      <c r="E410">
        <v>9</v>
      </c>
      <c r="F410" s="3">
        <v>32987</v>
      </c>
      <c r="G410">
        <v>53</v>
      </c>
      <c r="H410">
        <v>11</v>
      </c>
      <c r="I410">
        <v>17</v>
      </c>
      <c r="J410">
        <v>24</v>
      </c>
      <c r="K410">
        <v>4.7</v>
      </c>
      <c r="L410" s="3">
        <v>5.8</v>
      </c>
      <c r="M410" t="s">
        <v>1036</v>
      </c>
      <c r="N410">
        <v>67.23</v>
      </c>
    </row>
    <row r="411" spans="1:14" x14ac:dyDescent="0.3">
      <c r="A411" t="s">
        <v>348</v>
      </c>
      <c r="B411" t="s">
        <v>1014</v>
      </c>
      <c r="C411" t="s">
        <v>1019</v>
      </c>
      <c r="D411">
        <v>24</v>
      </c>
      <c r="E411">
        <v>3</v>
      </c>
      <c r="F411" s="3">
        <v>28318</v>
      </c>
      <c r="G411">
        <v>40</v>
      </c>
      <c r="H411">
        <v>15</v>
      </c>
      <c r="I411">
        <v>18</v>
      </c>
      <c r="J411">
        <v>27</v>
      </c>
      <c r="K411">
        <v>4.5</v>
      </c>
      <c r="L411" s="3">
        <v>5.8</v>
      </c>
      <c r="M411" t="s">
        <v>1036</v>
      </c>
      <c r="N411">
        <v>73.3</v>
      </c>
    </row>
    <row r="412" spans="1:14" x14ac:dyDescent="0.3">
      <c r="A412" t="s">
        <v>403</v>
      </c>
      <c r="B412" t="s">
        <v>1015</v>
      </c>
      <c r="C412" t="s">
        <v>1021</v>
      </c>
      <c r="D412">
        <v>32</v>
      </c>
      <c r="E412">
        <v>7</v>
      </c>
      <c r="F412" s="3">
        <v>76459</v>
      </c>
      <c r="G412">
        <v>37</v>
      </c>
      <c r="H412">
        <v>3</v>
      </c>
      <c r="I412">
        <v>19</v>
      </c>
      <c r="J412">
        <v>27</v>
      </c>
      <c r="K412">
        <v>3.9</v>
      </c>
      <c r="L412" s="3">
        <v>5.8</v>
      </c>
      <c r="M412" t="s">
        <v>1036</v>
      </c>
      <c r="N412">
        <v>51.5</v>
      </c>
    </row>
    <row r="413" spans="1:14" x14ac:dyDescent="0.3">
      <c r="A413" t="s">
        <v>495</v>
      </c>
      <c r="B413" t="s">
        <v>1018</v>
      </c>
      <c r="C413" t="s">
        <v>1028</v>
      </c>
      <c r="D413">
        <v>22</v>
      </c>
      <c r="E413">
        <v>0</v>
      </c>
      <c r="F413" s="3">
        <v>30691</v>
      </c>
      <c r="G413">
        <v>43</v>
      </c>
      <c r="H413">
        <v>13</v>
      </c>
      <c r="I413">
        <v>12</v>
      </c>
      <c r="J413">
        <v>22</v>
      </c>
      <c r="K413">
        <v>4</v>
      </c>
      <c r="L413" s="3">
        <v>5.8</v>
      </c>
      <c r="M413" t="s">
        <v>1036</v>
      </c>
      <c r="N413">
        <v>68.47</v>
      </c>
    </row>
    <row r="414" spans="1:14" x14ac:dyDescent="0.3">
      <c r="A414" t="s">
        <v>519</v>
      </c>
      <c r="B414" t="s">
        <v>1018</v>
      </c>
      <c r="C414" t="s">
        <v>1028</v>
      </c>
      <c r="D414">
        <v>23</v>
      </c>
      <c r="E414">
        <v>0</v>
      </c>
      <c r="F414" s="3">
        <v>72695</v>
      </c>
      <c r="G414">
        <v>42</v>
      </c>
      <c r="H414">
        <v>11</v>
      </c>
      <c r="I414">
        <v>8</v>
      </c>
      <c r="J414">
        <v>5</v>
      </c>
      <c r="K414">
        <v>2.6</v>
      </c>
      <c r="L414" s="3">
        <v>5.8</v>
      </c>
      <c r="M414" t="s">
        <v>1036</v>
      </c>
      <c r="N414">
        <v>60.93</v>
      </c>
    </row>
    <row r="415" spans="1:14" x14ac:dyDescent="0.3">
      <c r="A415" t="s">
        <v>585</v>
      </c>
      <c r="B415" t="s">
        <v>1017</v>
      </c>
      <c r="C415" t="s">
        <v>1024</v>
      </c>
      <c r="D415">
        <v>37</v>
      </c>
      <c r="E415">
        <v>13</v>
      </c>
      <c r="F415" s="3">
        <v>51533</v>
      </c>
      <c r="G415">
        <v>36</v>
      </c>
      <c r="H415">
        <v>10</v>
      </c>
      <c r="I415">
        <v>23</v>
      </c>
      <c r="J415">
        <v>24</v>
      </c>
      <c r="K415">
        <v>4.2</v>
      </c>
      <c r="L415" s="3">
        <v>5.8</v>
      </c>
      <c r="M415" t="s">
        <v>1036</v>
      </c>
      <c r="N415">
        <v>64.069999999999993</v>
      </c>
    </row>
    <row r="416" spans="1:14" x14ac:dyDescent="0.3">
      <c r="A416" t="s">
        <v>690</v>
      </c>
      <c r="B416" t="s">
        <v>1014</v>
      </c>
      <c r="C416" t="s">
        <v>1019</v>
      </c>
      <c r="D416">
        <v>50</v>
      </c>
      <c r="E416">
        <v>15</v>
      </c>
      <c r="F416" s="3">
        <v>40762</v>
      </c>
      <c r="G416">
        <v>37</v>
      </c>
      <c r="H416">
        <v>9</v>
      </c>
      <c r="I416">
        <v>24</v>
      </c>
      <c r="J416">
        <v>0</v>
      </c>
      <c r="K416">
        <v>4.0999999999999996</v>
      </c>
      <c r="L416" s="3">
        <v>5.8</v>
      </c>
      <c r="M416" t="s">
        <v>1036</v>
      </c>
      <c r="N416">
        <v>62.1</v>
      </c>
    </row>
    <row r="417" spans="1:14" x14ac:dyDescent="0.3">
      <c r="A417" t="s">
        <v>711</v>
      </c>
      <c r="B417" t="s">
        <v>1018</v>
      </c>
      <c r="C417" t="s">
        <v>1032</v>
      </c>
      <c r="D417">
        <v>39</v>
      </c>
      <c r="E417">
        <v>6</v>
      </c>
      <c r="F417" s="3">
        <v>26477</v>
      </c>
      <c r="G417">
        <v>37</v>
      </c>
      <c r="H417">
        <v>9</v>
      </c>
      <c r="I417">
        <v>14</v>
      </c>
      <c r="J417">
        <v>5</v>
      </c>
      <c r="K417">
        <v>4.9000000000000004</v>
      </c>
      <c r="L417" s="3">
        <v>5.8</v>
      </c>
      <c r="M417" t="s">
        <v>1036</v>
      </c>
      <c r="N417">
        <v>64.5</v>
      </c>
    </row>
    <row r="418" spans="1:14" x14ac:dyDescent="0.3">
      <c r="A418" t="s">
        <v>739</v>
      </c>
      <c r="B418" t="s">
        <v>1017</v>
      </c>
      <c r="C418" t="s">
        <v>1024</v>
      </c>
      <c r="D418">
        <v>28</v>
      </c>
      <c r="E418">
        <v>6</v>
      </c>
      <c r="F418" s="3">
        <v>53708</v>
      </c>
      <c r="G418">
        <v>51</v>
      </c>
      <c r="H418">
        <v>11</v>
      </c>
      <c r="I418">
        <v>21</v>
      </c>
      <c r="J418">
        <v>5</v>
      </c>
      <c r="K418">
        <v>2.4</v>
      </c>
      <c r="L418" s="3">
        <v>5.8</v>
      </c>
      <c r="M418" t="s">
        <v>1036</v>
      </c>
      <c r="N418">
        <v>60.33</v>
      </c>
    </row>
    <row r="419" spans="1:14" x14ac:dyDescent="0.3">
      <c r="A419" t="s">
        <v>858</v>
      </c>
      <c r="B419" t="s">
        <v>1015</v>
      </c>
      <c r="C419" t="s">
        <v>1021</v>
      </c>
      <c r="D419">
        <v>54</v>
      </c>
      <c r="E419">
        <v>12</v>
      </c>
      <c r="F419" s="3">
        <v>87217</v>
      </c>
      <c r="G419">
        <v>38</v>
      </c>
      <c r="H419">
        <v>5</v>
      </c>
      <c r="I419">
        <v>1</v>
      </c>
      <c r="J419">
        <v>20</v>
      </c>
      <c r="K419">
        <v>3.4</v>
      </c>
      <c r="L419" s="3">
        <v>5.8</v>
      </c>
      <c r="M419" t="s">
        <v>1036</v>
      </c>
      <c r="N419">
        <v>53.33</v>
      </c>
    </row>
    <row r="420" spans="1:14" x14ac:dyDescent="0.3">
      <c r="A420" t="s">
        <v>967</v>
      </c>
      <c r="B420" t="s">
        <v>1014</v>
      </c>
      <c r="C420" t="s">
        <v>1025</v>
      </c>
      <c r="D420">
        <v>45</v>
      </c>
      <c r="E420">
        <v>1</v>
      </c>
      <c r="F420" s="3">
        <v>88543</v>
      </c>
      <c r="G420">
        <v>45</v>
      </c>
      <c r="H420">
        <v>11</v>
      </c>
      <c r="I420">
        <v>14</v>
      </c>
      <c r="J420">
        <v>14</v>
      </c>
      <c r="K420">
        <v>3.8</v>
      </c>
      <c r="L420" s="3">
        <v>5.8</v>
      </c>
      <c r="M420" t="s">
        <v>1036</v>
      </c>
      <c r="N420">
        <v>64.53</v>
      </c>
    </row>
    <row r="421" spans="1:14" x14ac:dyDescent="0.3">
      <c r="A421" t="s">
        <v>218</v>
      </c>
      <c r="B421" t="s">
        <v>1014</v>
      </c>
      <c r="C421" t="s">
        <v>1025</v>
      </c>
      <c r="D421">
        <v>34</v>
      </c>
      <c r="E421">
        <v>0</v>
      </c>
      <c r="F421" s="3">
        <v>53903</v>
      </c>
      <c r="G421">
        <v>45</v>
      </c>
      <c r="H421">
        <v>7</v>
      </c>
      <c r="I421">
        <v>4</v>
      </c>
      <c r="J421">
        <v>26</v>
      </c>
      <c r="K421">
        <v>4.0999999999999996</v>
      </c>
      <c r="L421" s="3">
        <v>5.9</v>
      </c>
      <c r="M421" t="s">
        <v>1036</v>
      </c>
      <c r="N421">
        <v>59.37</v>
      </c>
    </row>
    <row r="422" spans="1:14" x14ac:dyDescent="0.3">
      <c r="A422" t="s">
        <v>389</v>
      </c>
      <c r="B422" t="s">
        <v>1015</v>
      </c>
      <c r="C422" t="s">
        <v>1029</v>
      </c>
      <c r="D422">
        <v>35</v>
      </c>
      <c r="E422">
        <v>13</v>
      </c>
      <c r="F422" s="3">
        <v>39506</v>
      </c>
      <c r="G422">
        <v>55</v>
      </c>
      <c r="H422">
        <v>4</v>
      </c>
      <c r="I422">
        <v>21</v>
      </c>
      <c r="J422">
        <v>13</v>
      </c>
      <c r="K422">
        <v>2.8</v>
      </c>
      <c r="L422" s="3">
        <v>5.9</v>
      </c>
      <c r="M422" t="s">
        <v>1036</v>
      </c>
      <c r="N422">
        <v>50.47</v>
      </c>
    </row>
    <row r="423" spans="1:14" x14ac:dyDescent="0.3">
      <c r="A423" t="s">
        <v>426</v>
      </c>
      <c r="B423" t="s">
        <v>1017</v>
      </c>
      <c r="C423" t="s">
        <v>1024</v>
      </c>
      <c r="D423">
        <v>42</v>
      </c>
      <c r="E423">
        <v>3</v>
      </c>
      <c r="F423" s="3">
        <v>89269</v>
      </c>
      <c r="G423">
        <v>50</v>
      </c>
      <c r="H423">
        <v>12</v>
      </c>
      <c r="I423">
        <v>20</v>
      </c>
      <c r="J423">
        <v>1</v>
      </c>
      <c r="K423">
        <v>2.2999999999999998</v>
      </c>
      <c r="L423" s="3">
        <v>5.9</v>
      </c>
      <c r="M423" t="s">
        <v>1036</v>
      </c>
      <c r="N423">
        <v>62.3</v>
      </c>
    </row>
    <row r="424" spans="1:14" x14ac:dyDescent="0.3">
      <c r="A424" t="s">
        <v>514</v>
      </c>
      <c r="B424" t="s">
        <v>1016</v>
      </c>
      <c r="C424" t="s">
        <v>1033</v>
      </c>
      <c r="D424">
        <v>38</v>
      </c>
      <c r="E424">
        <v>11</v>
      </c>
      <c r="F424" s="3">
        <v>48613</v>
      </c>
      <c r="G424">
        <v>52</v>
      </c>
      <c r="H424">
        <v>9</v>
      </c>
      <c r="I424">
        <v>25</v>
      </c>
      <c r="J424">
        <v>16</v>
      </c>
      <c r="K424">
        <v>3</v>
      </c>
      <c r="L424" s="3">
        <v>5.9</v>
      </c>
      <c r="M424" t="s">
        <v>1036</v>
      </c>
      <c r="N424">
        <v>59.4</v>
      </c>
    </row>
    <row r="425" spans="1:14" x14ac:dyDescent="0.3">
      <c r="A425" t="s">
        <v>600</v>
      </c>
      <c r="B425" t="s">
        <v>1014</v>
      </c>
      <c r="C425" t="s">
        <v>1019</v>
      </c>
      <c r="D425">
        <v>49</v>
      </c>
      <c r="E425">
        <v>2</v>
      </c>
      <c r="F425" s="3">
        <v>44191</v>
      </c>
      <c r="G425">
        <v>50</v>
      </c>
      <c r="H425">
        <v>3</v>
      </c>
      <c r="I425">
        <v>3</v>
      </c>
      <c r="J425">
        <v>17</v>
      </c>
      <c r="K425">
        <v>3</v>
      </c>
      <c r="L425" s="3">
        <v>5.9</v>
      </c>
      <c r="M425" t="s">
        <v>1036</v>
      </c>
      <c r="N425">
        <v>49.4</v>
      </c>
    </row>
    <row r="426" spans="1:14" x14ac:dyDescent="0.3">
      <c r="A426" t="s">
        <v>604</v>
      </c>
      <c r="B426" t="s">
        <v>1014</v>
      </c>
      <c r="C426" t="s">
        <v>1031</v>
      </c>
      <c r="D426">
        <v>23</v>
      </c>
      <c r="E426">
        <v>1</v>
      </c>
      <c r="F426" s="3">
        <v>65990</v>
      </c>
      <c r="G426">
        <v>38</v>
      </c>
      <c r="H426">
        <v>12</v>
      </c>
      <c r="I426">
        <v>6</v>
      </c>
      <c r="J426">
        <v>39</v>
      </c>
      <c r="K426">
        <v>5</v>
      </c>
      <c r="L426" s="3">
        <v>5.9</v>
      </c>
      <c r="M426" t="s">
        <v>1036</v>
      </c>
      <c r="N426">
        <v>70.400000000000006</v>
      </c>
    </row>
    <row r="427" spans="1:14" x14ac:dyDescent="0.3">
      <c r="A427" t="s">
        <v>675</v>
      </c>
      <c r="B427" t="s">
        <v>1014</v>
      </c>
      <c r="C427" t="s">
        <v>1031</v>
      </c>
      <c r="D427">
        <v>22</v>
      </c>
      <c r="E427">
        <v>0</v>
      </c>
      <c r="F427" s="3">
        <v>36758</v>
      </c>
      <c r="G427">
        <v>37</v>
      </c>
      <c r="H427">
        <v>12</v>
      </c>
      <c r="I427">
        <v>20</v>
      </c>
      <c r="J427">
        <v>37</v>
      </c>
      <c r="K427">
        <v>4.7</v>
      </c>
      <c r="L427" s="3">
        <v>5.9</v>
      </c>
      <c r="M427" t="s">
        <v>1036</v>
      </c>
      <c r="N427">
        <v>69.5</v>
      </c>
    </row>
    <row r="428" spans="1:14" x14ac:dyDescent="0.3">
      <c r="A428" t="s">
        <v>751</v>
      </c>
      <c r="B428" t="s">
        <v>1015</v>
      </c>
      <c r="C428" t="s">
        <v>1029</v>
      </c>
      <c r="D428">
        <v>23</v>
      </c>
      <c r="E428">
        <v>2</v>
      </c>
      <c r="F428" s="3">
        <v>47364</v>
      </c>
      <c r="G428">
        <v>47</v>
      </c>
      <c r="H428">
        <v>2</v>
      </c>
      <c r="I428">
        <v>13</v>
      </c>
      <c r="J428">
        <v>22</v>
      </c>
      <c r="K428">
        <v>5</v>
      </c>
      <c r="L428" s="3">
        <v>5.9</v>
      </c>
      <c r="M428" t="s">
        <v>1036</v>
      </c>
      <c r="N428">
        <v>53.73</v>
      </c>
    </row>
    <row r="429" spans="1:14" x14ac:dyDescent="0.3">
      <c r="A429" t="s">
        <v>774</v>
      </c>
      <c r="B429" t="s">
        <v>1017</v>
      </c>
      <c r="C429" t="s">
        <v>1026</v>
      </c>
      <c r="D429">
        <v>24</v>
      </c>
      <c r="E429">
        <v>2</v>
      </c>
      <c r="F429" s="3">
        <v>81783</v>
      </c>
      <c r="G429">
        <v>37</v>
      </c>
      <c r="H429">
        <v>14</v>
      </c>
      <c r="I429">
        <v>24</v>
      </c>
      <c r="J429">
        <v>31</v>
      </c>
      <c r="K429">
        <v>3.4</v>
      </c>
      <c r="L429" s="3">
        <v>5.9</v>
      </c>
      <c r="M429" t="s">
        <v>1036</v>
      </c>
      <c r="N429">
        <v>68.930000000000007</v>
      </c>
    </row>
    <row r="430" spans="1:14" x14ac:dyDescent="0.3">
      <c r="A430" t="s">
        <v>903</v>
      </c>
      <c r="B430" t="s">
        <v>1015</v>
      </c>
      <c r="C430" t="s">
        <v>1021</v>
      </c>
      <c r="D430">
        <v>24</v>
      </c>
      <c r="E430">
        <v>3</v>
      </c>
      <c r="F430" s="3">
        <v>58571</v>
      </c>
      <c r="G430">
        <v>54</v>
      </c>
      <c r="H430">
        <v>6</v>
      </c>
      <c r="I430">
        <v>13</v>
      </c>
      <c r="J430">
        <v>28</v>
      </c>
      <c r="K430">
        <v>3.4</v>
      </c>
      <c r="L430" s="3">
        <v>5.9</v>
      </c>
      <c r="M430" t="s">
        <v>1036</v>
      </c>
      <c r="N430">
        <v>55.6</v>
      </c>
    </row>
    <row r="431" spans="1:14" x14ac:dyDescent="0.3">
      <c r="A431" t="s">
        <v>922</v>
      </c>
      <c r="B431" t="s">
        <v>1018</v>
      </c>
      <c r="C431" t="s">
        <v>1027</v>
      </c>
      <c r="D431">
        <v>39</v>
      </c>
      <c r="E431">
        <v>9</v>
      </c>
      <c r="F431" s="3">
        <v>68690</v>
      </c>
      <c r="G431">
        <v>37</v>
      </c>
      <c r="H431">
        <v>12</v>
      </c>
      <c r="I431">
        <v>23</v>
      </c>
      <c r="J431">
        <v>13</v>
      </c>
      <c r="K431">
        <v>4.7</v>
      </c>
      <c r="L431" s="3">
        <v>5.9</v>
      </c>
      <c r="M431" t="s">
        <v>1036</v>
      </c>
      <c r="N431">
        <v>69.5</v>
      </c>
    </row>
    <row r="432" spans="1:14" x14ac:dyDescent="0.3">
      <c r="A432" t="s">
        <v>999</v>
      </c>
      <c r="B432" t="s">
        <v>1014</v>
      </c>
      <c r="C432" t="s">
        <v>1019</v>
      </c>
      <c r="D432">
        <v>39</v>
      </c>
      <c r="E432">
        <v>6</v>
      </c>
      <c r="F432" s="3">
        <v>71821</v>
      </c>
      <c r="G432">
        <v>46</v>
      </c>
      <c r="H432">
        <v>10</v>
      </c>
      <c r="I432">
        <v>21</v>
      </c>
      <c r="J432">
        <v>32</v>
      </c>
      <c r="K432">
        <v>3.8</v>
      </c>
      <c r="L432" s="3">
        <v>5.9</v>
      </c>
      <c r="M432" t="s">
        <v>1036</v>
      </c>
      <c r="N432">
        <v>63.47</v>
      </c>
    </row>
    <row r="433" spans="1:14" x14ac:dyDescent="0.3">
      <c r="A433" t="s">
        <v>113</v>
      </c>
      <c r="B433" t="s">
        <v>1017</v>
      </c>
      <c r="C433" t="s">
        <v>1030</v>
      </c>
      <c r="D433">
        <v>24</v>
      </c>
      <c r="E433">
        <v>0</v>
      </c>
      <c r="F433" s="3">
        <v>40385</v>
      </c>
      <c r="G433">
        <v>55</v>
      </c>
      <c r="H433">
        <v>11</v>
      </c>
      <c r="I433">
        <v>9</v>
      </c>
      <c r="J433">
        <v>14</v>
      </c>
      <c r="K433">
        <v>4.2</v>
      </c>
      <c r="L433" s="3">
        <v>6</v>
      </c>
      <c r="M433" t="s">
        <v>1035</v>
      </c>
      <c r="N433">
        <v>66.930000000000007</v>
      </c>
    </row>
    <row r="434" spans="1:14" x14ac:dyDescent="0.3">
      <c r="A434" t="s">
        <v>148</v>
      </c>
      <c r="B434" t="s">
        <v>1017</v>
      </c>
      <c r="C434" t="s">
        <v>1026</v>
      </c>
      <c r="D434">
        <v>53</v>
      </c>
      <c r="E434">
        <v>14</v>
      </c>
      <c r="F434" s="3">
        <v>52143</v>
      </c>
      <c r="G434">
        <v>43</v>
      </c>
      <c r="H434">
        <v>4</v>
      </c>
      <c r="I434">
        <v>24</v>
      </c>
      <c r="J434">
        <v>32</v>
      </c>
      <c r="K434">
        <v>2.2999999999999998</v>
      </c>
      <c r="L434" s="3">
        <v>6</v>
      </c>
      <c r="M434" t="s">
        <v>1035</v>
      </c>
      <c r="N434">
        <v>49.57</v>
      </c>
    </row>
    <row r="435" spans="1:14" x14ac:dyDescent="0.3">
      <c r="A435" t="s">
        <v>309</v>
      </c>
      <c r="B435" t="s">
        <v>1014</v>
      </c>
      <c r="C435" t="s">
        <v>1019</v>
      </c>
      <c r="D435">
        <v>51</v>
      </c>
      <c r="E435">
        <v>11</v>
      </c>
      <c r="F435" s="3">
        <v>80712</v>
      </c>
      <c r="G435">
        <v>37</v>
      </c>
      <c r="H435">
        <v>13</v>
      </c>
      <c r="I435">
        <v>17</v>
      </c>
      <c r="J435">
        <v>25</v>
      </c>
      <c r="K435">
        <v>2.7</v>
      </c>
      <c r="L435" s="3">
        <v>6</v>
      </c>
      <c r="M435" t="s">
        <v>1035</v>
      </c>
      <c r="N435">
        <v>65.77</v>
      </c>
    </row>
    <row r="436" spans="1:14" x14ac:dyDescent="0.3">
      <c r="A436" t="s">
        <v>433</v>
      </c>
      <c r="B436" t="s">
        <v>1015</v>
      </c>
      <c r="C436" t="s">
        <v>1020</v>
      </c>
      <c r="D436">
        <v>54</v>
      </c>
      <c r="E436">
        <v>4</v>
      </c>
      <c r="F436" s="3">
        <v>88167</v>
      </c>
      <c r="G436">
        <v>50</v>
      </c>
      <c r="H436">
        <v>1</v>
      </c>
      <c r="I436">
        <v>16</v>
      </c>
      <c r="J436">
        <v>3</v>
      </c>
      <c r="K436">
        <v>3.7</v>
      </c>
      <c r="L436" s="3">
        <v>6</v>
      </c>
      <c r="M436" t="s">
        <v>1035</v>
      </c>
      <c r="N436">
        <v>48.77</v>
      </c>
    </row>
    <row r="437" spans="1:14" x14ac:dyDescent="0.3">
      <c r="A437" t="s">
        <v>509</v>
      </c>
      <c r="B437" t="s">
        <v>1018</v>
      </c>
      <c r="C437" t="s">
        <v>1032</v>
      </c>
      <c r="D437">
        <v>38</v>
      </c>
      <c r="E437">
        <v>7</v>
      </c>
      <c r="F437" s="3">
        <v>42655</v>
      </c>
      <c r="G437">
        <v>50</v>
      </c>
      <c r="H437">
        <v>10</v>
      </c>
      <c r="I437">
        <v>10</v>
      </c>
      <c r="J437">
        <v>23</v>
      </c>
      <c r="K437">
        <v>2.6</v>
      </c>
      <c r="L437" s="3">
        <v>6</v>
      </c>
      <c r="M437" t="s">
        <v>1035</v>
      </c>
      <c r="N437">
        <v>60.47</v>
      </c>
    </row>
    <row r="438" spans="1:14" x14ac:dyDescent="0.3">
      <c r="A438" t="s">
        <v>523</v>
      </c>
      <c r="B438" t="s">
        <v>1015</v>
      </c>
      <c r="C438" t="s">
        <v>1020</v>
      </c>
      <c r="D438">
        <v>33</v>
      </c>
      <c r="E438">
        <v>9</v>
      </c>
      <c r="F438" s="3">
        <v>64163</v>
      </c>
      <c r="G438">
        <v>49</v>
      </c>
      <c r="H438">
        <v>11</v>
      </c>
      <c r="I438">
        <v>23</v>
      </c>
      <c r="J438">
        <v>40</v>
      </c>
      <c r="K438">
        <v>4.5999999999999996</v>
      </c>
      <c r="L438" s="3">
        <v>6</v>
      </c>
      <c r="M438" t="s">
        <v>1035</v>
      </c>
      <c r="N438">
        <v>68.13</v>
      </c>
    </row>
    <row r="439" spans="1:14" x14ac:dyDescent="0.3">
      <c r="A439" t="s">
        <v>564</v>
      </c>
      <c r="B439" t="s">
        <v>1015</v>
      </c>
      <c r="C439" t="s">
        <v>1020</v>
      </c>
      <c r="D439">
        <v>34</v>
      </c>
      <c r="E439">
        <v>8</v>
      </c>
      <c r="F439" s="3">
        <v>65369</v>
      </c>
      <c r="G439">
        <v>51</v>
      </c>
      <c r="H439">
        <v>4</v>
      </c>
      <c r="I439">
        <v>7</v>
      </c>
      <c r="J439">
        <v>4</v>
      </c>
      <c r="K439">
        <v>2.8</v>
      </c>
      <c r="L439" s="3">
        <v>6</v>
      </c>
      <c r="M439" t="s">
        <v>1035</v>
      </c>
      <c r="N439">
        <v>51.07</v>
      </c>
    </row>
    <row r="440" spans="1:14" x14ac:dyDescent="0.3">
      <c r="A440" t="s">
        <v>578</v>
      </c>
      <c r="B440" t="s">
        <v>1018</v>
      </c>
      <c r="C440" t="s">
        <v>1028</v>
      </c>
      <c r="D440">
        <v>34</v>
      </c>
      <c r="E440">
        <v>13</v>
      </c>
      <c r="F440" s="3">
        <v>34051</v>
      </c>
      <c r="G440">
        <v>44</v>
      </c>
      <c r="H440">
        <v>12</v>
      </c>
      <c r="I440">
        <v>22</v>
      </c>
      <c r="J440">
        <v>33</v>
      </c>
      <c r="K440">
        <v>4.7</v>
      </c>
      <c r="L440" s="3">
        <v>6</v>
      </c>
      <c r="M440" t="s">
        <v>1035</v>
      </c>
      <c r="N440">
        <v>70.099999999999994</v>
      </c>
    </row>
    <row r="441" spans="1:14" x14ac:dyDescent="0.3">
      <c r="A441" t="s">
        <v>800</v>
      </c>
      <c r="B441" t="s">
        <v>1017</v>
      </c>
      <c r="C441" t="s">
        <v>1026</v>
      </c>
      <c r="D441">
        <v>47</v>
      </c>
      <c r="E441">
        <v>9</v>
      </c>
      <c r="F441" s="3">
        <v>67412</v>
      </c>
      <c r="G441">
        <v>55</v>
      </c>
      <c r="H441">
        <v>3</v>
      </c>
      <c r="I441">
        <v>3</v>
      </c>
      <c r="J441">
        <v>19</v>
      </c>
      <c r="K441">
        <v>3.5</v>
      </c>
      <c r="L441" s="3">
        <v>6</v>
      </c>
      <c r="M441" t="s">
        <v>1035</v>
      </c>
      <c r="N441">
        <v>51.5</v>
      </c>
    </row>
    <row r="442" spans="1:14" x14ac:dyDescent="0.3">
      <c r="A442" t="s">
        <v>828</v>
      </c>
      <c r="B442" t="s">
        <v>1016</v>
      </c>
      <c r="C442" t="s">
        <v>1033</v>
      </c>
      <c r="D442">
        <v>37</v>
      </c>
      <c r="E442">
        <v>4</v>
      </c>
      <c r="F442" s="3">
        <v>74362</v>
      </c>
      <c r="G442">
        <v>51</v>
      </c>
      <c r="H442">
        <v>7</v>
      </c>
      <c r="I442">
        <v>25</v>
      </c>
      <c r="J442">
        <v>14</v>
      </c>
      <c r="K442">
        <v>2.4</v>
      </c>
      <c r="L442" s="3">
        <v>6</v>
      </c>
      <c r="M442" t="s">
        <v>1035</v>
      </c>
      <c r="N442">
        <v>54.87</v>
      </c>
    </row>
    <row r="443" spans="1:14" x14ac:dyDescent="0.3">
      <c r="A443" t="s">
        <v>901</v>
      </c>
      <c r="B443" t="s">
        <v>1014</v>
      </c>
      <c r="C443" t="s">
        <v>1031</v>
      </c>
      <c r="D443">
        <v>35</v>
      </c>
      <c r="E443">
        <v>3</v>
      </c>
      <c r="F443" s="3">
        <v>83647</v>
      </c>
      <c r="G443">
        <v>41</v>
      </c>
      <c r="H443">
        <v>8</v>
      </c>
      <c r="I443">
        <v>7</v>
      </c>
      <c r="J443">
        <v>25</v>
      </c>
      <c r="K443">
        <v>2.7</v>
      </c>
      <c r="L443" s="3">
        <v>6</v>
      </c>
      <c r="M443" t="s">
        <v>1035</v>
      </c>
      <c r="N443">
        <v>57.43</v>
      </c>
    </row>
    <row r="444" spans="1:14" x14ac:dyDescent="0.3">
      <c r="A444" t="s">
        <v>189</v>
      </c>
      <c r="B444" t="s">
        <v>1014</v>
      </c>
      <c r="C444" t="s">
        <v>1019</v>
      </c>
      <c r="D444">
        <v>47</v>
      </c>
      <c r="E444">
        <v>11</v>
      </c>
      <c r="F444" s="3">
        <v>58625</v>
      </c>
      <c r="G444">
        <v>40</v>
      </c>
      <c r="H444">
        <v>1</v>
      </c>
      <c r="I444">
        <v>4</v>
      </c>
      <c r="J444">
        <v>38</v>
      </c>
      <c r="K444">
        <v>4</v>
      </c>
      <c r="L444" s="3">
        <v>6.1</v>
      </c>
      <c r="M444" t="s">
        <v>1035</v>
      </c>
      <c r="N444">
        <v>50.27</v>
      </c>
    </row>
    <row r="445" spans="1:14" x14ac:dyDescent="0.3">
      <c r="A445" t="s">
        <v>190</v>
      </c>
      <c r="B445" t="s">
        <v>1014</v>
      </c>
      <c r="C445" t="s">
        <v>1031</v>
      </c>
      <c r="D445">
        <v>37</v>
      </c>
      <c r="E445">
        <v>11</v>
      </c>
      <c r="F445" s="3">
        <v>48733</v>
      </c>
      <c r="G445">
        <v>47</v>
      </c>
      <c r="H445">
        <v>10</v>
      </c>
      <c r="I445">
        <v>1</v>
      </c>
      <c r="J445">
        <v>38</v>
      </c>
      <c r="K445">
        <v>2.5</v>
      </c>
      <c r="L445" s="3">
        <v>6.1</v>
      </c>
      <c r="M445" t="s">
        <v>1035</v>
      </c>
      <c r="N445">
        <v>60.77</v>
      </c>
    </row>
    <row r="446" spans="1:14" x14ac:dyDescent="0.3">
      <c r="A446" t="s">
        <v>237</v>
      </c>
      <c r="B446" t="s">
        <v>1015</v>
      </c>
      <c r="C446" t="s">
        <v>1020</v>
      </c>
      <c r="D446">
        <v>54</v>
      </c>
      <c r="E446">
        <v>6</v>
      </c>
      <c r="F446" s="3">
        <v>62532</v>
      </c>
      <c r="G446">
        <v>52</v>
      </c>
      <c r="H446">
        <v>3</v>
      </c>
      <c r="I446">
        <v>5</v>
      </c>
      <c r="J446">
        <v>20</v>
      </c>
      <c r="K446">
        <v>4.5999999999999996</v>
      </c>
      <c r="L446" s="3">
        <v>6.1</v>
      </c>
      <c r="M446" t="s">
        <v>1035</v>
      </c>
      <c r="N446">
        <v>55.4</v>
      </c>
    </row>
    <row r="447" spans="1:14" x14ac:dyDescent="0.3">
      <c r="A447" t="s">
        <v>274</v>
      </c>
      <c r="B447" t="s">
        <v>1016</v>
      </c>
      <c r="C447" t="s">
        <v>1022</v>
      </c>
      <c r="D447">
        <v>50</v>
      </c>
      <c r="E447">
        <v>11</v>
      </c>
      <c r="F447" s="3">
        <v>74895</v>
      </c>
      <c r="G447">
        <v>43</v>
      </c>
      <c r="H447">
        <v>2</v>
      </c>
      <c r="I447">
        <v>4</v>
      </c>
      <c r="J447">
        <v>5</v>
      </c>
      <c r="K447">
        <v>2.6</v>
      </c>
      <c r="L447" s="3">
        <v>6.1</v>
      </c>
      <c r="M447" t="s">
        <v>1035</v>
      </c>
      <c r="N447">
        <v>47.73</v>
      </c>
    </row>
    <row r="448" spans="1:14" x14ac:dyDescent="0.3">
      <c r="A448" t="s">
        <v>372</v>
      </c>
      <c r="B448" t="s">
        <v>1016</v>
      </c>
      <c r="C448" t="s">
        <v>1033</v>
      </c>
      <c r="D448">
        <v>27</v>
      </c>
      <c r="E448">
        <v>5</v>
      </c>
      <c r="F448" s="3">
        <v>60659</v>
      </c>
      <c r="G448">
        <v>47</v>
      </c>
      <c r="H448">
        <v>3</v>
      </c>
      <c r="I448">
        <v>11</v>
      </c>
      <c r="J448">
        <v>24</v>
      </c>
      <c r="K448">
        <v>3.1</v>
      </c>
      <c r="L448" s="3">
        <v>6.1</v>
      </c>
      <c r="M448" t="s">
        <v>1035</v>
      </c>
      <c r="N448">
        <v>50.9</v>
      </c>
    </row>
    <row r="449" spans="1:14" x14ac:dyDescent="0.3">
      <c r="A449" t="s">
        <v>425</v>
      </c>
      <c r="B449" t="s">
        <v>1015</v>
      </c>
      <c r="C449" t="s">
        <v>1021</v>
      </c>
      <c r="D449">
        <v>46</v>
      </c>
      <c r="E449">
        <v>12</v>
      </c>
      <c r="F449" s="3">
        <v>78549</v>
      </c>
      <c r="G449">
        <v>42</v>
      </c>
      <c r="H449">
        <v>2</v>
      </c>
      <c r="I449">
        <v>14</v>
      </c>
      <c r="J449">
        <v>28</v>
      </c>
      <c r="K449">
        <v>4.4000000000000004</v>
      </c>
      <c r="L449" s="3">
        <v>6.1</v>
      </c>
      <c r="M449" t="s">
        <v>1035</v>
      </c>
      <c r="N449">
        <v>53.13</v>
      </c>
    </row>
    <row r="450" spans="1:14" x14ac:dyDescent="0.3">
      <c r="A450" t="s">
        <v>457</v>
      </c>
      <c r="B450" t="s">
        <v>1014</v>
      </c>
      <c r="C450" t="s">
        <v>1031</v>
      </c>
      <c r="D450">
        <v>44</v>
      </c>
      <c r="E450">
        <v>3</v>
      </c>
      <c r="F450" s="3">
        <v>43994</v>
      </c>
      <c r="G450">
        <v>44</v>
      </c>
      <c r="H450">
        <v>10</v>
      </c>
      <c r="I450">
        <v>2</v>
      </c>
      <c r="J450">
        <v>18</v>
      </c>
      <c r="K450">
        <v>4.3</v>
      </c>
      <c r="L450" s="3">
        <v>6.1</v>
      </c>
      <c r="M450" t="s">
        <v>1035</v>
      </c>
      <c r="N450">
        <v>66.17</v>
      </c>
    </row>
    <row r="451" spans="1:14" x14ac:dyDescent="0.3">
      <c r="A451" t="s">
        <v>493</v>
      </c>
      <c r="B451" t="s">
        <v>1015</v>
      </c>
      <c r="C451" t="s">
        <v>1029</v>
      </c>
      <c r="D451">
        <v>55</v>
      </c>
      <c r="E451">
        <v>9</v>
      </c>
      <c r="F451" s="3">
        <v>71635</v>
      </c>
      <c r="G451">
        <v>54</v>
      </c>
      <c r="H451">
        <v>1</v>
      </c>
      <c r="I451">
        <v>24</v>
      </c>
      <c r="J451">
        <v>11</v>
      </c>
      <c r="K451">
        <v>3.9</v>
      </c>
      <c r="L451" s="3">
        <v>6.1</v>
      </c>
      <c r="M451" t="s">
        <v>1035</v>
      </c>
      <c r="N451">
        <v>49.97</v>
      </c>
    </row>
    <row r="452" spans="1:14" x14ac:dyDescent="0.3">
      <c r="A452" t="s">
        <v>566</v>
      </c>
      <c r="B452" t="s">
        <v>1014</v>
      </c>
      <c r="C452" t="s">
        <v>1019</v>
      </c>
      <c r="D452">
        <v>41</v>
      </c>
      <c r="E452">
        <v>5</v>
      </c>
      <c r="F452" s="3">
        <v>89726</v>
      </c>
      <c r="G452">
        <v>46</v>
      </c>
      <c r="H452">
        <v>10</v>
      </c>
      <c r="I452">
        <v>25</v>
      </c>
      <c r="J452">
        <v>28</v>
      </c>
      <c r="K452">
        <v>3.9</v>
      </c>
      <c r="L452" s="3">
        <v>6.1</v>
      </c>
      <c r="M452" t="s">
        <v>1035</v>
      </c>
      <c r="N452">
        <v>64.97</v>
      </c>
    </row>
    <row r="453" spans="1:14" x14ac:dyDescent="0.3">
      <c r="A453" t="s">
        <v>612</v>
      </c>
      <c r="B453" t="s">
        <v>1015</v>
      </c>
      <c r="C453" t="s">
        <v>1029</v>
      </c>
      <c r="D453">
        <v>41</v>
      </c>
      <c r="E453">
        <v>5</v>
      </c>
      <c r="F453" s="3">
        <v>32355</v>
      </c>
      <c r="G453">
        <v>46</v>
      </c>
      <c r="H453">
        <v>13</v>
      </c>
      <c r="I453">
        <v>1</v>
      </c>
      <c r="J453">
        <v>12</v>
      </c>
      <c r="K453">
        <v>4.7</v>
      </c>
      <c r="L453" s="3">
        <v>6.1</v>
      </c>
      <c r="M453" t="s">
        <v>1035</v>
      </c>
      <c r="N453">
        <v>72.37</v>
      </c>
    </row>
    <row r="454" spans="1:14" x14ac:dyDescent="0.3">
      <c r="A454" t="s">
        <v>631</v>
      </c>
      <c r="B454" t="s">
        <v>1014</v>
      </c>
      <c r="C454" t="s">
        <v>1019</v>
      </c>
      <c r="D454">
        <v>31</v>
      </c>
      <c r="E454">
        <v>10</v>
      </c>
      <c r="F454" s="3">
        <v>34779</v>
      </c>
      <c r="G454">
        <v>49</v>
      </c>
      <c r="H454">
        <v>9</v>
      </c>
      <c r="I454">
        <v>9</v>
      </c>
      <c r="J454">
        <v>24</v>
      </c>
      <c r="K454">
        <v>3.8</v>
      </c>
      <c r="L454" s="3">
        <v>6.1</v>
      </c>
      <c r="M454" t="s">
        <v>1035</v>
      </c>
      <c r="N454">
        <v>63</v>
      </c>
    </row>
    <row r="455" spans="1:14" x14ac:dyDescent="0.3">
      <c r="A455" t="s">
        <v>755</v>
      </c>
      <c r="B455" t="s">
        <v>1018</v>
      </c>
      <c r="C455" t="s">
        <v>1032</v>
      </c>
      <c r="D455">
        <v>43</v>
      </c>
      <c r="E455">
        <v>15</v>
      </c>
      <c r="F455" s="3">
        <v>57949</v>
      </c>
      <c r="G455">
        <v>45</v>
      </c>
      <c r="H455">
        <v>3</v>
      </c>
      <c r="I455">
        <v>19</v>
      </c>
      <c r="J455">
        <v>19</v>
      </c>
      <c r="K455">
        <v>3.1</v>
      </c>
      <c r="L455" s="3">
        <v>6.1</v>
      </c>
      <c r="M455" t="s">
        <v>1035</v>
      </c>
      <c r="N455">
        <v>50.9</v>
      </c>
    </row>
    <row r="456" spans="1:14" x14ac:dyDescent="0.3">
      <c r="A456" t="s">
        <v>768</v>
      </c>
      <c r="B456" t="s">
        <v>1017</v>
      </c>
      <c r="C456" t="s">
        <v>1026</v>
      </c>
      <c r="D456">
        <v>37</v>
      </c>
      <c r="E456">
        <v>13</v>
      </c>
      <c r="F456" s="3">
        <v>39287</v>
      </c>
      <c r="G456">
        <v>39</v>
      </c>
      <c r="H456">
        <v>2</v>
      </c>
      <c r="I456">
        <v>5</v>
      </c>
      <c r="J456">
        <v>13</v>
      </c>
      <c r="K456">
        <v>4.9000000000000004</v>
      </c>
      <c r="L456" s="3">
        <v>6.1</v>
      </c>
      <c r="M456" t="s">
        <v>1035</v>
      </c>
      <c r="N456">
        <v>54.63</v>
      </c>
    </row>
    <row r="457" spans="1:14" x14ac:dyDescent="0.3">
      <c r="A457" t="s">
        <v>790</v>
      </c>
      <c r="B457" t="s">
        <v>1016</v>
      </c>
      <c r="C457" t="s">
        <v>1023</v>
      </c>
      <c r="D457">
        <v>49</v>
      </c>
      <c r="E457">
        <v>9</v>
      </c>
      <c r="F457" s="3">
        <v>84165</v>
      </c>
      <c r="G457">
        <v>43</v>
      </c>
      <c r="H457">
        <v>10</v>
      </c>
      <c r="I457">
        <v>24</v>
      </c>
      <c r="J457">
        <v>16</v>
      </c>
      <c r="K457">
        <v>3.6</v>
      </c>
      <c r="L457" s="3">
        <v>6.1</v>
      </c>
      <c r="M457" t="s">
        <v>1035</v>
      </c>
      <c r="N457">
        <v>64.069999999999993</v>
      </c>
    </row>
    <row r="458" spans="1:14" x14ac:dyDescent="0.3">
      <c r="A458" t="s">
        <v>801</v>
      </c>
      <c r="B458" t="s">
        <v>1015</v>
      </c>
      <c r="C458" t="s">
        <v>1021</v>
      </c>
      <c r="D458">
        <v>30</v>
      </c>
      <c r="E458">
        <v>5</v>
      </c>
      <c r="F458" s="3">
        <v>68615</v>
      </c>
      <c r="G458">
        <v>38</v>
      </c>
      <c r="H458">
        <v>14</v>
      </c>
      <c r="I458">
        <v>11</v>
      </c>
      <c r="J458">
        <v>32</v>
      </c>
      <c r="K458">
        <v>2.6</v>
      </c>
      <c r="L458" s="3">
        <v>6.1</v>
      </c>
      <c r="M458" t="s">
        <v>1035</v>
      </c>
      <c r="N458">
        <v>67.73</v>
      </c>
    </row>
    <row r="459" spans="1:14" x14ac:dyDescent="0.3">
      <c r="A459" t="s">
        <v>841</v>
      </c>
      <c r="B459" t="s">
        <v>1015</v>
      </c>
      <c r="C459" t="s">
        <v>1021</v>
      </c>
      <c r="D459">
        <v>47</v>
      </c>
      <c r="E459">
        <v>12</v>
      </c>
      <c r="F459" s="3">
        <v>82148</v>
      </c>
      <c r="G459">
        <v>43</v>
      </c>
      <c r="H459">
        <v>10</v>
      </c>
      <c r="I459">
        <v>15</v>
      </c>
      <c r="J459">
        <v>40</v>
      </c>
      <c r="K459">
        <v>3.3</v>
      </c>
      <c r="L459" s="3">
        <v>6.1</v>
      </c>
      <c r="M459" t="s">
        <v>1035</v>
      </c>
      <c r="N459">
        <v>63.17</v>
      </c>
    </row>
    <row r="460" spans="1:14" x14ac:dyDescent="0.3">
      <c r="A460" t="s">
        <v>918</v>
      </c>
      <c r="B460" t="s">
        <v>1018</v>
      </c>
      <c r="C460" t="s">
        <v>1032</v>
      </c>
      <c r="D460">
        <v>41</v>
      </c>
      <c r="E460">
        <v>6</v>
      </c>
      <c r="F460" s="3">
        <v>57930</v>
      </c>
      <c r="G460">
        <v>49</v>
      </c>
      <c r="H460">
        <v>5</v>
      </c>
      <c r="I460">
        <v>6</v>
      </c>
      <c r="J460">
        <v>0</v>
      </c>
      <c r="K460">
        <v>5</v>
      </c>
      <c r="L460" s="3">
        <v>6.1</v>
      </c>
      <c r="M460" t="s">
        <v>1035</v>
      </c>
      <c r="N460">
        <v>59.93</v>
      </c>
    </row>
    <row r="461" spans="1:14" x14ac:dyDescent="0.3">
      <c r="A461" t="s">
        <v>939</v>
      </c>
      <c r="B461" t="s">
        <v>1018</v>
      </c>
      <c r="C461" t="s">
        <v>1032</v>
      </c>
      <c r="D461">
        <v>46</v>
      </c>
      <c r="E461">
        <v>6</v>
      </c>
      <c r="F461" s="3">
        <v>67076</v>
      </c>
      <c r="G461">
        <v>36</v>
      </c>
      <c r="H461">
        <v>4</v>
      </c>
      <c r="I461">
        <v>23</v>
      </c>
      <c r="J461">
        <v>38</v>
      </c>
      <c r="K461">
        <v>5</v>
      </c>
      <c r="L461" s="3">
        <v>6.1</v>
      </c>
      <c r="M461" t="s">
        <v>1035</v>
      </c>
      <c r="N461">
        <v>58.27</v>
      </c>
    </row>
    <row r="462" spans="1:14" x14ac:dyDescent="0.3">
      <c r="A462" t="s">
        <v>116</v>
      </c>
      <c r="B462" t="s">
        <v>1015</v>
      </c>
      <c r="C462" t="s">
        <v>1020</v>
      </c>
      <c r="D462">
        <v>37</v>
      </c>
      <c r="E462">
        <v>15</v>
      </c>
      <c r="F462" s="3">
        <v>84823</v>
      </c>
      <c r="G462">
        <v>53</v>
      </c>
      <c r="H462">
        <v>3</v>
      </c>
      <c r="I462">
        <v>7</v>
      </c>
      <c r="J462">
        <v>29</v>
      </c>
      <c r="K462">
        <v>3.9</v>
      </c>
      <c r="L462" s="3">
        <v>6.2</v>
      </c>
      <c r="M462" t="s">
        <v>1035</v>
      </c>
      <c r="N462">
        <v>53.9</v>
      </c>
    </row>
    <row r="463" spans="1:14" x14ac:dyDescent="0.3">
      <c r="A463" t="s">
        <v>151</v>
      </c>
      <c r="B463" t="s">
        <v>1018</v>
      </c>
      <c r="C463" t="s">
        <v>1028</v>
      </c>
      <c r="D463">
        <v>54</v>
      </c>
      <c r="E463">
        <v>11</v>
      </c>
      <c r="F463" s="3">
        <v>29723</v>
      </c>
      <c r="G463">
        <v>47</v>
      </c>
      <c r="H463">
        <v>14</v>
      </c>
      <c r="I463">
        <v>23</v>
      </c>
      <c r="J463">
        <v>2</v>
      </c>
      <c r="K463">
        <v>3.3</v>
      </c>
      <c r="L463" s="3">
        <v>6.2</v>
      </c>
      <c r="M463" t="s">
        <v>1035</v>
      </c>
      <c r="N463">
        <v>70.430000000000007</v>
      </c>
    </row>
    <row r="464" spans="1:14" x14ac:dyDescent="0.3">
      <c r="A464" t="s">
        <v>342</v>
      </c>
      <c r="B464" t="s">
        <v>1017</v>
      </c>
      <c r="C464" t="s">
        <v>1030</v>
      </c>
      <c r="D464">
        <v>42</v>
      </c>
      <c r="E464">
        <v>13</v>
      </c>
      <c r="F464" s="3">
        <v>32912</v>
      </c>
      <c r="G464">
        <v>52</v>
      </c>
      <c r="H464">
        <v>6</v>
      </c>
      <c r="I464">
        <v>24</v>
      </c>
      <c r="J464">
        <v>13</v>
      </c>
      <c r="K464">
        <v>3.4</v>
      </c>
      <c r="L464" s="3">
        <v>6.2</v>
      </c>
      <c r="M464" t="s">
        <v>1035</v>
      </c>
      <c r="N464">
        <v>57.4</v>
      </c>
    </row>
    <row r="465" spans="1:14" x14ac:dyDescent="0.3">
      <c r="A465" t="s">
        <v>406</v>
      </c>
      <c r="B465" t="s">
        <v>1014</v>
      </c>
      <c r="C465" t="s">
        <v>1025</v>
      </c>
      <c r="D465">
        <v>46</v>
      </c>
      <c r="E465">
        <v>9</v>
      </c>
      <c r="F465" s="3">
        <v>35945</v>
      </c>
      <c r="G465">
        <v>37</v>
      </c>
      <c r="H465">
        <v>14</v>
      </c>
      <c r="I465">
        <v>1</v>
      </c>
      <c r="J465">
        <v>19</v>
      </c>
      <c r="K465">
        <v>4.8</v>
      </c>
      <c r="L465" s="3">
        <v>6.2</v>
      </c>
      <c r="M465" t="s">
        <v>1035</v>
      </c>
      <c r="N465">
        <v>74.930000000000007</v>
      </c>
    </row>
    <row r="466" spans="1:14" x14ac:dyDescent="0.3">
      <c r="A466" t="s">
        <v>418</v>
      </c>
      <c r="B466" t="s">
        <v>1016</v>
      </c>
      <c r="C466" t="s">
        <v>1033</v>
      </c>
      <c r="D466">
        <v>27</v>
      </c>
      <c r="E466">
        <v>2</v>
      </c>
      <c r="F466" s="3">
        <v>78409</v>
      </c>
      <c r="G466">
        <v>45</v>
      </c>
      <c r="H466">
        <v>3</v>
      </c>
      <c r="I466">
        <v>3</v>
      </c>
      <c r="J466">
        <v>25</v>
      </c>
      <c r="K466">
        <v>3.2</v>
      </c>
      <c r="L466" s="3">
        <v>6.2</v>
      </c>
      <c r="M466" t="s">
        <v>1035</v>
      </c>
      <c r="N466">
        <v>51.8</v>
      </c>
    </row>
    <row r="467" spans="1:14" x14ac:dyDescent="0.3">
      <c r="A467" t="s">
        <v>499</v>
      </c>
      <c r="B467" t="s">
        <v>1016</v>
      </c>
      <c r="C467" t="s">
        <v>1033</v>
      </c>
      <c r="D467">
        <v>50</v>
      </c>
      <c r="E467">
        <v>12</v>
      </c>
      <c r="F467" s="3">
        <v>61907</v>
      </c>
      <c r="G467">
        <v>50</v>
      </c>
      <c r="H467">
        <v>13</v>
      </c>
      <c r="I467">
        <v>7</v>
      </c>
      <c r="J467">
        <v>21</v>
      </c>
      <c r="K467">
        <v>4.9000000000000004</v>
      </c>
      <c r="L467" s="3">
        <v>6.2</v>
      </c>
      <c r="M467" t="s">
        <v>1035</v>
      </c>
      <c r="N467">
        <v>73.569999999999993</v>
      </c>
    </row>
    <row r="468" spans="1:14" x14ac:dyDescent="0.3">
      <c r="A468" t="s">
        <v>518</v>
      </c>
      <c r="B468" t="s">
        <v>1016</v>
      </c>
      <c r="C468" t="s">
        <v>1023</v>
      </c>
      <c r="D468">
        <v>47</v>
      </c>
      <c r="E468">
        <v>8</v>
      </c>
      <c r="F468" s="3">
        <v>83175</v>
      </c>
      <c r="G468">
        <v>49</v>
      </c>
      <c r="H468">
        <v>13</v>
      </c>
      <c r="I468">
        <v>11</v>
      </c>
      <c r="J468">
        <v>37</v>
      </c>
      <c r="K468">
        <v>3.6</v>
      </c>
      <c r="L468" s="3">
        <v>6.2</v>
      </c>
      <c r="M468" t="s">
        <v>1035</v>
      </c>
      <c r="N468">
        <v>69.67</v>
      </c>
    </row>
    <row r="469" spans="1:14" x14ac:dyDescent="0.3">
      <c r="A469" t="s">
        <v>542</v>
      </c>
      <c r="B469" t="s">
        <v>1015</v>
      </c>
      <c r="C469" t="s">
        <v>1020</v>
      </c>
      <c r="D469">
        <v>32</v>
      </c>
      <c r="E469">
        <v>1</v>
      </c>
      <c r="F469" s="3">
        <v>59808</v>
      </c>
      <c r="G469">
        <v>39</v>
      </c>
      <c r="H469">
        <v>8</v>
      </c>
      <c r="I469">
        <v>9</v>
      </c>
      <c r="J469">
        <v>16</v>
      </c>
      <c r="K469">
        <v>3.6</v>
      </c>
      <c r="L469" s="3">
        <v>6.2</v>
      </c>
      <c r="M469" t="s">
        <v>1035</v>
      </c>
      <c r="N469">
        <v>61.33</v>
      </c>
    </row>
    <row r="470" spans="1:14" x14ac:dyDescent="0.3">
      <c r="A470" t="s">
        <v>588</v>
      </c>
      <c r="B470" t="s">
        <v>1017</v>
      </c>
      <c r="C470" t="s">
        <v>1024</v>
      </c>
      <c r="D470">
        <v>32</v>
      </c>
      <c r="E470">
        <v>6</v>
      </c>
      <c r="F470" s="3">
        <v>44295</v>
      </c>
      <c r="G470">
        <v>54</v>
      </c>
      <c r="H470">
        <v>15</v>
      </c>
      <c r="I470">
        <v>1</v>
      </c>
      <c r="J470">
        <v>33</v>
      </c>
      <c r="K470">
        <v>4.7</v>
      </c>
      <c r="L470" s="3">
        <v>6.2</v>
      </c>
      <c r="M470" t="s">
        <v>1035</v>
      </c>
      <c r="N470">
        <v>76.3</v>
      </c>
    </row>
    <row r="471" spans="1:14" x14ac:dyDescent="0.3">
      <c r="A471" t="s">
        <v>678</v>
      </c>
      <c r="B471" t="s">
        <v>1018</v>
      </c>
      <c r="C471" t="s">
        <v>1027</v>
      </c>
      <c r="D471">
        <v>29</v>
      </c>
      <c r="E471">
        <v>8</v>
      </c>
      <c r="F471" s="3">
        <v>89015</v>
      </c>
      <c r="G471">
        <v>38</v>
      </c>
      <c r="H471">
        <v>10</v>
      </c>
      <c r="I471">
        <v>11</v>
      </c>
      <c r="J471">
        <v>34</v>
      </c>
      <c r="K471">
        <v>3.5</v>
      </c>
      <c r="L471" s="3">
        <v>6.2</v>
      </c>
      <c r="M471" t="s">
        <v>1035</v>
      </c>
      <c r="N471">
        <v>64.37</v>
      </c>
    </row>
    <row r="472" spans="1:14" x14ac:dyDescent="0.3">
      <c r="A472" t="s">
        <v>687</v>
      </c>
      <c r="B472" t="s">
        <v>1015</v>
      </c>
      <c r="C472" t="s">
        <v>1029</v>
      </c>
      <c r="D472">
        <v>36</v>
      </c>
      <c r="E472">
        <v>2</v>
      </c>
      <c r="F472" s="3">
        <v>51980</v>
      </c>
      <c r="G472">
        <v>51</v>
      </c>
      <c r="H472">
        <v>8</v>
      </c>
      <c r="I472">
        <v>6</v>
      </c>
      <c r="J472">
        <v>37</v>
      </c>
      <c r="K472">
        <v>3.4</v>
      </c>
      <c r="L472" s="3">
        <v>6.2</v>
      </c>
      <c r="M472" t="s">
        <v>1035</v>
      </c>
      <c r="N472">
        <v>60.73</v>
      </c>
    </row>
    <row r="473" spans="1:14" x14ac:dyDescent="0.3">
      <c r="A473" t="s">
        <v>721</v>
      </c>
      <c r="B473" t="s">
        <v>1016</v>
      </c>
      <c r="C473" t="s">
        <v>1022</v>
      </c>
      <c r="D473">
        <v>54</v>
      </c>
      <c r="E473">
        <v>0</v>
      </c>
      <c r="F473" s="3">
        <v>80396</v>
      </c>
      <c r="G473">
        <v>43</v>
      </c>
      <c r="H473">
        <v>3</v>
      </c>
      <c r="I473">
        <v>18</v>
      </c>
      <c r="J473">
        <v>3</v>
      </c>
      <c r="K473">
        <v>2.4</v>
      </c>
      <c r="L473" s="3">
        <v>6.2</v>
      </c>
      <c r="M473" t="s">
        <v>1035</v>
      </c>
      <c r="N473">
        <v>49.4</v>
      </c>
    </row>
    <row r="474" spans="1:14" x14ac:dyDescent="0.3">
      <c r="A474" t="s">
        <v>784</v>
      </c>
      <c r="B474" t="s">
        <v>1018</v>
      </c>
      <c r="C474" t="s">
        <v>1028</v>
      </c>
      <c r="D474">
        <v>48</v>
      </c>
      <c r="E474">
        <v>5</v>
      </c>
      <c r="F474" s="3">
        <v>51773</v>
      </c>
      <c r="G474">
        <v>39</v>
      </c>
      <c r="H474">
        <v>1</v>
      </c>
      <c r="I474">
        <v>9</v>
      </c>
      <c r="J474">
        <v>16</v>
      </c>
      <c r="K474">
        <v>2.7</v>
      </c>
      <c r="L474" s="3">
        <v>6.2</v>
      </c>
      <c r="M474" t="s">
        <v>1035</v>
      </c>
      <c r="N474">
        <v>46.97</v>
      </c>
    </row>
    <row r="475" spans="1:14" x14ac:dyDescent="0.3">
      <c r="A475" t="s">
        <v>925</v>
      </c>
      <c r="B475" t="s">
        <v>1017</v>
      </c>
      <c r="C475" t="s">
        <v>1026</v>
      </c>
      <c r="D475">
        <v>24</v>
      </c>
      <c r="E475">
        <v>0</v>
      </c>
      <c r="F475" s="3">
        <v>41423</v>
      </c>
      <c r="G475">
        <v>38</v>
      </c>
      <c r="H475">
        <v>12</v>
      </c>
      <c r="I475">
        <v>4</v>
      </c>
      <c r="J475">
        <v>20</v>
      </c>
      <c r="K475">
        <v>4</v>
      </c>
      <c r="L475" s="3">
        <v>6.2</v>
      </c>
      <c r="M475" t="s">
        <v>1035</v>
      </c>
      <c r="N475">
        <v>69.2</v>
      </c>
    </row>
    <row r="476" spans="1:14" x14ac:dyDescent="0.3">
      <c r="A476" t="s">
        <v>30</v>
      </c>
      <c r="B476" t="s">
        <v>1014</v>
      </c>
      <c r="C476" t="s">
        <v>1025</v>
      </c>
      <c r="D476">
        <v>27</v>
      </c>
      <c r="E476">
        <v>5</v>
      </c>
      <c r="F476" s="3">
        <v>56849</v>
      </c>
      <c r="G476">
        <v>37</v>
      </c>
      <c r="H476">
        <v>13</v>
      </c>
      <c r="I476">
        <v>17</v>
      </c>
      <c r="J476">
        <v>8</v>
      </c>
      <c r="K476">
        <v>2.4</v>
      </c>
      <c r="L476" s="3">
        <v>6.3</v>
      </c>
      <c r="M476" t="s">
        <v>1035</v>
      </c>
      <c r="N476">
        <v>66.67</v>
      </c>
    </row>
    <row r="477" spans="1:14" x14ac:dyDescent="0.3">
      <c r="A477" t="s">
        <v>65</v>
      </c>
      <c r="B477" t="s">
        <v>1015</v>
      </c>
      <c r="C477" t="s">
        <v>1020</v>
      </c>
      <c r="D477">
        <v>51</v>
      </c>
      <c r="E477">
        <v>1</v>
      </c>
      <c r="F477" s="3">
        <v>61530</v>
      </c>
      <c r="G477">
        <v>42</v>
      </c>
      <c r="H477">
        <v>15</v>
      </c>
      <c r="I477">
        <v>3</v>
      </c>
      <c r="J477">
        <v>29</v>
      </c>
      <c r="K477">
        <v>2.4</v>
      </c>
      <c r="L477" s="3">
        <v>6.3</v>
      </c>
      <c r="M477" t="s">
        <v>1035</v>
      </c>
      <c r="N477">
        <v>70</v>
      </c>
    </row>
    <row r="478" spans="1:14" x14ac:dyDescent="0.3">
      <c r="A478" t="s">
        <v>175</v>
      </c>
      <c r="B478" t="s">
        <v>1016</v>
      </c>
      <c r="C478" t="s">
        <v>1022</v>
      </c>
      <c r="D478">
        <v>31</v>
      </c>
      <c r="E478">
        <v>2</v>
      </c>
      <c r="F478" s="3">
        <v>27510</v>
      </c>
      <c r="G478">
        <v>44</v>
      </c>
      <c r="H478">
        <v>15</v>
      </c>
      <c r="I478">
        <v>15</v>
      </c>
      <c r="J478">
        <v>8</v>
      </c>
      <c r="K478">
        <v>4.3</v>
      </c>
      <c r="L478" s="3">
        <v>6.3</v>
      </c>
      <c r="M478" t="s">
        <v>1035</v>
      </c>
      <c r="N478">
        <v>75.7</v>
      </c>
    </row>
    <row r="479" spans="1:14" x14ac:dyDescent="0.3">
      <c r="A479" t="s">
        <v>233</v>
      </c>
      <c r="B479" t="s">
        <v>1015</v>
      </c>
      <c r="C479" t="s">
        <v>1029</v>
      </c>
      <c r="D479">
        <v>22</v>
      </c>
      <c r="E479">
        <v>1</v>
      </c>
      <c r="F479" s="3">
        <v>67839</v>
      </c>
      <c r="G479">
        <v>46</v>
      </c>
      <c r="H479">
        <v>12</v>
      </c>
      <c r="I479">
        <v>7</v>
      </c>
      <c r="J479">
        <v>3</v>
      </c>
      <c r="K479">
        <v>4</v>
      </c>
      <c r="L479" s="3">
        <v>6.3</v>
      </c>
      <c r="M479" t="s">
        <v>1035</v>
      </c>
      <c r="N479">
        <v>69.8</v>
      </c>
    </row>
    <row r="480" spans="1:14" x14ac:dyDescent="0.3">
      <c r="A480" t="s">
        <v>371</v>
      </c>
      <c r="B480" t="s">
        <v>1018</v>
      </c>
      <c r="C480" t="s">
        <v>1027</v>
      </c>
      <c r="D480">
        <v>32</v>
      </c>
      <c r="E480">
        <v>10</v>
      </c>
      <c r="F480" s="3">
        <v>44124</v>
      </c>
      <c r="G480">
        <v>37</v>
      </c>
      <c r="H480">
        <v>8</v>
      </c>
      <c r="I480">
        <v>3</v>
      </c>
      <c r="J480">
        <v>19</v>
      </c>
      <c r="K480">
        <v>4.4000000000000004</v>
      </c>
      <c r="L480" s="3">
        <v>6.3</v>
      </c>
      <c r="M480" t="s">
        <v>1035</v>
      </c>
      <c r="N480">
        <v>64.33</v>
      </c>
    </row>
    <row r="481" spans="1:14" x14ac:dyDescent="0.3">
      <c r="A481" t="s">
        <v>479</v>
      </c>
      <c r="B481" t="s">
        <v>1015</v>
      </c>
      <c r="C481" t="s">
        <v>1021</v>
      </c>
      <c r="D481">
        <v>23</v>
      </c>
      <c r="E481">
        <v>2</v>
      </c>
      <c r="F481" s="3">
        <v>72708</v>
      </c>
      <c r="G481">
        <v>44</v>
      </c>
      <c r="H481">
        <v>2</v>
      </c>
      <c r="I481">
        <v>6</v>
      </c>
      <c r="J481">
        <v>28</v>
      </c>
      <c r="K481">
        <v>3.8</v>
      </c>
      <c r="L481" s="3">
        <v>6.3</v>
      </c>
      <c r="M481" t="s">
        <v>1035</v>
      </c>
      <c r="N481">
        <v>52.53</v>
      </c>
    </row>
    <row r="482" spans="1:14" x14ac:dyDescent="0.3">
      <c r="A482" t="s">
        <v>491</v>
      </c>
      <c r="B482" t="s">
        <v>1015</v>
      </c>
      <c r="C482" t="s">
        <v>1020</v>
      </c>
      <c r="D482">
        <v>25</v>
      </c>
      <c r="E482">
        <v>1</v>
      </c>
      <c r="F482" s="3">
        <v>50500</v>
      </c>
      <c r="G482">
        <v>55</v>
      </c>
      <c r="H482">
        <v>1</v>
      </c>
      <c r="I482">
        <v>25</v>
      </c>
      <c r="J482">
        <v>5</v>
      </c>
      <c r="K482">
        <v>4.5</v>
      </c>
      <c r="L482" s="3">
        <v>6.3</v>
      </c>
      <c r="M482" t="s">
        <v>1035</v>
      </c>
      <c r="N482">
        <v>52.97</v>
      </c>
    </row>
    <row r="483" spans="1:14" x14ac:dyDescent="0.3">
      <c r="A483" t="s">
        <v>525</v>
      </c>
      <c r="B483" t="s">
        <v>1018</v>
      </c>
      <c r="C483" t="s">
        <v>1028</v>
      </c>
      <c r="D483">
        <v>41</v>
      </c>
      <c r="E483">
        <v>0</v>
      </c>
      <c r="F483" s="3">
        <v>25006</v>
      </c>
      <c r="G483">
        <v>51</v>
      </c>
      <c r="H483">
        <v>14</v>
      </c>
      <c r="I483">
        <v>24</v>
      </c>
      <c r="J483">
        <v>8</v>
      </c>
      <c r="K483">
        <v>3</v>
      </c>
      <c r="L483" s="3">
        <v>6.3</v>
      </c>
      <c r="M483" t="s">
        <v>1035</v>
      </c>
      <c r="N483">
        <v>70.13</v>
      </c>
    </row>
    <row r="484" spans="1:14" x14ac:dyDescent="0.3">
      <c r="A484" t="s">
        <v>541</v>
      </c>
      <c r="B484" t="s">
        <v>1017</v>
      </c>
      <c r="C484" t="s">
        <v>1024</v>
      </c>
      <c r="D484">
        <v>40</v>
      </c>
      <c r="E484">
        <v>15</v>
      </c>
      <c r="F484" s="3">
        <v>37437</v>
      </c>
      <c r="G484">
        <v>53</v>
      </c>
      <c r="H484">
        <v>3</v>
      </c>
      <c r="I484">
        <v>17</v>
      </c>
      <c r="J484">
        <v>22</v>
      </c>
      <c r="K484">
        <v>3</v>
      </c>
      <c r="L484" s="3">
        <v>6.3</v>
      </c>
      <c r="M484" t="s">
        <v>1035</v>
      </c>
      <c r="N484">
        <v>51.8</v>
      </c>
    </row>
    <row r="485" spans="1:14" x14ac:dyDescent="0.3">
      <c r="A485" t="s">
        <v>685</v>
      </c>
      <c r="B485" t="s">
        <v>1016</v>
      </c>
      <c r="C485" t="s">
        <v>1033</v>
      </c>
      <c r="D485">
        <v>30</v>
      </c>
      <c r="E485">
        <v>0</v>
      </c>
      <c r="F485" s="3">
        <v>70364</v>
      </c>
      <c r="G485">
        <v>53</v>
      </c>
      <c r="H485">
        <v>1</v>
      </c>
      <c r="I485">
        <v>8</v>
      </c>
      <c r="J485">
        <v>8</v>
      </c>
      <c r="K485">
        <v>2.2999999999999998</v>
      </c>
      <c r="L485" s="3">
        <v>6.3</v>
      </c>
      <c r="M485" t="s">
        <v>1035</v>
      </c>
      <c r="N485">
        <v>46.37</v>
      </c>
    </row>
    <row r="486" spans="1:14" x14ac:dyDescent="0.3">
      <c r="A486" t="s">
        <v>769</v>
      </c>
      <c r="B486" t="s">
        <v>1015</v>
      </c>
      <c r="C486" t="s">
        <v>1029</v>
      </c>
      <c r="D486">
        <v>25</v>
      </c>
      <c r="E486">
        <v>3</v>
      </c>
      <c r="F486" s="3">
        <v>59961</v>
      </c>
      <c r="G486">
        <v>46</v>
      </c>
      <c r="H486">
        <v>12</v>
      </c>
      <c r="I486">
        <v>3</v>
      </c>
      <c r="J486">
        <v>20</v>
      </c>
      <c r="K486">
        <v>3.6</v>
      </c>
      <c r="L486" s="3">
        <v>6.3</v>
      </c>
      <c r="M486" t="s">
        <v>1035</v>
      </c>
      <c r="N486">
        <v>68.599999999999994</v>
      </c>
    </row>
    <row r="487" spans="1:14" x14ac:dyDescent="0.3">
      <c r="A487" t="s">
        <v>786</v>
      </c>
      <c r="B487" t="s">
        <v>1017</v>
      </c>
      <c r="C487" t="s">
        <v>1026</v>
      </c>
      <c r="D487">
        <v>38</v>
      </c>
      <c r="E487">
        <v>2</v>
      </c>
      <c r="F487" s="3">
        <v>31244</v>
      </c>
      <c r="G487">
        <v>52</v>
      </c>
      <c r="H487">
        <v>1</v>
      </c>
      <c r="I487">
        <v>1</v>
      </c>
      <c r="J487">
        <v>21</v>
      </c>
      <c r="K487">
        <v>4.8</v>
      </c>
      <c r="L487" s="3">
        <v>6.3</v>
      </c>
      <c r="M487" t="s">
        <v>1035</v>
      </c>
      <c r="N487">
        <v>53.87</v>
      </c>
    </row>
    <row r="488" spans="1:14" x14ac:dyDescent="0.3">
      <c r="A488" t="s">
        <v>89</v>
      </c>
      <c r="B488" t="s">
        <v>1015</v>
      </c>
      <c r="C488" t="s">
        <v>1021</v>
      </c>
      <c r="D488">
        <v>40</v>
      </c>
      <c r="E488">
        <v>4</v>
      </c>
      <c r="F488" s="3">
        <v>66803</v>
      </c>
      <c r="G488">
        <v>50</v>
      </c>
      <c r="H488">
        <v>2</v>
      </c>
      <c r="I488">
        <v>0</v>
      </c>
      <c r="J488">
        <v>36</v>
      </c>
      <c r="K488">
        <v>2.9</v>
      </c>
      <c r="L488" s="3">
        <v>6.4</v>
      </c>
      <c r="M488" t="s">
        <v>1035</v>
      </c>
      <c r="N488">
        <v>50.43</v>
      </c>
    </row>
    <row r="489" spans="1:14" x14ac:dyDescent="0.3">
      <c r="A489" t="s">
        <v>221</v>
      </c>
      <c r="B489" t="s">
        <v>1016</v>
      </c>
      <c r="C489" t="s">
        <v>1033</v>
      </c>
      <c r="D489">
        <v>41</v>
      </c>
      <c r="E489">
        <v>7</v>
      </c>
      <c r="F489" s="3">
        <v>86701</v>
      </c>
      <c r="G489">
        <v>44</v>
      </c>
      <c r="H489">
        <v>13</v>
      </c>
      <c r="I489">
        <v>9</v>
      </c>
      <c r="J489">
        <v>13</v>
      </c>
      <c r="K489">
        <v>4.0999999999999996</v>
      </c>
      <c r="L489" s="3">
        <v>6.4</v>
      </c>
      <c r="M489" t="s">
        <v>1035</v>
      </c>
      <c r="N489">
        <v>72.37</v>
      </c>
    </row>
    <row r="490" spans="1:14" x14ac:dyDescent="0.3">
      <c r="A490" t="s">
        <v>297</v>
      </c>
      <c r="B490" t="s">
        <v>1017</v>
      </c>
      <c r="C490" t="s">
        <v>1030</v>
      </c>
      <c r="D490">
        <v>49</v>
      </c>
      <c r="E490">
        <v>5</v>
      </c>
      <c r="F490" s="3">
        <v>56894</v>
      </c>
      <c r="G490">
        <v>55</v>
      </c>
      <c r="H490">
        <v>9</v>
      </c>
      <c r="I490">
        <v>22</v>
      </c>
      <c r="J490">
        <v>11</v>
      </c>
      <c r="K490">
        <v>3.7</v>
      </c>
      <c r="L490" s="3">
        <v>6.4</v>
      </c>
      <c r="M490" t="s">
        <v>1035</v>
      </c>
      <c r="N490">
        <v>64.5</v>
      </c>
    </row>
    <row r="491" spans="1:14" x14ac:dyDescent="0.3">
      <c r="A491" t="s">
        <v>476</v>
      </c>
      <c r="B491" t="s">
        <v>1018</v>
      </c>
      <c r="C491" t="s">
        <v>1032</v>
      </c>
      <c r="D491">
        <v>45</v>
      </c>
      <c r="E491">
        <v>3</v>
      </c>
      <c r="F491" s="3">
        <v>68326</v>
      </c>
      <c r="G491">
        <v>42</v>
      </c>
      <c r="H491">
        <v>7</v>
      </c>
      <c r="I491">
        <v>25</v>
      </c>
      <c r="J491">
        <v>21</v>
      </c>
      <c r="K491">
        <v>4.2</v>
      </c>
      <c r="L491" s="3">
        <v>6.4</v>
      </c>
      <c r="M491" t="s">
        <v>1035</v>
      </c>
      <c r="N491">
        <v>62.67</v>
      </c>
    </row>
    <row r="492" spans="1:14" x14ac:dyDescent="0.3">
      <c r="A492" t="s">
        <v>529</v>
      </c>
      <c r="B492" t="s">
        <v>1018</v>
      </c>
      <c r="C492" t="s">
        <v>1032</v>
      </c>
      <c r="D492">
        <v>40</v>
      </c>
      <c r="E492">
        <v>3</v>
      </c>
      <c r="F492" s="3">
        <v>66739</v>
      </c>
      <c r="G492">
        <v>49</v>
      </c>
      <c r="H492">
        <v>10</v>
      </c>
      <c r="I492">
        <v>14</v>
      </c>
      <c r="J492">
        <v>17</v>
      </c>
      <c r="K492">
        <v>4.0999999999999996</v>
      </c>
      <c r="L492" s="3">
        <v>6.4</v>
      </c>
      <c r="M492" t="s">
        <v>1035</v>
      </c>
      <c r="N492">
        <v>67.37</v>
      </c>
    </row>
    <row r="493" spans="1:14" x14ac:dyDescent="0.3">
      <c r="A493" t="s">
        <v>563</v>
      </c>
      <c r="B493" t="s">
        <v>1014</v>
      </c>
      <c r="C493" t="s">
        <v>1025</v>
      </c>
      <c r="D493">
        <v>47</v>
      </c>
      <c r="E493">
        <v>13</v>
      </c>
      <c r="F493" s="3">
        <v>75713</v>
      </c>
      <c r="G493">
        <v>39</v>
      </c>
      <c r="H493">
        <v>13</v>
      </c>
      <c r="I493">
        <v>4</v>
      </c>
      <c r="J493">
        <v>30</v>
      </c>
      <c r="K493">
        <v>3.7</v>
      </c>
      <c r="L493" s="3">
        <v>6.4</v>
      </c>
      <c r="M493" t="s">
        <v>1035</v>
      </c>
      <c r="N493">
        <v>71.17</v>
      </c>
    </row>
    <row r="494" spans="1:14" x14ac:dyDescent="0.3">
      <c r="A494" t="s">
        <v>573</v>
      </c>
      <c r="B494" t="s">
        <v>1018</v>
      </c>
      <c r="C494" t="s">
        <v>1027</v>
      </c>
      <c r="D494">
        <v>54</v>
      </c>
      <c r="E494">
        <v>14</v>
      </c>
      <c r="F494" s="3">
        <v>61745</v>
      </c>
      <c r="G494">
        <v>35</v>
      </c>
      <c r="H494">
        <v>1</v>
      </c>
      <c r="I494">
        <v>7</v>
      </c>
      <c r="J494">
        <v>33</v>
      </c>
      <c r="K494">
        <v>2.9</v>
      </c>
      <c r="L494" s="3">
        <v>6.4</v>
      </c>
      <c r="M494" t="s">
        <v>1035</v>
      </c>
      <c r="N494">
        <v>48.77</v>
      </c>
    </row>
    <row r="495" spans="1:14" x14ac:dyDescent="0.3">
      <c r="A495" t="s">
        <v>584</v>
      </c>
      <c r="B495" t="s">
        <v>1017</v>
      </c>
      <c r="C495" t="s">
        <v>1026</v>
      </c>
      <c r="D495">
        <v>36</v>
      </c>
      <c r="E495">
        <v>6</v>
      </c>
      <c r="F495" s="3">
        <v>74661</v>
      </c>
      <c r="G495">
        <v>41</v>
      </c>
      <c r="H495">
        <v>2</v>
      </c>
      <c r="I495">
        <v>5</v>
      </c>
      <c r="J495">
        <v>28</v>
      </c>
      <c r="K495">
        <v>4.5999999999999996</v>
      </c>
      <c r="L495" s="3">
        <v>6.4</v>
      </c>
      <c r="M495" t="s">
        <v>1035</v>
      </c>
      <c r="N495">
        <v>55.53</v>
      </c>
    </row>
    <row r="496" spans="1:14" x14ac:dyDescent="0.3">
      <c r="A496" t="s">
        <v>607</v>
      </c>
      <c r="B496" t="s">
        <v>1018</v>
      </c>
      <c r="C496" t="s">
        <v>1027</v>
      </c>
      <c r="D496">
        <v>43</v>
      </c>
      <c r="E496">
        <v>10</v>
      </c>
      <c r="F496" s="3">
        <v>85442</v>
      </c>
      <c r="G496">
        <v>50</v>
      </c>
      <c r="H496">
        <v>15</v>
      </c>
      <c r="I496">
        <v>15</v>
      </c>
      <c r="J496">
        <v>2</v>
      </c>
      <c r="K496">
        <v>3.9</v>
      </c>
      <c r="L496" s="3">
        <v>6.4</v>
      </c>
      <c r="M496" t="s">
        <v>1035</v>
      </c>
      <c r="N496">
        <v>75.099999999999994</v>
      </c>
    </row>
    <row r="497" spans="1:14" x14ac:dyDescent="0.3">
      <c r="A497" t="s">
        <v>669</v>
      </c>
      <c r="B497" t="s">
        <v>1015</v>
      </c>
      <c r="C497" t="s">
        <v>1029</v>
      </c>
      <c r="D497">
        <v>51</v>
      </c>
      <c r="E497">
        <v>4</v>
      </c>
      <c r="F497" s="3">
        <v>73565</v>
      </c>
      <c r="G497">
        <v>53</v>
      </c>
      <c r="H497">
        <v>4</v>
      </c>
      <c r="I497">
        <v>2</v>
      </c>
      <c r="J497">
        <v>2</v>
      </c>
      <c r="K497">
        <v>4.2</v>
      </c>
      <c r="L497" s="3">
        <v>6.4</v>
      </c>
      <c r="M497" t="s">
        <v>1035</v>
      </c>
      <c r="N497">
        <v>57.67</v>
      </c>
    </row>
    <row r="498" spans="1:14" x14ac:dyDescent="0.3">
      <c r="A498" t="s">
        <v>951</v>
      </c>
      <c r="B498" t="s">
        <v>1017</v>
      </c>
      <c r="C498" t="s">
        <v>1024</v>
      </c>
      <c r="D498">
        <v>32</v>
      </c>
      <c r="E498">
        <v>3</v>
      </c>
      <c r="F498" s="3">
        <v>75000</v>
      </c>
      <c r="G498">
        <v>48</v>
      </c>
      <c r="H498">
        <v>5</v>
      </c>
      <c r="I498">
        <v>24</v>
      </c>
      <c r="J498">
        <v>22</v>
      </c>
      <c r="K498">
        <v>3.5</v>
      </c>
      <c r="L498" s="3">
        <v>6.4</v>
      </c>
      <c r="M498" t="s">
        <v>1035</v>
      </c>
      <c r="N498">
        <v>57.23</v>
      </c>
    </row>
    <row r="499" spans="1:14" x14ac:dyDescent="0.3">
      <c r="A499" t="s">
        <v>986</v>
      </c>
      <c r="B499" t="s">
        <v>1017</v>
      </c>
      <c r="C499" t="s">
        <v>1024</v>
      </c>
      <c r="D499">
        <v>31</v>
      </c>
      <c r="E499">
        <v>10</v>
      </c>
      <c r="F499" s="3">
        <v>72353</v>
      </c>
      <c r="G499">
        <v>47</v>
      </c>
      <c r="H499">
        <v>4</v>
      </c>
      <c r="I499">
        <v>1</v>
      </c>
      <c r="J499">
        <v>7</v>
      </c>
      <c r="K499">
        <v>2.7</v>
      </c>
      <c r="L499" s="3">
        <v>6.4</v>
      </c>
      <c r="M499" t="s">
        <v>1035</v>
      </c>
      <c r="N499">
        <v>53.17</v>
      </c>
    </row>
    <row r="500" spans="1:14" x14ac:dyDescent="0.3">
      <c r="A500" t="s">
        <v>97</v>
      </c>
      <c r="B500" t="s">
        <v>1015</v>
      </c>
      <c r="C500" t="s">
        <v>1021</v>
      </c>
      <c r="D500">
        <v>40</v>
      </c>
      <c r="E500">
        <v>14</v>
      </c>
      <c r="F500" s="3">
        <v>33149</v>
      </c>
      <c r="G500">
        <v>49</v>
      </c>
      <c r="H500">
        <v>12</v>
      </c>
      <c r="I500">
        <v>9</v>
      </c>
      <c r="J500">
        <v>25</v>
      </c>
      <c r="K500">
        <v>4.8</v>
      </c>
      <c r="L500" s="3">
        <v>6.5</v>
      </c>
      <c r="M500" t="s">
        <v>1035</v>
      </c>
      <c r="N500">
        <v>73.400000000000006</v>
      </c>
    </row>
    <row r="501" spans="1:14" x14ac:dyDescent="0.3">
      <c r="A501" t="s">
        <v>261</v>
      </c>
      <c r="B501" t="s">
        <v>1014</v>
      </c>
      <c r="C501" t="s">
        <v>1031</v>
      </c>
      <c r="D501">
        <v>22</v>
      </c>
      <c r="E501">
        <v>1</v>
      </c>
      <c r="F501" s="3">
        <v>34010</v>
      </c>
      <c r="G501">
        <v>55</v>
      </c>
      <c r="H501">
        <v>4</v>
      </c>
      <c r="I501">
        <v>2</v>
      </c>
      <c r="J501">
        <v>9</v>
      </c>
      <c r="K501">
        <v>2</v>
      </c>
      <c r="L501" s="3">
        <v>6.5</v>
      </c>
      <c r="M501" t="s">
        <v>1035</v>
      </c>
      <c r="N501">
        <v>51.67</v>
      </c>
    </row>
    <row r="502" spans="1:14" x14ac:dyDescent="0.3">
      <c r="A502" t="s">
        <v>329</v>
      </c>
      <c r="B502" t="s">
        <v>1016</v>
      </c>
      <c r="C502" t="s">
        <v>1022</v>
      </c>
      <c r="D502">
        <v>49</v>
      </c>
      <c r="E502">
        <v>8</v>
      </c>
      <c r="F502" s="3">
        <v>59331</v>
      </c>
      <c r="G502">
        <v>37</v>
      </c>
      <c r="H502">
        <v>5</v>
      </c>
      <c r="I502">
        <v>22</v>
      </c>
      <c r="J502">
        <v>36</v>
      </c>
      <c r="K502">
        <v>3.9</v>
      </c>
      <c r="L502" s="3">
        <v>6.5</v>
      </c>
      <c r="M502" t="s">
        <v>1035</v>
      </c>
      <c r="N502">
        <v>59.03</v>
      </c>
    </row>
    <row r="503" spans="1:14" x14ac:dyDescent="0.3">
      <c r="A503" t="s">
        <v>362</v>
      </c>
      <c r="B503" t="s">
        <v>1014</v>
      </c>
      <c r="C503" t="s">
        <v>1031</v>
      </c>
      <c r="D503">
        <v>33</v>
      </c>
      <c r="E503">
        <v>9</v>
      </c>
      <c r="F503" s="3">
        <v>45854</v>
      </c>
      <c r="G503">
        <v>54</v>
      </c>
      <c r="H503">
        <v>4</v>
      </c>
      <c r="I503">
        <v>20</v>
      </c>
      <c r="J503">
        <v>36</v>
      </c>
      <c r="K503">
        <v>2.2999999999999998</v>
      </c>
      <c r="L503" s="3">
        <v>6.5</v>
      </c>
      <c r="M503" t="s">
        <v>1035</v>
      </c>
      <c r="N503">
        <v>52.57</v>
      </c>
    </row>
    <row r="504" spans="1:14" x14ac:dyDescent="0.3">
      <c r="A504" t="s">
        <v>497</v>
      </c>
      <c r="B504" t="s">
        <v>1018</v>
      </c>
      <c r="C504" t="s">
        <v>1027</v>
      </c>
      <c r="D504">
        <v>34</v>
      </c>
      <c r="E504">
        <v>7</v>
      </c>
      <c r="F504" s="3">
        <v>85929</v>
      </c>
      <c r="G504">
        <v>47</v>
      </c>
      <c r="H504">
        <v>10</v>
      </c>
      <c r="I504">
        <v>0</v>
      </c>
      <c r="J504">
        <v>16</v>
      </c>
      <c r="K504">
        <v>2.5</v>
      </c>
      <c r="L504" s="3">
        <v>6.5</v>
      </c>
      <c r="M504" t="s">
        <v>1035</v>
      </c>
      <c r="N504">
        <v>63.17</v>
      </c>
    </row>
    <row r="505" spans="1:14" x14ac:dyDescent="0.3">
      <c r="A505" t="s">
        <v>719</v>
      </c>
      <c r="B505" t="s">
        <v>1017</v>
      </c>
      <c r="C505" t="s">
        <v>1030</v>
      </c>
      <c r="D505">
        <v>33</v>
      </c>
      <c r="E505">
        <v>7</v>
      </c>
      <c r="F505" s="3">
        <v>84427</v>
      </c>
      <c r="G505">
        <v>55</v>
      </c>
      <c r="H505">
        <v>4</v>
      </c>
      <c r="I505">
        <v>0</v>
      </c>
      <c r="J505">
        <v>7</v>
      </c>
      <c r="K505">
        <v>4.3</v>
      </c>
      <c r="L505" s="3">
        <v>6.5</v>
      </c>
      <c r="M505" t="s">
        <v>1035</v>
      </c>
      <c r="N505">
        <v>58.57</v>
      </c>
    </row>
    <row r="506" spans="1:14" x14ac:dyDescent="0.3">
      <c r="A506" t="s">
        <v>732</v>
      </c>
      <c r="B506" t="s">
        <v>1016</v>
      </c>
      <c r="C506" t="s">
        <v>1022</v>
      </c>
      <c r="D506">
        <v>23</v>
      </c>
      <c r="E506">
        <v>0</v>
      </c>
      <c r="F506" s="3">
        <v>34539</v>
      </c>
      <c r="G506">
        <v>43</v>
      </c>
      <c r="H506">
        <v>10</v>
      </c>
      <c r="I506">
        <v>11</v>
      </c>
      <c r="J506">
        <v>22</v>
      </c>
      <c r="K506">
        <v>2.5</v>
      </c>
      <c r="L506" s="3">
        <v>6.5</v>
      </c>
      <c r="M506" t="s">
        <v>1035</v>
      </c>
      <c r="N506">
        <v>63.17</v>
      </c>
    </row>
    <row r="507" spans="1:14" x14ac:dyDescent="0.3">
      <c r="A507" t="s">
        <v>870</v>
      </c>
      <c r="B507" t="s">
        <v>1016</v>
      </c>
      <c r="C507" t="s">
        <v>1033</v>
      </c>
      <c r="D507">
        <v>34</v>
      </c>
      <c r="E507">
        <v>1</v>
      </c>
      <c r="F507" s="3">
        <v>78495</v>
      </c>
      <c r="G507">
        <v>54</v>
      </c>
      <c r="H507">
        <v>11</v>
      </c>
      <c r="I507">
        <v>9</v>
      </c>
      <c r="J507">
        <v>14</v>
      </c>
      <c r="K507">
        <v>2.7</v>
      </c>
      <c r="L507" s="3">
        <v>6.5</v>
      </c>
      <c r="M507" t="s">
        <v>1035</v>
      </c>
      <c r="N507">
        <v>65.430000000000007</v>
      </c>
    </row>
    <row r="508" spans="1:14" x14ac:dyDescent="0.3">
      <c r="A508" t="s">
        <v>938</v>
      </c>
      <c r="B508" t="s">
        <v>1016</v>
      </c>
      <c r="C508" t="s">
        <v>1023</v>
      </c>
      <c r="D508">
        <v>37</v>
      </c>
      <c r="E508">
        <v>13</v>
      </c>
      <c r="F508" s="3">
        <v>74626</v>
      </c>
      <c r="G508">
        <v>42</v>
      </c>
      <c r="H508">
        <v>10</v>
      </c>
      <c r="I508">
        <v>2</v>
      </c>
      <c r="J508">
        <v>3</v>
      </c>
      <c r="K508">
        <v>2.4</v>
      </c>
      <c r="L508" s="3">
        <v>6.5</v>
      </c>
      <c r="M508" t="s">
        <v>1035</v>
      </c>
      <c r="N508">
        <v>62.87</v>
      </c>
    </row>
    <row r="509" spans="1:14" x14ac:dyDescent="0.3">
      <c r="A509" t="s">
        <v>977</v>
      </c>
      <c r="B509" t="s">
        <v>1014</v>
      </c>
      <c r="C509" t="s">
        <v>1031</v>
      </c>
      <c r="D509">
        <v>47</v>
      </c>
      <c r="E509">
        <v>0</v>
      </c>
      <c r="F509" s="3">
        <v>60277</v>
      </c>
      <c r="G509">
        <v>49</v>
      </c>
      <c r="H509">
        <v>6</v>
      </c>
      <c r="I509">
        <v>4</v>
      </c>
      <c r="J509">
        <v>18</v>
      </c>
      <c r="K509">
        <v>4.5</v>
      </c>
      <c r="L509" s="3">
        <v>6.5</v>
      </c>
      <c r="M509" t="s">
        <v>1035</v>
      </c>
      <c r="N509">
        <v>62.5</v>
      </c>
    </row>
    <row r="510" spans="1:14" x14ac:dyDescent="0.3">
      <c r="A510" t="s">
        <v>41</v>
      </c>
      <c r="B510" t="s">
        <v>1014</v>
      </c>
      <c r="C510" t="s">
        <v>1019</v>
      </c>
      <c r="D510">
        <v>25</v>
      </c>
      <c r="E510">
        <v>4</v>
      </c>
      <c r="F510" s="3">
        <v>56246</v>
      </c>
      <c r="G510">
        <v>51</v>
      </c>
      <c r="H510">
        <v>15</v>
      </c>
      <c r="I510">
        <v>16</v>
      </c>
      <c r="J510">
        <v>10</v>
      </c>
      <c r="K510">
        <v>2.2000000000000002</v>
      </c>
      <c r="L510" s="3">
        <v>6.6</v>
      </c>
      <c r="M510" t="s">
        <v>1035</v>
      </c>
      <c r="N510">
        <v>71.2</v>
      </c>
    </row>
    <row r="511" spans="1:14" x14ac:dyDescent="0.3">
      <c r="A511" t="s">
        <v>238</v>
      </c>
      <c r="B511" t="s">
        <v>1018</v>
      </c>
      <c r="C511" t="s">
        <v>1032</v>
      </c>
      <c r="D511">
        <v>53</v>
      </c>
      <c r="E511">
        <v>2</v>
      </c>
      <c r="F511" s="3">
        <v>83909</v>
      </c>
      <c r="G511">
        <v>51</v>
      </c>
      <c r="H511">
        <v>8</v>
      </c>
      <c r="I511">
        <v>25</v>
      </c>
      <c r="J511">
        <v>3</v>
      </c>
      <c r="K511">
        <v>3.4</v>
      </c>
      <c r="L511" s="3">
        <v>6.6</v>
      </c>
      <c r="M511" t="s">
        <v>1035</v>
      </c>
      <c r="N511">
        <v>63.13</v>
      </c>
    </row>
    <row r="512" spans="1:14" x14ac:dyDescent="0.3">
      <c r="A512" t="s">
        <v>286</v>
      </c>
      <c r="B512" t="s">
        <v>1017</v>
      </c>
      <c r="C512" t="s">
        <v>1024</v>
      </c>
      <c r="D512">
        <v>43</v>
      </c>
      <c r="E512">
        <v>13</v>
      </c>
      <c r="F512" s="3">
        <v>31943</v>
      </c>
      <c r="G512">
        <v>35</v>
      </c>
      <c r="H512">
        <v>2</v>
      </c>
      <c r="I512">
        <v>8</v>
      </c>
      <c r="J512">
        <v>14</v>
      </c>
      <c r="K512">
        <v>3.5</v>
      </c>
      <c r="L512" s="3">
        <v>6.6</v>
      </c>
      <c r="M512" t="s">
        <v>1035</v>
      </c>
      <c r="N512">
        <v>53.43</v>
      </c>
    </row>
    <row r="513" spans="1:14" x14ac:dyDescent="0.3">
      <c r="A513" t="s">
        <v>305</v>
      </c>
      <c r="B513" t="s">
        <v>1016</v>
      </c>
      <c r="C513" t="s">
        <v>1022</v>
      </c>
      <c r="D513">
        <v>32</v>
      </c>
      <c r="E513">
        <v>5</v>
      </c>
      <c r="F513" s="3">
        <v>89159</v>
      </c>
      <c r="G513">
        <v>44</v>
      </c>
      <c r="H513">
        <v>5</v>
      </c>
      <c r="I513">
        <v>18</v>
      </c>
      <c r="J513">
        <v>17</v>
      </c>
      <c r="K513">
        <v>4.9000000000000004</v>
      </c>
      <c r="L513" s="3">
        <v>6.6</v>
      </c>
      <c r="M513" t="s">
        <v>1035</v>
      </c>
      <c r="N513">
        <v>62.63</v>
      </c>
    </row>
    <row r="514" spans="1:14" x14ac:dyDescent="0.3">
      <c r="A514" t="s">
        <v>451</v>
      </c>
      <c r="B514" t="s">
        <v>1016</v>
      </c>
      <c r="C514" t="s">
        <v>1033</v>
      </c>
      <c r="D514">
        <v>46</v>
      </c>
      <c r="E514">
        <v>3</v>
      </c>
      <c r="F514" s="3">
        <v>50288</v>
      </c>
      <c r="G514">
        <v>43</v>
      </c>
      <c r="H514">
        <v>9</v>
      </c>
      <c r="I514">
        <v>23</v>
      </c>
      <c r="J514">
        <v>18</v>
      </c>
      <c r="K514">
        <v>2.1</v>
      </c>
      <c r="L514" s="3">
        <v>6.6</v>
      </c>
      <c r="M514" t="s">
        <v>1035</v>
      </c>
      <c r="N514">
        <v>60.9</v>
      </c>
    </row>
    <row r="515" spans="1:14" x14ac:dyDescent="0.3">
      <c r="A515" t="s">
        <v>480</v>
      </c>
      <c r="B515" t="s">
        <v>1018</v>
      </c>
      <c r="C515" t="s">
        <v>1028</v>
      </c>
      <c r="D515">
        <v>36</v>
      </c>
      <c r="E515">
        <v>13</v>
      </c>
      <c r="F515" s="3">
        <v>64376</v>
      </c>
      <c r="G515">
        <v>39</v>
      </c>
      <c r="H515">
        <v>13</v>
      </c>
      <c r="I515">
        <v>18</v>
      </c>
      <c r="J515">
        <v>11</v>
      </c>
      <c r="K515">
        <v>3.9</v>
      </c>
      <c r="L515" s="3">
        <v>6.6</v>
      </c>
      <c r="M515" t="s">
        <v>1035</v>
      </c>
      <c r="N515">
        <v>72.97</v>
      </c>
    </row>
    <row r="516" spans="1:14" x14ac:dyDescent="0.3">
      <c r="A516" t="s">
        <v>642</v>
      </c>
      <c r="B516" t="s">
        <v>1014</v>
      </c>
      <c r="C516" t="s">
        <v>1031</v>
      </c>
      <c r="D516">
        <v>41</v>
      </c>
      <c r="E516">
        <v>1</v>
      </c>
      <c r="F516" s="3">
        <v>84217</v>
      </c>
      <c r="G516">
        <v>45</v>
      </c>
      <c r="H516">
        <v>9</v>
      </c>
      <c r="I516">
        <v>24</v>
      </c>
      <c r="J516">
        <v>0</v>
      </c>
      <c r="K516">
        <v>3.4</v>
      </c>
      <c r="L516" s="3">
        <v>6.6</v>
      </c>
      <c r="M516" t="s">
        <v>1035</v>
      </c>
      <c r="N516">
        <v>64.8</v>
      </c>
    </row>
    <row r="517" spans="1:14" x14ac:dyDescent="0.3">
      <c r="A517" t="s">
        <v>653</v>
      </c>
      <c r="B517" t="s">
        <v>1016</v>
      </c>
      <c r="C517" t="s">
        <v>1022</v>
      </c>
      <c r="D517">
        <v>47</v>
      </c>
      <c r="E517">
        <v>14</v>
      </c>
      <c r="F517" s="3">
        <v>75669</v>
      </c>
      <c r="G517">
        <v>42</v>
      </c>
      <c r="H517">
        <v>12</v>
      </c>
      <c r="I517">
        <v>21</v>
      </c>
      <c r="J517">
        <v>37</v>
      </c>
      <c r="K517">
        <v>4.3</v>
      </c>
      <c r="L517" s="3">
        <v>6.6</v>
      </c>
      <c r="M517" t="s">
        <v>1035</v>
      </c>
      <c r="N517">
        <v>72.5</v>
      </c>
    </row>
    <row r="518" spans="1:14" x14ac:dyDescent="0.3">
      <c r="A518" t="s">
        <v>744</v>
      </c>
      <c r="B518" t="s">
        <v>1016</v>
      </c>
      <c r="C518" t="s">
        <v>1033</v>
      </c>
      <c r="D518">
        <v>31</v>
      </c>
      <c r="E518">
        <v>4</v>
      </c>
      <c r="F518" s="3">
        <v>65761</v>
      </c>
      <c r="G518">
        <v>54</v>
      </c>
      <c r="H518">
        <v>2</v>
      </c>
      <c r="I518">
        <v>24</v>
      </c>
      <c r="J518">
        <v>4</v>
      </c>
      <c r="K518">
        <v>4</v>
      </c>
      <c r="L518" s="3">
        <v>6.6</v>
      </c>
      <c r="M518" t="s">
        <v>1035</v>
      </c>
      <c r="N518">
        <v>54.93</v>
      </c>
    </row>
    <row r="519" spans="1:14" x14ac:dyDescent="0.3">
      <c r="A519" t="s">
        <v>805</v>
      </c>
      <c r="B519" t="s">
        <v>1016</v>
      </c>
      <c r="C519" t="s">
        <v>1022</v>
      </c>
      <c r="D519">
        <v>37</v>
      </c>
      <c r="E519">
        <v>13</v>
      </c>
      <c r="F519" s="3">
        <v>44364</v>
      </c>
      <c r="G519">
        <v>53</v>
      </c>
      <c r="H519">
        <v>1</v>
      </c>
      <c r="I519">
        <v>17</v>
      </c>
      <c r="J519">
        <v>4</v>
      </c>
      <c r="K519">
        <v>4.8</v>
      </c>
      <c r="L519" s="3">
        <v>6.6</v>
      </c>
      <c r="M519" t="s">
        <v>1035</v>
      </c>
      <c r="N519">
        <v>55.67</v>
      </c>
    </row>
    <row r="520" spans="1:14" x14ac:dyDescent="0.3">
      <c r="A520" t="s">
        <v>829</v>
      </c>
      <c r="B520" t="s">
        <v>1017</v>
      </c>
      <c r="C520" t="s">
        <v>1030</v>
      </c>
      <c r="D520">
        <v>55</v>
      </c>
      <c r="E520">
        <v>11</v>
      </c>
      <c r="F520" s="3">
        <v>86848</v>
      </c>
      <c r="G520">
        <v>35</v>
      </c>
      <c r="H520">
        <v>8</v>
      </c>
      <c r="I520">
        <v>4</v>
      </c>
      <c r="J520">
        <v>0</v>
      </c>
      <c r="K520">
        <v>4.2</v>
      </c>
      <c r="L520" s="3">
        <v>6.6</v>
      </c>
      <c r="M520" t="s">
        <v>1035</v>
      </c>
      <c r="N520">
        <v>65.53</v>
      </c>
    </row>
    <row r="521" spans="1:14" x14ac:dyDescent="0.3">
      <c r="A521" t="s">
        <v>899</v>
      </c>
      <c r="B521" t="s">
        <v>1014</v>
      </c>
      <c r="C521" t="s">
        <v>1019</v>
      </c>
      <c r="D521">
        <v>52</v>
      </c>
      <c r="E521">
        <v>2</v>
      </c>
      <c r="F521" s="3">
        <v>35972</v>
      </c>
      <c r="G521">
        <v>51</v>
      </c>
      <c r="H521">
        <v>7</v>
      </c>
      <c r="I521">
        <v>24</v>
      </c>
      <c r="J521">
        <v>32</v>
      </c>
      <c r="K521">
        <v>3.1</v>
      </c>
      <c r="L521" s="3">
        <v>6.6</v>
      </c>
      <c r="M521" t="s">
        <v>1035</v>
      </c>
      <c r="N521">
        <v>60.57</v>
      </c>
    </row>
    <row r="522" spans="1:14" x14ac:dyDescent="0.3">
      <c r="A522" t="s">
        <v>902</v>
      </c>
      <c r="B522" t="s">
        <v>1015</v>
      </c>
      <c r="C522" t="s">
        <v>1029</v>
      </c>
      <c r="D522">
        <v>32</v>
      </c>
      <c r="E522">
        <v>5</v>
      </c>
      <c r="F522" s="3">
        <v>41680</v>
      </c>
      <c r="G522">
        <v>52</v>
      </c>
      <c r="H522">
        <v>2</v>
      </c>
      <c r="I522">
        <v>4</v>
      </c>
      <c r="J522">
        <v>5</v>
      </c>
      <c r="K522">
        <v>2.9</v>
      </c>
      <c r="L522" s="3">
        <v>6.6</v>
      </c>
      <c r="M522" t="s">
        <v>1035</v>
      </c>
      <c r="N522">
        <v>51.63</v>
      </c>
    </row>
    <row r="523" spans="1:14" x14ac:dyDescent="0.3">
      <c r="A523" t="s">
        <v>908</v>
      </c>
      <c r="B523" t="s">
        <v>1014</v>
      </c>
      <c r="C523" t="s">
        <v>1025</v>
      </c>
      <c r="D523">
        <v>52</v>
      </c>
      <c r="E523">
        <v>4</v>
      </c>
      <c r="F523" s="3">
        <v>81719</v>
      </c>
      <c r="G523">
        <v>47</v>
      </c>
      <c r="H523">
        <v>4</v>
      </c>
      <c r="I523">
        <v>7</v>
      </c>
      <c r="J523">
        <v>13</v>
      </c>
      <c r="K523">
        <v>3.4</v>
      </c>
      <c r="L523" s="3">
        <v>6.6</v>
      </c>
      <c r="M523" t="s">
        <v>1035</v>
      </c>
      <c r="N523">
        <v>56.47</v>
      </c>
    </row>
    <row r="524" spans="1:14" x14ac:dyDescent="0.3">
      <c r="A524" t="s">
        <v>262</v>
      </c>
      <c r="B524" t="s">
        <v>1014</v>
      </c>
      <c r="C524" t="s">
        <v>1031</v>
      </c>
      <c r="D524">
        <v>52</v>
      </c>
      <c r="E524">
        <v>15</v>
      </c>
      <c r="F524" s="3">
        <v>26030</v>
      </c>
      <c r="G524">
        <v>35</v>
      </c>
      <c r="H524">
        <v>9</v>
      </c>
      <c r="I524">
        <v>17</v>
      </c>
      <c r="J524">
        <v>26</v>
      </c>
      <c r="K524">
        <v>2</v>
      </c>
      <c r="L524" s="3">
        <v>6.7</v>
      </c>
      <c r="M524" t="s">
        <v>1035</v>
      </c>
      <c r="N524">
        <v>61.2</v>
      </c>
    </row>
    <row r="525" spans="1:14" x14ac:dyDescent="0.3">
      <c r="A525" t="s">
        <v>263</v>
      </c>
      <c r="B525" t="s">
        <v>1015</v>
      </c>
      <c r="C525" t="s">
        <v>1029</v>
      </c>
      <c r="D525">
        <v>40</v>
      </c>
      <c r="E525">
        <v>0</v>
      </c>
      <c r="F525" s="3">
        <v>57913</v>
      </c>
      <c r="G525">
        <v>48</v>
      </c>
      <c r="H525">
        <v>13</v>
      </c>
      <c r="I525">
        <v>5</v>
      </c>
      <c r="J525">
        <v>6</v>
      </c>
      <c r="K525">
        <v>4.8</v>
      </c>
      <c r="L525" s="3">
        <v>6.7</v>
      </c>
      <c r="M525" t="s">
        <v>1035</v>
      </c>
      <c r="N525">
        <v>76.27</v>
      </c>
    </row>
    <row r="526" spans="1:14" x14ac:dyDescent="0.3">
      <c r="A526" t="s">
        <v>374</v>
      </c>
      <c r="B526" t="s">
        <v>1016</v>
      </c>
      <c r="C526" t="s">
        <v>1033</v>
      </c>
      <c r="D526">
        <v>48</v>
      </c>
      <c r="E526">
        <v>7</v>
      </c>
      <c r="F526" s="3">
        <v>61280</v>
      </c>
      <c r="G526">
        <v>36</v>
      </c>
      <c r="H526">
        <v>14</v>
      </c>
      <c r="I526">
        <v>12</v>
      </c>
      <c r="J526">
        <v>33</v>
      </c>
      <c r="K526">
        <v>3.3</v>
      </c>
      <c r="L526" s="3">
        <v>6.7</v>
      </c>
      <c r="M526" t="s">
        <v>1035</v>
      </c>
      <c r="N526">
        <v>73.430000000000007</v>
      </c>
    </row>
    <row r="527" spans="1:14" x14ac:dyDescent="0.3">
      <c r="A527" t="s">
        <v>481</v>
      </c>
      <c r="B527" t="s">
        <v>1016</v>
      </c>
      <c r="C527" t="s">
        <v>1022</v>
      </c>
      <c r="D527">
        <v>51</v>
      </c>
      <c r="E527">
        <v>2</v>
      </c>
      <c r="F527" s="3">
        <v>40061</v>
      </c>
      <c r="G527">
        <v>47</v>
      </c>
      <c r="H527">
        <v>7</v>
      </c>
      <c r="I527">
        <v>4</v>
      </c>
      <c r="J527">
        <v>6</v>
      </c>
      <c r="K527">
        <v>2</v>
      </c>
      <c r="L527" s="3">
        <v>6.7</v>
      </c>
      <c r="M527" t="s">
        <v>1035</v>
      </c>
      <c r="N527">
        <v>57.87</v>
      </c>
    </row>
    <row r="528" spans="1:14" x14ac:dyDescent="0.3">
      <c r="A528" t="s">
        <v>549</v>
      </c>
      <c r="B528" t="s">
        <v>1014</v>
      </c>
      <c r="C528" t="s">
        <v>1019</v>
      </c>
      <c r="D528">
        <v>41</v>
      </c>
      <c r="E528">
        <v>2</v>
      </c>
      <c r="F528" s="3">
        <v>86905</v>
      </c>
      <c r="G528">
        <v>41</v>
      </c>
      <c r="H528">
        <v>9</v>
      </c>
      <c r="I528">
        <v>3</v>
      </c>
      <c r="J528">
        <v>6</v>
      </c>
      <c r="K528">
        <v>4.2</v>
      </c>
      <c r="L528" s="3">
        <v>6.7</v>
      </c>
      <c r="M528" t="s">
        <v>1035</v>
      </c>
      <c r="N528">
        <v>67.8</v>
      </c>
    </row>
    <row r="529" spans="1:14" x14ac:dyDescent="0.3">
      <c r="A529" t="s">
        <v>572</v>
      </c>
      <c r="B529" t="s">
        <v>1017</v>
      </c>
      <c r="C529" t="s">
        <v>1030</v>
      </c>
      <c r="D529">
        <v>36</v>
      </c>
      <c r="E529">
        <v>12</v>
      </c>
      <c r="F529" s="3">
        <v>58327</v>
      </c>
      <c r="G529">
        <v>38</v>
      </c>
      <c r="H529">
        <v>15</v>
      </c>
      <c r="I529">
        <v>10</v>
      </c>
      <c r="J529">
        <v>31</v>
      </c>
      <c r="K529">
        <v>4.5999999999999996</v>
      </c>
      <c r="L529" s="3">
        <v>6.7</v>
      </c>
      <c r="M529" t="s">
        <v>1035</v>
      </c>
      <c r="N529">
        <v>79</v>
      </c>
    </row>
    <row r="530" spans="1:14" x14ac:dyDescent="0.3">
      <c r="A530" t="s">
        <v>654</v>
      </c>
      <c r="B530" t="s">
        <v>1018</v>
      </c>
      <c r="C530" t="s">
        <v>1027</v>
      </c>
      <c r="D530">
        <v>42</v>
      </c>
      <c r="E530">
        <v>0</v>
      </c>
      <c r="F530" s="3">
        <v>69092</v>
      </c>
      <c r="G530">
        <v>35</v>
      </c>
      <c r="H530">
        <v>14</v>
      </c>
      <c r="I530">
        <v>2</v>
      </c>
      <c r="J530">
        <v>0</v>
      </c>
      <c r="K530">
        <v>3.2</v>
      </c>
      <c r="L530" s="3">
        <v>6.7</v>
      </c>
      <c r="M530" t="s">
        <v>1035</v>
      </c>
      <c r="N530">
        <v>73.13</v>
      </c>
    </row>
    <row r="531" spans="1:14" x14ac:dyDescent="0.3">
      <c r="A531" t="s">
        <v>663</v>
      </c>
      <c r="B531" t="s">
        <v>1017</v>
      </c>
      <c r="C531" t="s">
        <v>1026</v>
      </c>
      <c r="D531">
        <v>47</v>
      </c>
      <c r="E531">
        <v>2</v>
      </c>
      <c r="F531" s="3">
        <v>60397</v>
      </c>
      <c r="G531">
        <v>42</v>
      </c>
      <c r="H531">
        <v>1</v>
      </c>
      <c r="I531">
        <v>12</v>
      </c>
      <c r="J531">
        <v>30</v>
      </c>
      <c r="K531">
        <v>2.4</v>
      </c>
      <c r="L531" s="3">
        <v>6.7</v>
      </c>
      <c r="M531" t="s">
        <v>1035</v>
      </c>
      <c r="N531">
        <v>49.07</v>
      </c>
    </row>
    <row r="532" spans="1:14" x14ac:dyDescent="0.3">
      <c r="A532" t="s">
        <v>689</v>
      </c>
      <c r="B532" t="s">
        <v>1017</v>
      </c>
      <c r="C532" t="s">
        <v>1026</v>
      </c>
      <c r="D532">
        <v>24</v>
      </c>
      <c r="E532">
        <v>0</v>
      </c>
      <c r="F532" s="3">
        <v>89964</v>
      </c>
      <c r="G532">
        <v>50</v>
      </c>
      <c r="H532">
        <v>12</v>
      </c>
      <c r="I532">
        <v>24</v>
      </c>
      <c r="J532">
        <v>32</v>
      </c>
      <c r="K532">
        <v>2.1</v>
      </c>
      <c r="L532" s="3">
        <v>6.7</v>
      </c>
      <c r="M532" t="s">
        <v>1035</v>
      </c>
      <c r="N532">
        <v>66.5</v>
      </c>
    </row>
    <row r="533" spans="1:14" x14ac:dyDescent="0.3">
      <c r="A533" t="s">
        <v>803</v>
      </c>
      <c r="B533" t="s">
        <v>1014</v>
      </c>
      <c r="C533" t="s">
        <v>1025</v>
      </c>
      <c r="D533">
        <v>54</v>
      </c>
      <c r="E533">
        <v>10</v>
      </c>
      <c r="F533" s="3">
        <v>88784</v>
      </c>
      <c r="G533">
        <v>49</v>
      </c>
      <c r="H533">
        <v>11</v>
      </c>
      <c r="I533">
        <v>7</v>
      </c>
      <c r="J533">
        <v>9</v>
      </c>
      <c r="K533">
        <v>4.8</v>
      </c>
      <c r="L533" s="3">
        <v>6.7</v>
      </c>
      <c r="M533" t="s">
        <v>1035</v>
      </c>
      <c r="N533">
        <v>72.930000000000007</v>
      </c>
    </row>
    <row r="534" spans="1:14" x14ac:dyDescent="0.3">
      <c r="A534" t="s">
        <v>897</v>
      </c>
      <c r="B534" t="s">
        <v>1015</v>
      </c>
      <c r="C534" t="s">
        <v>1029</v>
      </c>
      <c r="D534">
        <v>49</v>
      </c>
      <c r="E534">
        <v>7</v>
      </c>
      <c r="F534" s="3">
        <v>85359</v>
      </c>
      <c r="G534">
        <v>36</v>
      </c>
      <c r="H534">
        <v>13</v>
      </c>
      <c r="I534">
        <v>19</v>
      </c>
      <c r="J534">
        <v>37</v>
      </c>
      <c r="K534">
        <v>2.6</v>
      </c>
      <c r="L534" s="3">
        <v>6.7</v>
      </c>
      <c r="M534" t="s">
        <v>1035</v>
      </c>
      <c r="N534">
        <v>69.67</v>
      </c>
    </row>
    <row r="535" spans="1:14" x14ac:dyDescent="0.3">
      <c r="A535" t="s">
        <v>915</v>
      </c>
      <c r="B535" t="s">
        <v>1014</v>
      </c>
      <c r="C535" t="s">
        <v>1031</v>
      </c>
      <c r="D535">
        <v>33</v>
      </c>
      <c r="E535">
        <v>3</v>
      </c>
      <c r="F535" s="3">
        <v>29554</v>
      </c>
      <c r="G535">
        <v>47</v>
      </c>
      <c r="H535">
        <v>5</v>
      </c>
      <c r="I535">
        <v>6</v>
      </c>
      <c r="J535">
        <v>14</v>
      </c>
      <c r="K535">
        <v>2.9</v>
      </c>
      <c r="L535" s="3">
        <v>6.7</v>
      </c>
      <c r="M535" t="s">
        <v>1035</v>
      </c>
      <c r="N535">
        <v>57.23</v>
      </c>
    </row>
    <row r="536" spans="1:14" x14ac:dyDescent="0.3">
      <c r="A536" t="s">
        <v>928</v>
      </c>
      <c r="B536" t="s">
        <v>1014</v>
      </c>
      <c r="C536" t="s">
        <v>1031</v>
      </c>
      <c r="D536">
        <v>39</v>
      </c>
      <c r="E536">
        <v>4</v>
      </c>
      <c r="F536" s="3">
        <v>53878</v>
      </c>
      <c r="G536">
        <v>46</v>
      </c>
      <c r="H536">
        <v>3</v>
      </c>
      <c r="I536">
        <v>6</v>
      </c>
      <c r="J536">
        <v>2</v>
      </c>
      <c r="K536">
        <v>4.7</v>
      </c>
      <c r="L536" s="3">
        <v>6.7</v>
      </c>
      <c r="M536" t="s">
        <v>1035</v>
      </c>
      <c r="N536">
        <v>59.3</v>
      </c>
    </row>
    <row r="537" spans="1:14" x14ac:dyDescent="0.3">
      <c r="A537" t="s">
        <v>955</v>
      </c>
      <c r="B537" t="s">
        <v>1015</v>
      </c>
      <c r="C537" t="s">
        <v>1021</v>
      </c>
      <c r="D537">
        <v>34</v>
      </c>
      <c r="E537">
        <v>6</v>
      </c>
      <c r="F537" s="3">
        <v>35867</v>
      </c>
      <c r="G537">
        <v>48</v>
      </c>
      <c r="H537">
        <v>5</v>
      </c>
      <c r="I537">
        <v>22</v>
      </c>
      <c r="J537">
        <v>19</v>
      </c>
      <c r="K537">
        <v>3.5</v>
      </c>
      <c r="L537" s="3">
        <v>6.7</v>
      </c>
      <c r="M537" t="s">
        <v>1035</v>
      </c>
      <c r="N537">
        <v>59.03</v>
      </c>
    </row>
    <row r="538" spans="1:14" x14ac:dyDescent="0.3">
      <c r="A538" t="s">
        <v>981</v>
      </c>
      <c r="B538" t="s">
        <v>1014</v>
      </c>
      <c r="C538" t="s">
        <v>1031</v>
      </c>
      <c r="D538">
        <v>47</v>
      </c>
      <c r="E538">
        <v>10</v>
      </c>
      <c r="F538" s="3">
        <v>52684</v>
      </c>
      <c r="G538">
        <v>50</v>
      </c>
      <c r="H538">
        <v>6</v>
      </c>
      <c r="I538">
        <v>24</v>
      </c>
      <c r="J538">
        <v>25</v>
      </c>
      <c r="K538">
        <v>3.2</v>
      </c>
      <c r="L538" s="3">
        <v>6.7</v>
      </c>
      <c r="M538" t="s">
        <v>1035</v>
      </c>
      <c r="N538">
        <v>59.8</v>
      </c>
    </row>
    <row r="539" spans="1:14" x14ac:dyDescent="0.3">
      <c r="A539" t="s">
        <v>26</v>
      </c>
      <c r="B539" t="s">
        <v>1017</v>
      </c>
      <c r="C539" t="s">
        <v>1026</v>
      </c>
      <c r="D539">
        <v>55</v>
      </c>
      <c r="E539">
        <v>8</v>
      </c>
      <c r="F539" s="3">
        <v>88640</v>
      </c>
      <c r="G539">
        <v>52</v>
      </c>
      <c r="H539">
        <v>14</v>
      </c>
      <c r="I539">
        <v>0</v>
      </c>
      <c r="J539">
        <v>7</v>
      </c>
      <c r="K539">
        <v>4</v>
      </c>
      <c r="L539" s="3">
        <v>6.8</v>
      </c>
      <c r="M539" t="s">
        <v>1035</v>
      </c>
      <c r="N539">
        <v>76.13</v>
      </c>
    </row>
    <row r="540" spans="1:14" x14ac:dyDescent="0.3">
      <c r="A540" t="s">
        <v>108</v>
      </c>
      <c r="B540" t="s">
        <v>1016</v>
      </c>
      <c r="C540" t="s">
        <v>1033</v>
      </c>
      <c r="D540">
        <v>53</v>
      </c>
      <c r="E540">
        <v>4</v>
      </c>
      <c r="F540" s="3">
        <v>54264</v>
      </c>
      <c r="G540">
        <v>52</v>
      </c>
      <c r="H540">
        <v>8</v>
      </c>
      <c r="I540">
        <v>11</v>
      </c>
      <c r="J540">
        <v>21</v>
      </c>
      <c r="K540">
        <v>3.7</v>
      </c>
      <c r="L540" s="3">
        <v>6.8</v>
      </c>
      <c r="M540" t="s">
        <v>1035</v>
      </c>
      <c r="N540">
        <v>65.23</v>
      </c>
    </row>
    <row r="541" spans="1:14" x14ac:dyDescent="0.3">
      <c r="A541" t="s">
        <v>179</v>
      </c>
      <c r="B541" t="s">
        <v>1018</v>
      </c>
      <c r="C541" t="s">
        <v>1027</v>
      </c>
      <c r="D541">
        <v>48</v>
      </c>
      <c r="E541">
        <v>5</v>
      </c>
      <c r="F541" s="3">
        <v>68540</v>
      </c>
      <c r="G541">
        <v>37</v>
      </c>
      <c r="H541">
        <v>9</v>
      </c>
      <c r="I541">
        <v>11</v>
      </c>
      <c r="J541">
        <v>4</v>
      </c>
      <c r="K541">
        <v>4.9000000000000004</v>
      </c>
      <c r="L541" s="3">
        <v>6.8</v>
      </c>
      <c r="M541" t="s">
        <v>1035</v>
      </c>
      <c r="N541">
        <v>70.5</v>
      </c>
    </row>
    <row r="542" spans="1:14" x14ac:dyDescent="0.3">
      <c r="A542" t="s">
        <v>335</v>
      </c>
      <c r="B542" t="s">
        <v>1015</v>
      </c>
      <c r="C542" t="s">
        <v>1029</v>
      </c>
      <c r="D542">
        <v>37</v>
      </c>
      <c r="E542">
        <v>14</v>
      </c>
      <c r="F542" s="3">
        <v>49135</v>
      </c>
      <c r="G542">
        <v>53</v>
      </c>
      <c r="H542">
        <v>8</v>
      </c>
      <c r="I542">
        <v>24</v>
      </c>
      <c r="J542">
        <v>12</v>
      </c>
      <c r="K542">
        <v>4.2</v>
      </c>
      <c r="L542" s="3">
        <v>6.8</v>
      </c>
      <c r="M542" t="s">
        <v>1035</v>
      </c>
      <c r="N542">
        <v>66.73</v>
      </c>
    </row>
    <row r="543" spans="1:14" x14ac:dyDescent="0.3">
      <c r="A543" t="s">
        <v>461</v>
      </c>
      <c r="B543" t="s">
        <v>1016</v>
      </c>
      <c r="C543" t="s">
        <v>1033</v>
      </c>
      <c r="D543">
        <v>34</v>
      </c>
      <c r="E543">
        <v>1</v>
      </c>
      <c r="F543" s="3">
        <v>36885</v>
      </c>
      <c r="G543">
        <v>53</v>
      </c>
      <c r="H543">
        <v>14</v>
      </c>
      <c r="I543">
        <v>1</v>
      </c>
      <c r="J543">
        <v>35</v>
      </c>
      <c r="K543">
        <v>3.4</v>
      </c>
      <c r="L543" s="3">
        <v>6.8</v>
      </c>
      <c r="M543" t="s">
        <v>1035</v>
      </c>
      <c r="N543">
        <v>74.33</v>
      </c>
    </row>
    <row r="544" spans="1:14" x14ac:dyDescent="0.3">
      <c r="A544" t="s">
        <v>551</v>
      </c>
      <c r="B544" t="s">
        <v>1015</v>
      </c>
      <c r="C544" t="s">
        <v>1020</v>
      </c>
      <c r="D544">
        <v>44</v>
      </c>
      <c r="E544">
        <v>14</v>
      </c>
      <c r="F544" s="3">
        <v>71042</v>
      </c>
      <c r="G544">
        <v>48</v>
      </c>
      <c r="H544">
        <v>15</v>
      </c>
      <c r="I544">
        <v>3</v>
      </c>
      <c r="J544">
        <v>10</v>
      </c>
      <c r="K544">
        <v>4.4000000000000004</v>
      </c>
      <c r="L544" s="3">
        <v>6.8</v>
      </c>
      <c r="M544" t="s">
        <v>1035</v>
      </c>
      <c r="N544">
        <v>79</v>
      </c>
    </row>
    <row r="545" spans="1:14" x14ac:dyDescent="0.3">
      <c r="A545" t="s">
        <v>562</v>
      </c>
      <c r="B545" t="s">
        <v>1016</v>
      </c>
      <c r="C545" t="s">
        <v>1033</v>
      </c>
      <c r="D545">
        <v>47</v>
      </c>
      <c r="E545">
        <v>4</v>
      </c>
      <c r="F545" s="3">
        <v>33663</v>
      </c>
      <c r="G545">
        <v>45</v>
      </c>
      <c r="H545">
        <v>2</v>
      </c>
      <c r="I545">
        <v>15</v>
      </c>
      <c r="J545">
        <v>36</v>
      </c>
      <c r="K545">
        <v>4.2</v>
      </c>
      <c r="L545" s="3">
        <v>6.8</v>
      </c>
      <c r="M545" t="s">
        <v>1035</v>
      </c>
      <c r="N545">
        <v>56.73</v>
      </c>
    </row>
    <row r="546" spans="1:14" x14ac:dyDescent="0.3">
      <c r="A546" t="s">
        <v>617</v>
      </c>
      <c r="B546" t="s">
        <v>1018</v>
      </c>
      <c r="C546" t="s">
        <v>1027</v>
      </c>
      <c r="D546">
        <v>32</v>
      </c>
      <c r="E546">
        <v>4</v>
      </c>
      <c r="F546" s="3">
        <v>32501</v>
      </c>
      <c r="G546">
        <v>35</v>
      </c>
      <c r="H546">
        <v>10</v>
      </c>
      <c r="I546">
        <v>17</v>
      </c>
      <c r="J546">
        <v>32</v>
      </c>
      <c r="K546">
        <v>2.2999999999999998</v>
      </c>
      <c r="L546" s="3">
        <v>6.8</v>
      </c>
      <c r="M546" t="s">
        <v>1035</v>
      </c>
      <c r="N546">
        <v>64.37</v>
      </c>
    </row>
    <row r="547" spans="1:14" x14ac:dyDescent="0.3">
      <c r="A547" t="s">
        <v>997</v>
      </c>
      <c r="B547" t="s">
        <v>1018</v>
      </c>
      <c r="C547" t="s">
        <v>1032</v>
      </c>
      <c r="D547">
        <v>35</v>
      </c>
      <c r="E547">
        <v>9</v>
      </c>
      <c r="F547" s="3">
        <v>48531</v>
      </c>
      <c r="G547">
        <v>43</v>
      </c>
      <c r="H547">
        <v>3</v>
      </c>
      <c r="I547">
        <v>23</v>
      </c>
      <c r="J547">
        <v>39</v>
      </c>
      <c r="K547">
        <v>3.3</v>
      </c>
      <c r="L547" s="3">
        <v>6.8</v>
      </c>
      <c r="M547" t="s">
        <v>1035</v>
      </c>
      <c r="N547">
        <v>55.7</v>
      </c>
    </row>
    <row r="548" spans="1:14" x14ac:dyDescent="0.3">
      <c r="A548" t="s">
        <v>15</v>
      </c>
      <c r="B548" t="s">
        <v>1015</v>
      </c>
      <c r="C548" t="s">
        <v>1020</v>
      </c>
      <c r="D548">
        <v>49</v>
      </c>
      <c r="E548">
        <v>1</v>
      </c>
      <c r="F548" s="3">
        <v>26952</v>
      </c>
      <c r="G548">
        <v>37</v>
      </c>
      <c r="H548">
        <v>4</v>
      </c>
      <c r="I548">
        <v>7</v>
      </c>
      <c r="J548">
        <v>32</v>
      </c>
      <c r="K548">
        <v>3.8</v>
      </c>
      <c r="L548" s="3">
        <v>6.9</v>
      </c>
      <c r="M548" t="s">
        <v>1035</v>
      </c>
      <c r="N548">
        <v>59.47</v>
      </c>
    </row>
    <row r="549" spans="1:14" x14ac:dyDescent="0.3">
      <c r="A549" t="s">
        <v>32</v>
      </c>
      <c r="B549" t="s">
        <v>1016</v>
      </c>
      <c r="C549" t="s">
        <v>1022</v>
      </c>
      <c r="D549">
        <v>50</v>
      </c>
      <c r="E549">
        <v>14</v>
      </c>
      <c r="F549" s="3">
        <v>32930</v>
      </c>
      <c r="G549">
        <v>42</v>
      </c>
      <c r="H549">
        <v>4</v>
      </c>
      <c r="I549">
        <v>2</v>
      </c>
      <c r="J549">
        <v>21</v>
      </c>
      <c r="K549">
        <v>2.1</v>
      </c>
      <c r="L549" s="3">
        <v>6.9</v>
      </c>
      <c r="M549" t="s">
        <v>1035</v>
      </c>
      <c r="N549">
        <v>54.37</v>
      </c>
    </row>
    <row r="550" spans="1:14" x14ac:dyDescent="0.3">
      <c r="A550" t="s">
        <v>93</v>
      </c>
      <c r="B550" t="s">
        <v>1014</v>
      </c>
      <c r="C550" t="s">
        <v>1019</v>
      </c>
      <c r="D550">
        <v>35</v>
      </c>
      <c r="E550">
        <v>10</v>
      </c>
      <c r="F550" s="3">
        <v>38829</v>
      </c>
      <c r="G550">
        <v>43</v>
      </c>
      <c r="H550">
        <v>11</v>
      </c>
      <c r="I550">
        <v>2</v>
      </c>
      <c r="J550">
        <v>10</v>
      </c>
      <c r="K550">
        <v>2.7</v>
      </c>
      <c r="L550" s="3">
        <v>6.9</v>
      </c>
      <c r="M550" t="s">
        <v>1035</v>
      </c>
      <c r="N550">
        <v>67.83</v>
      </c>
    </row>
    <row r="551" spans="1:14" x14ac:dyDescent="0.3">
      <c r="A551" t="s">
        <v>125</v>
      </c>
      <c r="B551" t="s">
        <v>1016</v>
      </c>
      <c r="C551" t="s">
        <v>1022</v>
      </c>
      <c r="D551">
        <v>46</v>
      </c>
      <c r="E551">
        <v>11</v>
      </c>
      <c r="F551" s="3">
        <v>32100</v>
      </c>
      <c r="G551">
        <v>42</v>
      </c>
      <c r="H551">
        <v>8</v>
      </c>
      <c r="I551">
        <v>0</v>
      </c>
      <c r="J551">
        <v>39</v>
      </c>
      <c r="K551">
        <v>4.7</v>
      </c>
      <c r="L551" s="3">
        <v>6.9</v>
      </c>
      <c r="M551" t="s">
        <v>1035</v>
      </c>
      <c r="N551">
        <v>68.83</v>
      </c>
    </row>
    <row r="552" spans="1:14" x14ac:dyDescent="0.3">
      <c r="A552" t="s">
        <v>156</v>
      </c>
      <c r="B552" t="s">
        <v>1015</v>
      </c>
      <c r="C552" t="s">
        <v>1020</v>
      </c>
      <c r="D552">
        <v>31</v>
      </c>
      <c r="E552">
        <v>10</v>
      </c>
      <c r="F552" s="3">
        <v>29938</v>
      </c>
      <c r="G552">
        <v>40</v>
      </c>
      <c r="H552">
        <v>13</v>
      </c>
      <c r="I552">
        <v>20</v>
      </c>
      <c r="J552">
        <v>31</v>
      </c>
      <c r="K552">
        <v>3.4</v>
      </c>
      <c r="L552" s="3">
        <v>6.9</v>
      </c>
      <c r="M552" t="s">
        <v>1035</v>
      </c>
      <c r="N552">
        <v>73.27</v>
      </c>
    </row>
    <row r="553" spans="1:14" x14ac:dyDescent="0.3">
      <c r="A553" t="s">
        <v>236</v>
      </c>
      <c r="B553" t="s">
        <v>1018</v>
      </c>
      <c r="C553" t="s">
        <v>1028</v>
      </c>
      <c r="D553">
        <v>37</v>
      </c>
      <c r="E553">
        <v>2</v>
      </c>
      <c r="F553" s="3">
        <v>59439</v>
      </c>
      <c r="G553">
        <v>49</v>
      </c>
      <c r="H553">
        <v>9</v>
      </c>
      <c r="I553">
        <v>22</v>
      </c>
      <c r="J553">
        <v>23</v>
      </c>
      <c r="K553">
        <v>2.2000000000000002</v>
      </c>
      <c r="L553" s="3">
        <v>6.9</v>
      </c>
      <c r="M553" t="s">
        <v>1035</v>
      </c>
      <c r="N553">
        <v>63</v>
      </c>
    </row>
    <row r="554" spans="1:14" x14ac:dyDescent="0.3">
      <c r="A554" t="s">
        <v>257</v>
      </c>
      <c r="B554" t="s">
        <v>1016</v>
      </c>
      <c r="C554" t="s">
        <v>1022</v>
      </c>
      <c r="D554">
        <v>42</v>
      </c>
      <c r="E554">
        <v>13</v>
      </c>
      <c r="F554" s="3">
        <v>27996</v>
      </c>
      <c r="G554">
        <v>53</v>
      </c>
      <c r="H554">
        <v>14</v>
      </c>
      <c r="I554">
        <v>7</v>
      </c>
      <c r="J554">
        <v>9</v>
      </c>
      <c r="K554">
        <v>2</v>
      </c>
      <c r="L554" s="3">
        <v>6.9</v>
      </c>
      <c r="M554" t="s">
        <v>1035</v>
      </c>
      <c r="N554">
        <v>70.73</v>
      </c>
    </row>
    <row r="555" spans="1:14" x14ac:dyDescent="0.3">
      <c r="A555" t="s">
        <v>271</v>
      </c>
      <c r="B555" t="s">
        <v>1017</v>
      </c>
      <c r="C555" t="s">
        <v>1026</v>
      </c>
      <c r="D555">
        <v>42</v>
      </c>
      <c r="E555">
        <v>0</v>
      </c>
      <c r="F555" s="3">
        <v>66557</v>
      </c>
      <c r="G555">
        <v>43</v>
      </c>
      <c r="H555">
        <v>13</v>
      </c>
      <c r="I555">
        <v>14</v>
      </c>
      <c r="J555">
        <v>31</v>
      </c>
      <c r="K555">
        <v>2.7</v>
      </c>
      <c r="L555" s="3">
        <v>6.9</v>
      </c>
      <c r="M555" t="s">
        <v>1035</v>
      </c>
      <c r="N555">
        <v>71.17</v>
      </c>
    </row>
    <row r="556" spans="1:14" x14ac:dyDescent="0.3">
      <c r="A556" t="s">
        <v>334</v>
      </c>
      <c r="B556" t="s">
        <v>1016</v>
      </c>
      <c r="C556" t="s">
        <v>1033</v>
      </c>
      <c r="D556">
        <v>41</v>
      </c>
      <c r="E556">
        <v>10</v>
      </c>
      <c r="F556" s="3">
        <v>30661</v>
      </c>
      <c r="G556">
        <v>52</v>
      </c>
      <c r="H556">
        <v>8</v>
      </c>
      <c r="I556">
        <v>0</v>
      </c>
      <c r="J556">
        <v>23</v>
      </c>
      <c r="K556">
        <v>2.6</v>
      </c>
      <c r="L556" s="3">
        <v>6.9</v>
      </c>
      <c r="M556" t="s">
        <v>1035</v>
      </c>
      <c r="N556">
        <v>62.53</v>
      </c>
    </row>
    <row r="557" spans="1:14" x14ac:dyDescent="0.3">
      <c r="A557" t="s">
        <v>427</v>
      </c>
      <c r="B557" t="s">
        <v>1015</v>
      </c>
      <c r="C557" t="s">
        <v>1020</v>
      </c>
      <c r="D557">
        <v>22</v>
      </c>
      <c r="E557">
        <v>0</v>
      </c>
      <c r="F557" s="3">
        <v>76890</v>
      </c>
      <c r="G557">
        <v>54</v>
      </c>
      <c r="H557">
        <v>10</v>
      </c>
      <c r="I557">
        <v>20</v>
      </c>
      <c r="J557">
        <v>19</v>
      </c>
      <c r="K557">
        <v>4.7</v>
      </c>
      <c r="L557" s="3">
        <v>6.9</v>
      </c>
      <c r="M557" t="s">
        <v>1035</v>
      </c>
      <c r="N557">
        <v>72.17</v>
      </c>
    </row>
    <row r="558" spans="1:14" x14ac:dyDescent="0.3">
      <c r="A558" t="s">
        <v>553</v>
      </c>
      <c r="B558" t="s">
        <v>1017</v>
      </c>
      <c r="C558" t="s">
        <v>1024</v>
      </c>
      <c r="D558">
        <v>49</v>
      </c>
      <c r="E558">
        <v>10</v>
      </c>
      <c r="F558" s="3">
        <v>64872</v>
      </c>
      <c r="G558">
        <v>42</v>
      </c>
      <c r="H558">
        <v>10</v>
      </c>
      <c r="I558">
        <v>17</v>
      </c>
      <c r="J558">
        <v>13</v>
      </c>
      <c r="K558">
        <v>3.1</v>
      </c>
      <c r="L558" s="3">
        <v>6.9</v>
      </c>
      <c r="M558" t="s">
        <v>1035</v>
      </c>
      <c r="N558">
        <v>67.37</v>
      </c>
    </row>
    <row r="559" spans="1:14" x14ac:dyDescent="0.3">
      <c r="A559" t="s">
        <v>633</v>
      </c>
      <c r="B559" t="s">
        <v>1017</v>
      </c>
      <c r="C559" t="s">
        <v>1026</v>
      </c>
      <c r="D559">
        <v>30</v>
      </c>
      <c r="E559">
        <v>4</v>
      </c>
      <c r="F559" s="3">
        <v>29090</v>
      </c>
      <c r="G559">
        <v>46</v>
      </c>
      <c r="H559">
        <v>15</v>
      </c>
      <c r="I559">
        <v>17</v>
      </c>
      <c r="J559">
        <v>3</v>
      </c>
      <c r="K559">
        <v>2</v>
      </c>
      <c r="L559" s="3">
        <v>6.9</v>
      </c>
      <c r="M559" t="s">
        <v>1035</v>
      </c>
      <c r="N559">
        <v>72.400000000000006</v>
      </c>
    </row>
    <row r="560" spans="1:14" x14ac:dyDescent="0.3">
      <c r="A560" t="s">
        <v>709</v>
      </c>
      <c r="B560" t="s">
        <v>1018</v>
      </c>
      <c r="C560" t="s">
        <v>1032</v>
      </c>
      <c r="D560">
        <v>50</v>
      </c>
      <c r="E560">
        <v>10</v>
      </c>
      <c r="F560" s="3">
        <v>70163</v>
      </c>
      <c r="G560">
        <v>38</v>
      </c>
      <c r="H560">
        <v>12</v>
      </c>
      <c r="I560">
        <v>15</v>
      </c>
      <c r="J560">
        <v>2</v>
      </c>
      <c r="K560">
        <v>2.4</v>
      </c>
      <c r="L560" s="3">
        <v>6.9</v>
      </c>
      <c r="M560" t="s">
        <v>1035</v>
      </c>
      <c r="N560">
        <v>68.599999999999994</v>
      </c>
    </row>
    <row r="561" spans="1:14" x14ac:dyDescent="0.3">
      <c r="A561" t="s">
        <v>736</v>
      </c>
      <c r="B561" t="s">
        <v>1014</v>
      </c>
      <c r="C561" t="s">
        <v>1019</v>
      </c>
      <c r="D561">
        <v>51</v>
      </c>
      <c r="E561">
        <v>3</v>
      </c>
      <c r="F561" s="3">
        <v>59060</v>
      </c>
      <c r="G561">
        <v>39</v>
      </c>
      <c r="H561">
        <v>8</v>
      </c>
      <c r="I561">
        <v>24</v>
      </c>
      <c r="J561">
        <v>23</v>
      </c>
      <c r="K561">
        <v>4.0999999999999996</v>
      </c>
      <c r="L561" s="3">
        <v>6.9</v>
      </c>
      <c r="M561" t="s">
        <v>1035</v>
      </c>
      <c r="N561">
        <v>67.03</v>
      </c>
    </row>
    <row r="562" spans="1:14" x14ac:dyDescent="0.3">
      <c r="A562" t="s">
        <v>823</v>
      </c>
      <c r="B562" t="s">
        <v>1014</v>
      </c>
      <c r="C562" t="s">
        <v>1019</v>
      </c>
      <c r="D562">
        <v>36</v>
      </c>
      <c r="E562">
        <v>15</v>
      </c>
      <c r="F562" s="3">
        <v>41896</v>
      </c>
      <c r="G562">
        <v>45</v>
      </c>
      <c r="H562">
        <v>13</v>
      </c>
      <c r="I562">
        <v>11</v>
      </c>
      <c r="J562">
        <v>2</v>
      </c>
      <c r="K562">
        <v>4.3</v>
      </c>
      <c r="L562" s="3">
        <v>6.9</v>
      </c>
      <c r="M562" t="s">
        <v>1035</v>
      </c>
      <c r="N562">
        <v>75.97</v>
      </c>
    </row>
    <row r="563" spans="1:14" x14ac:dyDescent="0.3">
      <c r="A563" t="s">
        <v>947</v>
      </c>
      <c r="B563" t="s">
        <v>1014</v>
      </c>
      <c r="C563" t="s">
        <v>1019</v>
      </c>
      <c r="D563">
        <v>46</v>
      </c>
      <c r="E563">
        <v>13</v>
      </c>
      <c r="F563" s="3">
        <v>80970</v>
      </c>
      <c r="G563">
        <v>37</v>
      </c>
      <c r="H563">
        <v>13</v>
      </c>
      <c r="I563">
        <v>9</v>
      </c>
      <c r="J563">
        <v>38</v>
      </c>
      <c r="K563">
        <v>3.6</v>
      </c>
      <c r="L563" s="3">
        <v>6.9</v>
      </c>
      <c r="M563" t="s">
        <v>1035</v>
      </c>
      <c r="N563">
        <v>73.87</v>
      </c>
    </row>
    <row r="564" spans="1:14" x14ac:dyDescent="0.3">
      <c r="A564" t="s">
        <v>90</v>
      </c>
      <c r="B564" t="s">
        <v>1018</v>
      </c>
      <c r="C564" t="s">
        <v>1027</v>
      </c>
      <c r="D564">
        <v>25</v>
      </c>
      <c r="E564">
        <v>2</v>
      </c>
      <c r="F564" s="3">
        <v>86673</v>
      </c>
      <c r="G564">
        <v>50</v>
      </c>
      <c r="H564">
        <v>2</v>
      </c>
      <c r="I564">
        <v>2</v>
      </c>
      <c r="J564">
        <v>25</v>
      </c>
      <c r="K564">
        <v>3.5</v>
      </c>
      <c r="L564" s="3">
        <v>7</v>
      </c>
      <c r="M564" t="s">
        <v>1035</v>
      </c>
      <c r="N564">
        <v>55.83</v>
      </c>
    </row>
    <row r="565" spans="1:14" x14ac:dyDescent="0.3">
      <c r="A565" t="s">
        <v>170</v>
      </c>
      <c r="B565" t="s">
        <v>1015</v>
      </c>
      <c r="C565" t="s">
        <v>1021</v>
      </c>
      <c r="D565">
        <v>37</v>
      </c>
      <c r="E565">
        <v>9</v>
      </c>
      <c r="F565" s="3">
        <v>88281</v>
      </c>
      <c r="G565">
        <v>50</v>
      </c>
      <c r="H565">
        <v>15</v>
      </c>
      <c r="I565">
        <v>6</v>
      </c>
      <c r="J565">
        <v>23</v>
      </c>
      <c r="K565">
        <v>4</v>
      </c>
      <c r="L565" s="3">
        <v>7</v>
      </c>
      <c r="M565" t="s">
        <v>1035</v>
      </c>
      <c r="N565">
        <v>79</v>
      </c>
    </row>
    <row r="566" spans="1:14" x14ac:dyDescent="0.3">
      <c r="A566" t="s">
        <v>230</v>
      </c>
      <c r="B566" t="s">
        <v>1018</v>
      </c>
      <c r="C566" t="s">
        <v>1028</v>
      </c>
      <c r="D566">
        <v>51</v>
      </c>
      <c r="E566">
        <v>8</v>
      </c>
      <c r="F566" s="3">
        <v>72094</v>
      </c>
      <c r="G566">
        <v>40</v>
      </c>
      <c r="H566">
        <v>1</v>
      </c>
      <c r="I566">
        <v>23</v>
      </c>
      <c r="J566">
        <v>21</v>
      </c>
      <c r="K566">
        <v>4.4000000000000004</v>
      </c>
      <c r="L566" s="3">
        <v>7</v>
      </c>
      <c r="M566" t="s">
        <v>1035</v>
      </c>
      <c r="N566">
        <v>56.87</v>
      </c>
    </row>
    <row r="567" spans="1:14" x14ac:dyDescent="0.3">
      <c r="A567" t="s">
        <v>300</v>
      </c>
      <c r="B567" t="s">
        <v>1018</v>
      </c>
      <c r="C567" t="s">
        <v>1032</v>
      </c>
      <c r="D567">
        <v>40</v>
      </c>
      <c r="E567">
        <v>1</v>
      </c>
      <c r="F567" s="3">
        <v>43012</v>
      </c>
      <c r="G567">
        <v>42</v>
      </c>
      <c r="H567">
        <v>9</v>
      </c>
      <c r="I567">
        <v>9</v>
      </c>
      <c r="J567">
        <v>10</v>
      </c>
      <c r="K567">
        <v>4.3</v>
      </c>
      <c r="L567" s="3">
        <v>7</v>
      </c>
      <c r="M567" t="s">
        <v>1035</v>
      </c>
      <c r="N567">
        <v>69.900000000000006</v>
      </c>
    </row>
    <row r="568" spans="1:14" x14ac:dyDescent="0.3">
      <c r="A568" t="s">
        <v>304</v>
      </c>
      <c r="B568" t="s">
        <v>1016</v>
      </c>
      <c r="C568" t="s">
        <v>1022</v>
      </c>
      <c r="D568">
        <v>49</v>
      </c>
      <c r="E568">
        <v>5</v>
      </c>
      <c r="F568" s="3">
        <v>65380</v>
      </c>
      <c r="G568">
        <v>39</v>
      </c>
      <c r="H568">
        <v>13</v>
      </c>
      <c r="I568">
        <v>6</v>
      </c>
      <c r="J568">
        <v>13</v>
      </c>
      <c r="K568">
        <v>4.4000000000000004</v>
      </c>
      <c r="L568" s="3">
        <v>7</v>
      </c>
      <c r="M568" t="s">
        <v>1035</v>
      </c>
      <c r="N568">
        <v>76.87</v>
      </c>
    </row>
    <row r="569" spans="1:14" x14ac:dyDescent="0.3">
      <c r="A569" t="s">
        <v>369</v>
      </c>
      <c r="B569" t="s">
        <v>1018</v>
      </c>
      <c r="C569" t="s">
        <v>1032</v>
      </c>
      <c r="D569">
        <v>48</v>
      </c>
      <c r="E569">
        <v>8</v>
      </c>
      <c r="F569" s="3">
        <v>68292</v>
      </c>
      <c r="G569">
        <v>44</v>
      </c>
      <c r="H569">
        <v>5</v>
      </c>
      <c r="I569">
        <v>7</v>
      </c>
      <c r="J569">
        <v>6</v>
      </c>
      <c r="K569">
        <v>2.1</v>
      </c>
      <c r="L569" s="3">
        <v>7</v>
      </c>
      <c r="M569" t="s">
        <v>1035</v>
      </c>
      <c r="N569">
        <v>56.63</v>
      </c>
    </row>
    <row r="570" spans="1:14" x14ac:dyDescent="0.3">
      <c r="A570" t="s">
        <v>438</v>
      </c>
      <c r="B570" t="s">
        <v>1018</v>
      </c>
      <c r="C570" t="s">
        <v>1027</v>
      </c>
      <c r="D570">
        <v>54</v>
      </c>
      <c r="E570">
        <v>10</v>
      </c>
      <c r="F570" s="3">
        <v>71553</v>
      </c>
      <c r="G570">
        <v>38</v>
      </c>
      <c r="H570">
        <v>13</v>
      </c>
      <c r="I570">
        <v>11</v>
      </c>
      <c r="J570">
        <v>35</v>
      </c>
      <c r="K570">
        <v>3.4</v>
      </c>
      <c r="L570" s="3">
        <v>7</v>
      </c>
      <c r="M570" t="s">
        <v>1035</v>
      </c>
      <c r="N570">
        <v>73.87</v>
      </c>
    </row>
    <row r="571" spans="1:14" x14ac:dyDescent="0.3">
      <c r="A571" t="s">
        <v>953</v>
      </c>
      <c r="B571" t="s">
        <v>1014</v>
      </c>
      <c r="C571" t="s">
        <v>1025</v>
      </c>
      <c r="D571">
        <v>31</v>
      </c>
      <c r="E571">
        <v>4</v>
      </c>
      <c r="F571" s="3">
        <v>64677</v>
      </c>
      <c r="G571">
        <v>49</v>
      </c>
      <c r="H571">
        <v>11</v>
      </c>
      <c r="I571">
        <v>4</v>
      </c>
      <c r="J571">
        <v>16</v>
      </c>
      <c r="K571">
        <v>2.7</v>
      </c>
      <c r="L571" s="3">
        <v>7</v>
      </c>
      <c r="M571" t="s">
        <v>1035</v>
      </c>
      <c r="N571">
        <v>68.430000000000007</v>
      </c>
    </row>
    <row r="572" spans="1:14" x14ac:dyDescent="0.3">
      <c r="A572" t="s">
        <v>1005</v>
      </c>
      <c r="B572" t="s">
        <v>1017</v>
      </c>
      <c r="C572" t="s">
        <v>1026</v>
      </c>
      <c r="D572">
        <v>30</v>
      </c>
      <c r="E572">
        <v>4</v>
      </c>
      <c r="F572" s="3">
        <v>25622</v>
      </c>
      <c r="G572">
        <v>51</v>
      </c>
      <c r="H572">
        <v>12</v>
      </c>
      <c r="I572">
        <v>4</v>
      </c>
      <c r="J572">
        <v>8</v>
      </c>
      <c r="K572">
        <v>2.4</v>
      </c>
      <c r="L572" s="3">
        <v>7</v>
      </c>
      <c r="M572" t="s">
        <v>1035</v>
      </c>
      <c r="N572">
        <v>69.2</v>
      </c>
    </row>
    <row r="573" spans="1:14" x14ac:dyDescent="0.3">
      <c r="A573" t="s">
        <v>60</v>
      </c>
      <c r="B573" t="s">
        <v>1018</v>
      </c>
      <c r="C573" t="s">
        <v>1027</v>
      </c>
      <c r="D573">
        <v>41</v>
      </c>
      <c r="E573">
        <v>12</v>
      </c>
      <c r="F573" s="3">
        <v>60909</v>
      </c>
      <c r="G573">
        <v>35</v>
      </c>
      <c r="H573">
        <v>5</v>
      </c>
      <c r="I573">
        <v>9</v>
      </c>
      <c r="J573">
        <v>13</v>
      </c>
      <c r="K573">
        <v>3.3</v>
      </c>
      <c r="L573" s="3">
        <v>7.1</v>
      </c>
      <c r="M573" t="s">
        <v>1035</v>
      </c>
      <c r="N573">
        <v>60.83</v>
      </c>
    </row>
    <row r="574" spans="1:14" x14ac:dyDescent="0.3">
      <c r="A574" t="s">
        <v>294</v>
      </c>
      <c r="B574" t="s">
        <v>1014</v>
      </c>
      <c r="C574" t="s">
        <v>1031</v>
      </c>
      <c r="D574">
        <v>38</v>
      </c>
      <c r="E574">
        <v>15</v>
      </c>
      <c r="F574" s="3">
        <v>59584</v>
      </c>
      <c r="G574">
        <v>55</v>
      </c>
      <c r="H574">
        <v>6</v>
      </c>
      <c r="I574">
        <v>19</v>
      </c>
      <c r="J574">
        <v>24</v>
      </c>
      <c r="K574">
        <v>3.8</v>
      </c>
      <c r="L574" s="3">
        <v>7.1</v>
      </c>
      <c r="M574" t="s">
        <v>1035</v>
      </c>
      <c r="N574">
        <v>64</v>
      </c>
    </row>
    <row r="575" spans="1:14" x14ac:dyDescent="0.3">
      <c r="A575" t="s">
        <v>360</v>
      </c>
      <c r="B575" t="s">
        <v>1017</v>
      </c>
      <c r="C575" t="s">
        <v>1030</v>
      </c>
      <c r="D575">
        <v>53</v>
      </c>
      <c r="E575">
        <v>10</v>
      </c>
      <c r="F575" s="3">
        <v>36416</v>
      </c>
      <c r="G575">
        <v>52</v>
      </c>
      <c r="H575">
        <v>12</v>
      </c>
      <c r="I575">
        <v>19</v>
      </c>
      <c r="J575">
        <v>22</v>
      </c>
      <c r="K575">
        <v>2.7</v>
      </c>
      <c r="L575" s="3">
        <v>7.1</v>
      </c>
      <c r="M575" t="s">
        <v>1035</v>
      </c>
      <c r="N575">
        <v>70.7</v>
      </c>
    </row>
    <row r="576" spans="1:14" x14ac:dyDescent="0.3">
      <c r="A576" t="s">
        <v>445</v>
      </c>
      <c r="B576" t="s">
        <v>1015</v>
      </c>
      <c r="C576" t="s">
        <v>1021</v>
      </c>
      <c r="D576">
        <v>29</v>
      </c>
      <c r="E576">
        <v>6</v>
      </c>
      <c r="F576" s="3">
        <v>27663</v>
      </c>
      <c r="G576">
        <v>48</v>
      </c>
      <c r="H576">
        <v>5</v>
      </c>
      <c r="I576">
        <v>17</v>
      </c>
      <c r="J576">
        <v>16</v>
      </c>
      <c r="K576">
        <v>2.4</v>
      </c>
      <c r="L576" s="3">
        <v>7.1</v>
      </c>
      <c r="M576" t="s">
        <v>1035</v>
      </c>
      <c r="N576">
        <v>58.13</v>
      </c>
    </row>
    <row r="577" spans="1:14" x14ac:dyDescent="0.3">
      <c r="A577" t="s">
        <v>468</v>
      </c>
      <c r="B577" t="s">
        <v>1014</v>
      </c>
      <c r="C577" t="s">
        <v>1031</v>
      </c>
      <c r="D577">
        <v>38</v>
      </c>
      <c r="E577">
        <v>15</v>
      </c>
      <c r="F577" s="3">
        <v>67854</v>
      </c>
      <c r="G577">
        <v>39</v>
      </c>
      <c r="H577">
        <v>6</v>
      </c>
      <c r="I577">
        <v>12</v>
      </c>
      <c r="J577">
        <v>14</v>
      </c>
      <c r="K577">
        <v>4.7</v>
      </c>
      <c r="L577" s="3">
        <v>7.1</v>
      </c>
      <c r="M577" t="s">
        <v>1035</v>
      </c>
      <c r="N577">
        <v>66.7</v>
      </c>
    </row>
    <row r="578" spans="1:14" x14ac:dyDescent="0.3">
      <c r="A578" t="s">
        <v>724</v>
      </c>
      <c r="B578" t="s">
        <v>1015</v>
      </c>
      <c r="C578" t="s">
        <v>1029</v>
      </c>
      <c r="D578">
        <v>42</v>
      </c>
      <c r="E578">
        <v>10</v>
      </c>
      <c r="F578" s="3">
        <v>79186</v>
      </c>
      <c r="G578">
        <v>44</v>
      </c>
      <c r="H578">
        <v>5</v>
      </c>
      <c r="I578">
        <v>21</v>
      </c>
      <c r="J578">
        <v>23</v>
      </c>
      <c r="K578">
        <v>2.2999999999999998</v>
      </c>
      <c r="L578" s="3">
        <v>7.1</v>
      </c>
      <c r="M578" t="s">
        <v>1035</v>
      </c>
      <c r="N578">
        <v>57.83</v>
      </c>
    </row>
    <row r="579" spans="1:14" x14ac:dyDescent="0.3">
      <c r="A579" t="s">
        <v>734</v>
      </c>
      <c r="B579" t="s">
        <v>1018</v>
      </c>
      <c r="C579" t="s">
        <v>1032</v>
      </c>
      <c r="D579">
        <v>22</v>
      </c>
      <c r="E579">
        <v>0</v>
      </c>
      <c r="F579" s="3">
        <v>85570</v>
      </c>
      <c r="G579">
        <v>41</v>
      </c>
      <c r="H579">
        <v>15</v>
      </c>
      <c r="I579">
        <v>16</v>
      </c>
      <c r="J579">
        <v>30</v>
      </c>
      <c r="K579">
        <v>3.1</v>
      </c>
      <c r="L579" s="3">
        <v>7.1</v>
      </c>
      <c r="M579" t="s">
        <v>1035</v>
      </c>
      <c r="N579">
        <v>76.900000000000006</v>
      </c>
    </row>
    <row r="580" spans="1:14" x14ac:dyDescent="0.3">
      <c r="A580" t="s">
        <v>857</v>
      </c>
      <c r="B580" t="s">
        <v>1017</v>
      </c>
      <c r="C580" t="s">
        <v>1026</v>
      </c>
      <c r="D580">
        <v>42</v>
      </c>
      <c r="E580">
        <v>8</v>
      </c>
      <c r="F580" s="3">
        <v>49609</v>
      </c>
      <c r="G580">
        <v>38</v>
      </c>
      <c r="H580">
        <v>1</v>
      </c>
      <c r="I580">
        <v>6</v>
      </c>
      <c r="J580">
        <v>15</v>
      </c>
      <c r="K580">
        <v>4.3</v>
      </c>
      <c r="L580" s="3">
        <v>7.1</v>
      </c>
      <c r="M580" t="s">
        <v>1035</v>
      </c>
      <c r="N580">
        <v>57.17</v>
      </c>
    </row>
    <row r="581" spans="1:14" x14ac:dyDescent="0.3">
      <c r="A581" t="s">
        <v>954</v>
      </c>
      <c r="B581" t="s">
        <v>1018</v>
      </c>
      <c r="C581" t="s">
        <v>1028</v>
      </c>
      <c r="D581">
        <v>22</v>
      </c>
      <c r="E581">
        <v>0</v>
      </c>
      <c r="F581" s="3">
        <v>75526</v>
      </c>
      <c r="G581">
        <v>37</v>
      </c>
      <c r="H581">
        <v>11</v>
      </c>
      <c r="I581">
        <v>22</v>
      </c>
      <c r="J581">
        <v>24</v>
      </c>
      <c r="K581">
        <v>3.2</v>
      </c>
      <c r="L581" s="3">
        <v>7.1</v>
      </c>
      <c r="M581" t="s">
        <v>1035</v>
      </c>
      <c r="N581">
        <v>70.53</v>
      </c>
    </row>
    <row r="582" spans="1:14" x14ac:dyDescent="0.3">
      <c r="A582" t="s">
        <v>961</v>
      </c>
      <c r="B582" t="s">
        <v>1018</v>
      </c>
      <c r="C582" t="s">
        <v>1032</v>
      </c>
      <c r="D582">
        <v>27</v>
      </c>
      <c r="E582">
        <v>2</v>
      </c>
      <c r="F582" s="3">
        <v>30616</v>
      </c>
      <c r="G582">
        <v>47</v>
      </c>
      <c r="H582">
        <v>2</v>
      </c>
      <c r="I582">
        <v>8</v>
      </c>
      <c r="J582">
        <v>4</v>
      </c>
      <c r="K582">
        <v>3</v>
      </c>
      <c r="L582" s="3">
        <v>7.1</v>
      </c>
      <c r="M582" t="s">
        <v>1035</v>
      </c>
      <c r="N582">
        <v>54.93</v>
      </c>
    </row>
    <row r="583" spans="1:14" x14ac:dyDescent="0.3">
      <c r="A583" t="s">
        <v>974</v>
      </c>
      <c r="B583" t="s">
        <v>1018</v>
      </c>
      <c r="C583" t="s">
        <v>1028</v>
      </c>
      <c r="D583">
        <v>36</v>
      </c>
      <c r="E583">
        <v>8</v>
      </c>
      <c r="F583" s="3">
        <v>32581</v>
      </c>
      <c r="G583">
        <v>44</v>
      </c>
      <c r="H583">
        <v>2</v>
      </c>
      <c r="I583">
        <v>3</v>
      </c>
      <c r="J583">
        <v>5</v>
      </c>
      <c r="K583">
        <v>3</v>
      </c>
      <c r="L583" s="3">
        <v>7.1</v>
      </c>
      <c r="M583" t="s">
        <v>1035</v>
      </c>
      <c r="N583">
        <v>54.93</v>
      </c>
    </row>
    <row r="584" spans="1:14" x14ac:dyDescent="0.3">
      <c r="A584" t="s">
        <v>975</v>
      </c>
      <c r="B584" t="s">
        <v>1014</v>
      </c>
      <c r="C584" t="s">
        <v>1019</v>
      </c>
      <c r="D584">
        <v>45</v>
      </c>
      <c r="E584">
        <v>4</v>
      </c>
      <c r="F584" s="3">
        <v>80923</v>
      </c>
      <c r="G584">
        <v>45</v>
      </c>
      <c r="H584">
        <v>7</v>
      </c>
      <c r="I584">
        <v>18</v>
      </c>
      <c r="J584">
        <v>0</v>
      </c>
      <c r="K584">
        <v>2.9</v>
      </c>
      <c r="L584" s="3">
        <v>7.1</v>
      </c>
      <c r="M584" t="s">
        <v>1035</v>
      </c>
      <c r="N584">
        <v>62.97</v>
      </c>
    </row>
    <row r="585" spans="1:14" x14ac:dyDescent="0.3">
      <c r="A585" t="s">
        <v>42</v>
      </c>
      <c r="B585" t="s">
        <v>1014</v>
      </c>
      <c r="C585" t="s">
        <v>1025</v>
      </c>
      <c r="D585">
        <v>26</v>
      </c>
      <c r="E585">
        <v>5</v>
      </c>
      <c r="F585" s="3">
        <v>81480</v>
      </c>
      <c r="G585">
        <v>42</v>
      </c>
      <c r="H585">
        <v>7</v>
      </c>
      <c r="I585">
        <v>3</v>
      </c>
      <c r="J585">
        <v>36</v>
      </c>
      <c r="K585">
        <v>2.7</v>
      </c>
      <c r="L585" s="3">
        <v>7.2</v>
      </c>
      <c r="M585" t="s">
        <v>1035</v>
      </c>
      <c r="N585">
        <v>62.97</v>
      </c>
    </row>
    <row r="586" spans="1:14" x14ac:dyDescent="0.3">
      <c r="A586" t="s">
        <v>78</v>
      </c>
      <c r="B586" t="s">
        <v>1018</v>
      </c>
      <c r="C586" t="s">
        <v>1028</v>
      </c>
      <c r="D586">
        <v>26</v>
      </c>
      <c r="E586">
        <v>4</v>
      </c>
      <c r="F586" s="3">
        <v>70260</v>
      </c>
      <c r="G586">
        <v>55</v>
      </c>
      <c r="H586">
        <v>4</v>
      </c>
      <c r="I586">
        <v>3</v>
      </c>
      <c r="J586">
        <v>19</v>
      </c>
      <c r="K586">
        <v>4.5999999999999996</v>
      </c>
      <c r="L586" s="3">
        <v>7.2</v>
      </c>
      <c r="M586" t="s">
        <v>1035</v>
      </c>
      <c r="N586">
        <v>63.67</v>
      </c>
    </row>
    <row r="587" spans="1:14" x14ac:dyDescent="0.3">
      <c r="A587" t="s">
        <v>132</v>
      </c>
      <c r="B587" t="s">
        <v>1015</v>
      </c>
      <c r="C587" t="s">
        <v>1021</v>
      </c>
      <c r="D587">
        <v>35</v>
      </c>
      <c r="E587">
        <v>13</v>
      </c>
      <c r="F587" s="3">
        <v>81996</v>
      </c>
      <c r="G587">
        <v>42</v>
      </c>
      <c r="H587">
        <v>6</v>
      </c>
      <c r="I587">
        <v>24</v>
      </c>
      <c r="J587">
        <v>9</v>
      </c>
      <c r="K587">
        <v>4.4000000000000004</v>
      </c>
      <c r="L587" s="3">
        <v>7.2</v>
      </c>
      <c r="M587" t="s">
        <v>1035</v>
      </c>
      <c r="N587">
        <v>66.400000000000006</v>
      </c>
    </row>
    <row r="588" spans="1:14" x14ac:dyDescent="0.3">
      <c r="A588" t="s">
        <v>187</v>
      </c>
      <c r="B588" t="s">
        <v>1018</v>
      </c>
      <c r="C588" t="s">
        <v>1032</v>
      </c>
      <c r="D588">
        <v>40</v>
      </c>
      <c r="E588">
        <v>10</v>
      </c>
      <c r="F588" s="3">
        <v>31723</v>
      </c>
      <c r="G588">
        <v>37</v>
      </c>
      <c r="H588">
        <v>6</v>
      </c>
      <c r="I588">
        <v>21</v>
      </c>
      <c r="J588">
        <v>18</v>
      </c>
      <c r="K588">
        <v>2.9</v>
      </c>
      <c r="L588" s="3">
        <v>7.2</v>
      </c>
      <c r="M588" t="s">
        <v>1035</v>
      </c>
      <c r="N588">
        <v>61.9</v>
      </c>
    </row>
    <row r="589" spans="1:14" x14ac:dyDescent="0.3">
      <c r="A589" t="s">
        <v>201</v>
      </c>
      <c r="B589" t="s">
        <v>1015</v>
      </c>
      <c r="C589" t="s">
        <v>1020</v>
      </c>
      <c r="D589">
        <v>32</v>
      </c>
      <c r="E589">
        <v>9</v>
      </c>
      <c r="F589" s="3">
        <v>86709</v>
      </c>
      <c r="G589">
        <v>53</v>
      </c>
      <c r="H589">
        <v>3</v>
      </c>
      <c r="I589">
        <v>5</v>
      </c>
      <c r="J589">
        <v>39</v>
      </c>
      <c r="K589">
        <v>4.2</v>
      </c>
      <c r="L589" s="3">
        <v>7.2</v>
      </c>
      <c r="M589" t="s">
        <v>1035</v>
      </c>
      <c r="N589">
        <v>60.8</v>
      </c>
    </row>
    <row r="590" spans="1:14" x14ac:dyDescent="0.3">
      <c r="A590" t="s">
        <v>228</v>
      </c>
      <c r="B590" t="s">
        <v>1014</v>
      </c>
      <c r="C590" t="s">
        <v>1031</v>
      </c>
      <c r="D590">
        <v>47</v>
      </c>
      <c r="E590">
        <v>15</v>
      </c>
      <c r="F590" s="3">
        <v>37210</v>
      </c>
      <c r="G590">
        <v>44</v>
      </c>
      <c r="H590">
        <v>15</v>
      </c>
      <c r="I590">
        <v>1</v>
      </c>
      <c r="J590">
        <v>0</v>
      </c>
      <c r="K590">
        <v>2.9</v>
      </c>
      <c r="L590" s="3">
        <v>7.2</v>
      </c>
      <c r="M590" t="s">
        <v>1035</v>
      </c>
      <c r="N590">
        <v>76.900000000000006</v>
      </c>
    </row>
    <row r="591" spans="1:14" x14ac:dyDescent="0.3">
      <c r="A591" t="s">
        <v>245</v>
      </c>
      <c r="B591" t="s">
        <v>1014</v>
      </c>
      <c r="C591" t="s">
        <v>1025</v>
      </c>
      <c r="D591">
        <v>48</v>
      </c>
      <c r="E591">
        <v>0</v>
      </c>
      <c r="F591" s="3">
        <v>40772</v>
      </c>
      <c r="G591">
        <v>41</v>
      </c>
      <c r="H591">
        <v>2</v>
      </c>
      <c r="I591">
        <v>3</v>
      </c>
      <c r="J591">
        <v>38</v>
      </c>
      <c r="K591">
        <v>2.1</v>
      </c>
      <c r="L591" s="3">
        <v>7.2</v>
      </c>
      <c r="M591" t="s">
        <v>1035</v>
      </c>
      <c r="N591">
        <v>52.83</v>
      </c>
    </row>
    <row r="592" spans="1:14" x14ac:dyDescent="0.3">
      <c r="A592" t="s">
        <v>296</v>
      </c>
      <c r="B592" t="s">
        <v>1018</v>
      </c>
      <c r="C592" t="s">
        <v>1027</v>
      </c>
      <c r="D592">
        <v>41</v>
      </c>
      <c r="E592">
        <v>3</v>
      </c>
      <c r="F592" s="3">
        <v>36996</v>
      </c>
      <c r="G592">
        <v>46</v>
      </c>
      <c r="H592">
        <v>12</v>
      </c>
      <c r="I592">
        <v>4</v>
      </c>
      <c r="J592">
        <v>32</v>
      </c>
      <c r="K592">
        <v>3.2</v>
      </c>
      <c r="L592" s="3">
        <v>7.2</v>
      </c>
      <c r="M592" t="s">
        <v>1035</v>
      </c>
      <c r="N592">
        <v>72.8</v>
      </c>
    </row>
    <row r="593" spans="1:14" x14ac:dyDescent="0.3">
      <c r="A593" t="s">
        <v>554</v>
      </c>
      <c r="B593" t="s">
        <v>1016</v>
      </c>
      <c r="C593" t="s">
        <v>1022</v>
      </c>
      <c r="D593">
        <v>45</v>
      </c>
      <c r="E593">
        <v>14</v>
      </c>
      <c r="F593" s="3">
        <v>54327</v>
      </c>
      <c r="G593">
        <v>47</v>
      </c>
      <c r="H593">
        <v>1</v>
      </c>
      <c r="I593">
        <v>23</v>
      </c>
      <c r="J593">
        <v>2</v>
      </c>
      <c r="K593">
        <v>4.9000000000000004</v>
      </c>
      <c r="L593" s="3">
        <v>7.2</v>
      </c>
      <c r="M593" t="s">
        <v>1035</v>
      </c>
      <c r="N593">
        <v>59.57</v>
      </c>
    </row>
    <row r="594" spans="1:14" x14ac:dyDescent="0.3">
      <c r="A594" t="s">
        <v>596</v>
      </c>
      <c r="B594" t="s">
        <v>1018</v>
      </c>
      <c r="C594" t="s">
        <v>1028</v>
      </c>
      <c r="D594">
        <v>35</v>
      </c>
      <c r="E594">
        <v>9</v>
      </c>
      <c r="F594" s="3">
        <v>68219</v>
      </c>
      <c r="G594">
        <v>50</v>
      </c>
      <c r="H594">
        <v>8</v>
      </c>
      <c r="I594">
        <v>13</v>
      </c>
      <c r="J594">
        <v>28</v>
      </c>
      <c r="K594">
        <v>2.2000000000000002</v>
      </c>
      <c r="L594" s="3">
        <v>7.2</v>
      </c>
      <c r="M594" t="s">
        <v>1035</v>
      </c>
      <c r="N594">
        <v>63.13</v>
      </c>
    </row>
    <row r="595" spans="1:14" x14ac:dyDescent="0.3">
      <c r="A595" t="s">
        <v>601</v>
      </c>
      <c r="B595" t="s">
        <v>1018</v>
      </c>
      <c r="C595" t="s">
        <v>1027</v>
      </c>
      <c r="D595">
        <v>25</v>
      </c>
      <c r="E595">
        <v>0</v>
      </c>
      <c r="F595" s="3">
        <v>62445</v>
      </c>
      <c r="G595">
        <v>55</v>
      </c>
      <c r="H595">
        <v>9</v>
      </c>
      <c r="I595">
        <v>2</v>
      </c>
      <c r="J595">
        <v>30</v>
      </c>
      <c r="K595">
        <v>4.2</v>
      </c>
      <c r="L595" s="3">
        <v>7.2</v>
      </c>
      <c r="M595" t="s">
        <v>1035</v>
      </c>
      <c r="N595">
        <v>70.8</v>
      </c>
    </row>
    <row r="596" spans="1:14" x14ac:dyDescent="0.3">
      <c r="A596" t="s">
        <v>643</v>
      </c>
      <c r="B596" t="s">
        <v>1015</v>
      </c>
      <c r="C596" t="s">
        <v>1021</v>
      </c>
      <c r="D596">
        <v>43</v>
      </c>
      <c r="E596">
        <v>13</v>
      </c>
      <c r="F596" s="3">
        <v>48128</v>
      </c>
      <c r="G596">
        <v>44</v>
      </c>
      <c r="H596">
        <v>5</v>
      </c>
      <c r="I596">
        <v>5</v>
      </c>
      <c r="J596">
        <v>2</v>
      </c>
      <c r="K596">
        <v>4.0999999999999996</v>
      </c>
      <c r="L596" s="3">
        <v>7.2</v>
      </c>
      <c r="M596" t="s">
        <v>1035</v>
      </c>
      <c r="N596">
        <v>63.83</v>
      </c>
    </row>
    <row r="597" spans="1:14" x14ac:dyDescent="0.3">
      <c r="A597" t="s">
        <v>714</v>
      </c>
      <c r="B597" t="s">
        <v>1017</v>
      </c>
      <c r="C597" t="s">
        <v>1030</v>
      </c>
      <c r="D597">
        <v>50</v>
      </c>
      <c r="E597">
        <v>9</v>
      </c>
      <c r="F597" s="3">
        <v>35734</v>
      </c>
      <c r="G597">
        <v>48</v>
      </c>
      <c r="H597">
        <v>12</v>
      </c>
      <c r="I597">
        <v>13</v>
      </c>
      <c r="J597">
        <v>8</v>
      </c>
      <c r="K597">
        <v>4.5</v>
      </c>
      <c r="L597" s="3">
        <v>7.2</v>
      </c>
      <c r="M597" t="s">
        <v>1035</v>
      </c>
      <c r="N597">
        <v>76.7</v>
      </c>
    </row>
    <row r="598" spans="1:14" x14ac:dyDescent="0.3">
      <c r="A598" t="s">
        <v>723</v>
      </c>
      <c r="B598" t="s">
        <v>1016</v>
      </c>
      <c r="C598" t="s">
        <v>1023</v>
      </c>
      <c r="D598">
        <v>55</v>
      </c>
      <c r="E598">
        <v>2</v>
      </c>
      <c r="F598" s="3">
        <v>58676</v>
      </c>
      <c r="G598">
        <v>41</v>
      </c>
      <c r="H598">
        <v>13</v>
      </c>
      <c r="I598">
        <v>20</v>
      </c>
      <c r="J598">
        <v>11</v>
      </c>
      <c r="K598">
        <v>4.3</v>
      </c>
      <c r="L598" s="3">
        <v>7.2</v>
      </c>
      <c r="M598" t="s">
        <v>1035</v>
      </c>
      <c r="N598">
        <v>77.77</v>
      </c>
    </row>
    <row r="599" spans="1:14" x14ac:dyDescent="0.3">
      <c r="A599" t="s">
        <v>872</v>
      </c>
      <c r="B599" t="s">
        <v>1016</v>
      </c>
      <c r="C599" t="s">
        <v>1023</v>
      </c>
      <c r="D599">
        <v>54</v>
      </c>
      <c r="E599">
        <v>15</v>
      </c>
      <c r="F599" s="3">
        <v>36172</v>
      </c>
      <c r="G599">
        <v>52</v>
      </c>
      <c r="H599">
        <v>4</v>
      </c>
      <c r="I599">
        <v>21</v>
      </c>
      <c r="J599">
        <v>36</v>
      </c>
      <c r="K599">
        <v>4</v>
      </c>
      <c r="L599" s="3">
        <v>7.2</v>
      </c>
      <c r="M599" t="s">
        <v>1035</v>
      </c>
      <c r="N599">
        <v>61.87</v>
      </c>
    </row>
    <row r="600" spans="1:14" x14ac:dyDescent="0.3">
      <c r="A600" t="s">
        <v>906</v>
      </c>
      <c r="B600" t="s">
        <v>1018</v>
      </c>
      <c r="C600" t="s">
        <v>1028</v>
      </c>
      <c r="D600">
        <v>43</v>
      </c>
      <c r="E600">
        <v>6</v>
      </c>
      <c r="F600" s="3">
        <v>69243</v>
      </c>
      <c r="G600">
        <v>45</v>
      </c>
      <c r="H600">
        <v>5</v>
      </c>
      <c r="I600">
        <v>9</v>
      </c>
      <c r="J600">
        <v>17</v>
      </c>
      <c r="K600">
        <v>2.6</v>
      </c>
      <c r="L600" s="3">
        <v>7.2</v>
      </c>
      <c r="M600" t="s">
        <v>1035</v>
      </c>
      <c r="N600">
        <v>59.33</v>
      </c>
    </row>
    <row r="601" spans="1:14" x14ac:dyDescent="0.3">
      <c r="A601" t="s">
        <v>976</v>
      </c>
      <c r="B601" t="s">
        <v>1017</v>
      </c>
      <c r="C601" t="s">
        <v>1030</v>
      </c>
      <c r="D601">
        <v>49</v>
      </c>
      <c r="E601">
        <v>10</v>
      </c>
      <c r="F601" s="3">
        <v>75546</v>
      </c>
      <c r="G601">
        <v>46</v>
      </c>
      <c r="H601">
        <v>13</v>
      </c>
      <c r="I601">
        <v>21</v>
      </c>
      <c r="J601">
        <v>8</v>
      </c>
      <c r="K601">
        <v>3.6</v>
      </c>
      <c r="L601" s="3">
        <v>7.2</v>
      </c>
      <c r="M601" t="s">
        <v>1035</v>
      </c>
      <c r="N601">
        <v>75.67</v>
      </c>
    </row>
    <row r="602" spans="1:14" x14ac:dyDescent="0.3">
      <c r="A602" t="s">
        <v>92</v>
      </c>
      <c r="B602" t="s">
        <v>1015</v>
      </c>
      <c r="C602" t="s">
        <v>1020</v>
      </c>
      <c r="D602">
        <v>36</v>
      </c>
      <c r="E602">
        <v>12</v>
      </c>
      <c r="F602" s="3">
        <v>54524</v>
      </c>
      <c r="G602">
        <v>49</v>
      </c>
      <c r="H602">
        <v>5</v>
      </c>
      <c r="I602">
        <v>18</v>
      </c>
      <c r="J602">
        <v>27</v>
      </c>
      <c r="K602">
        <v>2.9</v>
      </c>
      <c r="L602" s="3">
        <v>7.3</v>
      </c>
      <c r="M602" t="s">
        <v>1035</v>
      </c>
      <c r="N602">
        <v>60.83</v>
      </c>
    </row>
    <row r="603" spans="1:14" x14ac:dyDescent="0.3">
      <c r="A603" t="s">
        <v>161</v>
      </c>
      <c r="B603" t="s">
        <v>1014</v>
      </c>
      <c r="C603" t="s">
        <v>1031</v>
      </c>
      <c r="D603">
        <v>54</v>
      </c>
      <c r="E603">
        <v>5</v>
      </c>
      <c r="F603" s="3">
        <v>27565</v>
      </c>
      <c r="G603">
        <v>42</v>
      </c>
      <c r="H603">
        <v>12</v>
      </c>
      <c r="I603">
        <v>14</v>
      </c>
      <c r="J603">
        <v>28</v>
      </c>
      <c r="K603">
        <v>3.6</v>
      </c>
      <c r="L603" s="3">
        <v>7.3</v>
      </c>
      <c r="M603" t="s">
        <v>1035</v>
      </c>
      <c r="N603">
        <v>74.599999999999994</v>
      </c>
    </row>
    <row r="604" spans="1:14" x14ac:dyDescent="0.3">
      <c r="A604" t="s">
        <v>176</v>
      </c>
      <c r="B604" t="s">
        <v>1014</v>
      </c>
      <c r="C604" t="s">
        <v>1031</v>
      </c>
      <c r="D604">
        <v>27</v>
      </c>
      <c r="E604">
        <v>0</v>
      </c>
      <c r="F604" s="3">
        <v>41772</v>
      </c>
      <c r="G604">
        <v>41</v>
      </c>
      <c r="H604">
        <v>14</v>
      </c>
      <c r="I604">
        <v>4</v>
      </c>
      <c r="J604">
        <v>35</v>
      </c>
      <c r="K604">
        <v>4.8</v>
      </c>
      <c r="L604" s="3">
        <v>7.3</v>
      </c>
      <c r="M604" t="s">
        <v>1035</v>
      </c>
      <c r="N604">
        <v>81.53</v>
      </c>
    </row>
    <row r="605" spans="1:14" x14ac:dyDescent="0.3">
      <c r="A605" t="s">
        <v>200</v>
      </c>
      <c r="B605" t="s">
        <v>1016</v>
      </c>
      <c r="C605" t="s">
        <v>1023</v>
      </c>
      <c r="D605">
        <v>27</v>
      </c>
      <c r="E605">
        <v>2</v>
      </c>
      <c r="F605" s="3">
        <v>37864</v>
      </c>
      <c r="G605">
        <v>55</v>
      </c>
      <c r="H605">
        <v>9</v>
      </c>
      <c r="I605">
        <v>8</v>
      </c>
      <c r="J605">
        <v>8</v>
      </c>
      <c r="K605">
        <v>3.9</v>
      </c>
      <c r="L605" s="3">
        <v>7.3</v>
      </c>
      <c r="M605" t="s">
        <v>1035</v>
      </c>
      <c r="N605">
        <v>70.5</v>
      </c>
    </row>
    <row r="606" spans="1:14" x14ac:dyDescent="0.3">
      <c r="A606" t="s">
        <v>285</v>
      </c>
      <c r="B606" t="s">
        <v>1015</v>
      </c>
      <c r="C606" t="s">
        <v>1020</v>
      </c>
      <c r="D606">
        <v>27</v>
      </c>
      <c r="E606">
        <v>0</v>
      </c>
      <c r="F606" s="3">
        <v>75394</v>
      </c>
      <c r="G606">
        <v>42</v>
      </c>
      <c r="H606">
        <v>11</v>
      </c>
      <c r="I606">
        <v>21</v>
      </c>
      <c r="J606">
        <v>22</v>
      </c>
      <c r="K606">
        <v>2.5</v>
      </c>
      <c r="L606" s="3">
        <v>7.3</v>
      </c>
      <c r="M606" t="s">
        <v>1035</v>
      </c>
      <c r="N606">
        <v>69.63</v>
      </c>
    </row>
    <row r="607" spans="1:14" x14ac:dyDescent="0.3">
      <c r="A607" t="s">
        <v>390</v>
      </c>
      <c r="B607" t="s">
        <v>1014</v>
      </c>
      <c r="C607" t="s">
        <v>1031</v>
      </c>
      <c r="D607">
        <v>52</v>
      </c>
      <c r="E607">
        <v>4</v>
      </c>
      <c r="F607" s="3">
        <v>67426</v>
      </c>
      <c r="G607">
        <v>40</v>
      </c>
      <c r="H607">
        <v>10</v>
      </c>
      <c r="I607">
        <v>25</v>
      </c>
      <c r="J607">
        <v>0</v>
      </c>
      <c r="K607">
        <v>2.7</v>
      </c>
      <c r="L607" s="3">
        <v>7.3</v>
      </c>
      <c r="M607" t="s">
        <v>1035</v>
      </c>
      <c r="N607">
        <v>68.569999999999993</v>
      </c>
    </row>
    <row r="608" spans="1:14" x14ac:dyDescent="0.3">
      <c r="A608" t="s">
        <v>508</v>
      </c>
      <c r="B608" t="s">
        <v>1017</v>
      </c>
      <c r="C608" t="s">
        <v>1026</v>
      </c>
      <c r="D608">
        <v>42</v>
      </c>
      <c r="E608">
        <v>0</v>
      </c>
      <c r="F608" s="3">
        <v>25774</v>
      </c>
      <c r="G608">
        <v>41</v>
      </c>
      <c r="H608">
        <v>7</v>
      </c>
      <c r="I608">
        <v>18</v>
      </c>
      <c r="J608">
        <v>6</v>
      </c>
      <c r="K608">
        <v>3</v>
      </c>
      <c r="L608" s="3">
        <v>7.3</v>
      </c>
      <c r="M608" t="s">
        <v>1035</v>
      </c>
      <c r="N608">
        <v>64.47</v>
      </c>
    </row>
    <row r="609" spans="1:14" x14ac:dyDescent="0.3">
      <c r="A609" t="s">
        <v>520</v>
      </c>
      <c r="B609" t="s">
        <v>1014</v>
      </c>
      <c r="C609" t="s">
        <v>1019</v>
      </c>
      <c r="D609">
        <v>52</v>
      </c>
      <c r="E609">
        <v>1</v>
      </c>
      <c r="F609" s="3">
        <v>26727</v>
      </c>
      <c r="G609">
        <v>47</v>
      </c>
      <c r="H609">
        <v>9</v>
      </c>
      <c r="I609">
        <v>24</v>
      </c>
      <c r="J609">
        <v>5</v>
      </c>
      <c r="K609">
        <v>2.2999999999999998</v>
      </c>
      <c r="L609" s="3">
        <v>7.3</v>
      </c>
      <c r="M609" t="s">
        <v>1035</v>
      </c>
      <c r="N609">
        <v>65.7</v>
      </c>
    </row>
    <row r="610" spans="1:14" x14ac:dyDescent="0.3">
      <c r="A610" t="s">
        <v>538</v>
      </c>
      <c r="B610" t="s">
        <v>1015</v>
      </c>
      <c r="C610" t="s">
        <v>1020</v>
      </c>
      <c r="D610">
        <v>52</v>
      </c>
      <c r="E610">
        <v>4</v>
      </c>
      <c r="F610" s="3">
        <v>49339</v>
      </c>
      <c r="G610">
        <v>37</v>
      </c>
      <c r="H610">
        <v>4</v>
      </c>
      <c r="I610">
        <v>5</v>
      </c>
      <c r="J610">
        <v>31</v>
      </c>
      <c r="K610">
        <v>2.2999999999999998</v>
      </c>
      <c r="L610" s="3">
        <v>7.3</v>
      </c>
      <c r="M610" t="s">
        <v>1035</v>
      </c>
      <c r="N610">
        <v>57.37</v>
      </c>
    </row>
    <row r="611" spans="1:14" x14ac:dyDescent="0.3">
      <c r="A611" t="s">
        <v>567</v>
      </c>
      <c r="B611" t="s">
        <v>1018</v>
      </c>
      <c r="C611" t="s">
        <v>1028</v>
      </c>
      <c r="D611">
        <v>45</v>
      </c>
      <c r="E611">
        <v>4</v>
      </c>
      <c r="F611" s="3">
        <v>74658</v>
      </c>
      <c r="G611">
        <v>37</v>
      </c>
      <c r="H611">
        <v>2</v>
      </c>
      <c r="I611">
        <v>23</v>
      </c>
      <c r="J611">
        <v>3</v>
      </c>
      <c r="K611">
        <v>2.7</v>
      </c>
      <c r="L611" s="3">
        <v>7.3</v>
      </c>
      <c r="M611" t="s">
        <v>1035</v>
      </c>
      <c r="N611">
        <v>55.23</v>
      </c>
    </row>
    <row r="612" spans="1:14" x14ac:dyDescent="0.3">
      <c r="A612" t="s">
        <v>570</v>
      </c>
      <c r="B612" t="s">
        <v>1014</v>
      </c>
      <c r="C612" t="s">
        <v>1019</v>
      </c>
      <c r="D612">
        <v>46</v>
      </c>
      <c r="E612">
        <v>1</v>
      </c>
      <c r="F612" s="3">
        <v>41741</v>
      </c>
      <c r="G612">
        <v>40</v>
      </c>
      <c r="H612">
        <v>1</v>
      </c>
      <c r="I612">
        <v>9</v>
      </c>
      <c r="J612">
        <v>12</v>
      </c>
      <c r="K612">
        <v>4.4000000000000004</v>
      </c>
      <c r="L612" s="3">
        <v>7.3</v>
      </c>
      <c r="M612" t="s">
        <v>1035</v>
      </c>
      <c r="N612">
        <v>58.67</v>
      </c>
    </row>
    <row r="613" spans="1:14" x14ac:dyDescent="0.3">
      <c r="A613" t="s">
        <v>595</v>
      </c>
      <c r="B613" t="s">
        <v>1014</v>
      </c>
      <c r="C613" t="s">
        <v>1031</v>
      </c>
      <c r="D613">
        <v>38</v>
      </c>
      <c r="E613">
        <v>0</v>
      </c>
      <c r="F613" s="3">
        <v>55057</v>
      </c>
      <c r="G613">
        <v>50</v>
      </c>
      <c r="H613">
        <v>14</v>
      </c>
      <c r="I613">
        <v>15</v>
      </c>
      <c r="J613">
        <v>34</v>
      </c>
      <c r="K613">
        <v>4.4000000000000004</v>
      </c>
      <c r="L613" s="3">
        <v>7.3</v>
      </c>
      <c r="M613" t="s">
        <v>1035</v>
      </c>
      <c r="N613">
        <v>80.33</v>
      </c>
    </row>
    <row r="614" spans="1:14" x14ac:dyDescent="0.3">
      <c r="A614" t="s">
        <v>602</v>
      </c>
      <c r="B614" t="s">
        <v>1016</v>
      </c>
      <c r="C614" t="s">
        <v>1033</v>
      </c>
      <c r="D614">
        <v>49</v>
      </c>
      <c r="E614">
        <v>10</v>
      </c>
      <c r="F614" s="3">
        <v>42017</v>
      </c>
      <c r="G614">
        <v>51</v>
      </c>
      <c r="H614">
        <v>10</v>
      </c>
      <c r="I614">
        <v>19</v>
      </c>
      <c r="J614">
        <v>22</v>
      </c>
      <c r="K614">
        <v>4.8</v>
      </c>
      <c r="L614" s="3">
        <v>7.3</v>
      </c>
      <c r="M614" t="s">
        <v>1035</v>
      </c>
      <c r="N614">
        <v>74.87</v>
      </c>
    </row>
    <row r="615" spans="1:14" x14ac:dyDescent="0.3">
      <c r="A615" t="s">
        <v>618</v>
      </c>
      <c r="B615" t="s">
        <v>1016</v>
      </c>
      <c r="C615" t="s">
        <v>1033</v>
      </c>
      <c r="D615">
        <v>39</v>
      </c>
      <c r="E615">
        <v>4</v>
      </c>
      <c r="F615" s="3">
        <v>86818</v>
      </c>
      <c r="G615">
        <v>44</v>
      </c>
      <c r="H615">
        <v>10</v>
      </c>
      <c r="I615">
        <v>7</v>
      </c>
      <c r="J615">
        <v>10</v>
      </c>
      <c r="K615">
        <v>2.2000000000000002</v>
      </c>
      <c r="L615" s="3">
        <v>7.3</v>
      </c>
      <c r="M615" t="s">
        <v>1035</v>
      </c>
      <c r="N615">
        <v>67.069999999999993</v>
      </c>
    </row>
    <row r="616" spans="1:14" x14ac:dyDescent="0.3">
      <c r="A616" t="s">
        <v>632</v>
      </c>
      <c r="B616" t="s">
        <v>1016</v>
      </c>
      <c r="C616" t="s">
        <v>1022</v>
      </c>
      <c r="D616">
        <v>41</v>
      </c>
      <c r="E616">
        <v>9</v>
      </c>
      <c r="F616" s="3">
        <v>85194</v>
      </c>
      <c r="G616">
        <v>48</v>
      </c>
      <c r="H616">
        <v>12</v>
      </c>
      <c r="I616">
        <v>11</v>
      </c>
      <c r="J616">
        <v>5</v>
      </c>
      <c r="K616">
        <v>3.7</v>
      </c>
      <c r="L616" s="3">
        <v>7.3</v>
      </c>
      <c r="M616" t="s">
        <v>1035</v>
      </c>
      <c r="N616">
        <v>74.900000000000006</v>
      </c>
    </row>
    <row r="617" spans="1:14" x14ac:dyDescent="0.3">
      <c r="A617" t="s">
        <v>889</v>
      </c>
      <c r="B617" t="s">
        <v>1018</v>
      </c>
      <c r="C617" t="s">
        <v>1032</v>
      </c>
      <c r="D617">
        <v>52</v>
      </c>
      <c r="E617">
        <v>14</v>
      </c>
      <c r="F617" s="3">
        <v>64306</v>
      </c>
      <c r="G617">
        <v>45</v>
      </c>
      <c r="H617">
        <v>14</v>
      </c>
      <c r="I617">
        <v>18</v>
      </c>
      <c r="J617">
        <v>36</v>
      </c>
      <c r="K617">
        <v>4.9000000000000004</v>
      </c>
      <c r="L617" s="3">
        <v>7.3</v>
      </c>
      <c r="M617" t="s">
        <v>1035</v>
      </c>
      <c r="N617">
        <v>81.83</v>
      </c>
    </row>
    <row r="618" spans="1:14" x14ac:dyDescent="0.3">
      <c r="A618" t="s">
        <v>1003</v>
      </c>
      <c r="B618" t="s">
        <v>1015</v>
      </c>
      <c r="C618" t="s">
        <v>1029</v>
      </c>
      <c r="D618">
        <v>53</v>
      </c>
      <c r="E618">
        <v>3</v>
      </c>
      <c r="F618" s="3">
        <v>59665</v>
      </c>
      <c r="G618">
        <v>46</v>
      </c>
      <c r="H618">
        <v>12</v>
      </c>
      <c r="I618">
        <v>18</v>
      </c>
      <c r="J618">
        <v>18</v>
      </c>
      <c r="K618">
        <v>3.7</v>
      </c>
      <c r="L618" s="3">
        <v>7.3</v>
      </c>
      <c r="M618" t="s">
        <v>1035</v>
      </c>
      <c r="N618">
        <v>74.900000000000006</v>
      </c>
    </row>
    <row r="619" spans="1:14" x14ac:dyDescent="0.3">
      <c r="A619" t="s">
        <v>47</v>
      </c>
      <c r="B619" t="s">
        <v>1014</v>
      </c>
      <c r="C619" t="s">
        <v>1031</v>
      </c>
      <c r="D619">
        <v>31</v>
      </c>
      <c r="E619">
        <v>4</v>
      </c>
      <c r="F619" s="3">
        <v>43465</v>
      </c>
      <c r="G619">
        <v>54</v>
      </c>
      <c r="H619">
        <v>4</v>
      </c>
      <c r="I619">
        <v>22</v>
      </c>
      <c r="J619">
        <v>21</v>
      </c>
      <c r="K619">
        <v>2.6</v>
      </c>
      <c r="L619" s="3">
        <v>7.4</v>
      </c>
      <c r="M619" t="s">
        <v>1035</v>
      </c>
      <c r="N619">
        <v>58.87</v>
      </c>
    </row>
    <row r="620" spans="1:14" x14ac:dyDescent="0.3">
      <c r="A620" t="s">
        <v>137</v>
      </c>
      <c r="B620" t="s">
        <v>1017</v>
      </c>
      <c r="C620" t="s">
        <v>1024</v>
      </c>
      <c r="D620">
        <v>26</v>
      </c>
      <c r="E620">
        <v>0</v>
      </c>
      <c r="F620" s="3">
        <v>46109</v>
      </c>
      <c r="G620">
        <v>54</v>
      </c>
      <c r="H620">
        <v>3</v>
      </c>
      <c r="I620">
        <v>2</v>
      </c>
      <c r="J620">
        <v>8</v>
      </c>
      <c r="K620">
        <v>2.8</v>
      </c>
      <c r="L620" s="3">
        <v>7.4</v>
      </c>
      <c r="M620" t="s">
        <v>1035</v>
      </c>
      <c r="N620">
        <v>57.8</v>
      </c>
    </row>
    <row r="621" spans="1:14" x14ac:dyDescent="0.3">
      <c r="A621" t="s">
        <v>177</v>
      </c>
      <c r="B621" t="s">
        <v>1014</v>
      </c>
      <c r="C621" t="s">
        <v>1019</v>
      </c>
      <c r="D621">
        <v>40</v>
      </c>
      <c r="E621">
        <v>7</v>
      </c>
      <c r="F621" s="3">
        <v>44736</v>
      </c>
      <c r="G621">
        <v>38</v>
      </c>
      <c r="H621">
        <v>1</v>
      </c>
      <c r="I621">
        <v>7</v>
      </c>
      <c r="J621">
        <v>26</v>
      </c>
      <c r="K621">
        <v>3.9</v>
      </c>
      <c r="L621" s="3">
        <v>7.4</v>
      </c>
      <c r="M621" t="s">
        <v>1035</v>
      </c>
      <c r="N621">
        <v>57.77</v>
      </c>
    </row>
    <row r="622" spans="1:14" x14ac:dyDescent="0.3">
      <c r="A622" t="s">
        <v>323</v>
      </c>
      <c r="B622" t="s">
        <v>1014</v>
      </c>
      <c r="C622" t="s">
        <v>1025</v>
      </c>
      <c r="D622">
        <v>26</v>
      </c>
      <c r="E622">
        <v>0</v>
      </c>
      <c r="F622" s="3">
        <v>42182</v>
      </c>
      <c r="G622">
        <v>41</v>
      </c>
      <c r="H622">
        <v>1</v>
      </c>
      <c r="I622">
        <v>1</v>
      </c>
      <c r="J622">
        <v>25</v>
      </c>
      <c r="K622">
        <v>3.5</v>
      </c>
      <c r="L622" s="3">
        <v>7.4</v>
      </c>
      <c r="M622" t="s">
        <v>1035</v>
      </c>
      <c r="N622">
        <v>56.57</v>
      </c>
    </row>
    <row r="623" spans="1:14" x14ac:dyDescent="0.3">
      <c r="A623" t="s">
        <v>455</v>
      </c>
      <c r="B623" t="s">
        <v>1016</v>
      </c>
      <c r="C623" t="s">
        <v>1033</v>
      </c>
      <c r="D623">
        <v>26</v>
      </c>
      <c r="E623">
        <v>4</v>
      </c>
      <c r="F623" s="3">
        <v>78845</v>
      </c>
      <c r="G623">
        <v>42</v>
      </c>
      <c r="H623">
        <v>15</v>
      </c>
      <c r="I623">
        <v>8</v>
      </c>
      <c r="J623">
        <v>26</v>
      </c>
      <c r="K623">
        <v>3.2</v>
      </c>
      <c r="L623" s="3">
        <v>7.4</v>
      </c>
      <c r="M623" t="s">
        <v>1035</v>
      </c>
      <c r="N623">
        <v>79</v>
      </c>
    </row>
    <row r="624" spans="1:14" x14ac:dyDescent="0.3">
      <c r="A624" t="s">
        <v>756</v>
      </c>
      <c r="B624" t="s">
        <v>1014</v>
      </c>
      <c r="C624" t="s">
        <v>1019</v>
      </c>
      <c r="D624">
        <v>35</v>
      </c>
      <c r="E624">
        <v>4</v>
      </c>
      <c r="F624" s="3">
        <v>42377</v>
      </c>
      <c r="G624">
        <v>36</v>
      </c>
      <c r="H624">
        <v>5</v>
      </c>
      <c r="I624">
        <v>18</v>
      </c>
      <c r="J624">
        <v>25</v>
      </c>
      <c r="K624">
        <v>4.4000000000000004</v>
      </c>
      <c r="L624" s="3">
        <v>7.4</v>
      </c>
      <c r="M624" t="s">
        <v>1035</v>
      </c>
      <c r="N624">
        <v>65.930000000000007</v>
      </c>
    </row>
    <row r="625" spans="1:14" x14ac:dyDescent="0.3">
      <c r="A625" t="s">
        <v>758</v>
      </c>
      <c r="B625" t="s">
        <v>1016</v>
      </c>
      <c r="C625" t="s">
        <v>1033</v>
      </c>
      <c r="D625">
        <v>54</v>
      </c>
      <c r="E625">
        <v>9</v>
      </c>
      <c r="F625" s="3">
        <v>53371</v>
      </c>
      <c r="G625">
        <v>52</v>
      </c>
      <c r="H625">
        <v>6</v>
      </c>
      <c r="I625">
        <v>6</v>
      </c>
      <c r="J625">
        <v>26</v>
      </c>
      <c r="K625">
        <v>3.2</v>
      </c>
      <c r="L625" s="3">
        <v>7.4</v>
      </c>
      <c r="M625" t="s">
        <v>1035</v>
      </c>
      <c r="N625">
        <v>64</v>
      </c>
    </row>
    <row r="626" spans="1:14" x14ac:dyDescent="0.3">
      <c r="A626" t="s">
        <v>802</v>
      </c>
      <c r="B626" t="s">
        <v>1017</v>
      </c>
      <c r="C626" t="s">
        <v>1030</v>
      </c>
      <c r="D626">
        <v>39</v>
      </c>
      <c r="E626">
        <v>13</v>
      </c>
      <c r="F626" s="3">
        <v>30912</v>
      </c>
      <c r="G626">
        <v>48</v>
      </c>
      <c r="H626">
        <v>13</v>
      </c>
      <c r="I626">
        <v>11</v>
      </c>
      <c r="J626">
        <v>39</v>
      </c>
      <c r="K626">
        <v>2.6</v>
      </c>
      <c r="L626" s="3">
        <v>7.4</v>
      </c>
      <c r="M626" t="s">
        <v>1035</v>
      </c>
      <c r="N626">
        <v>73.87</v>
      </c>
    </row>
    <row r="627" spans="1:14" x14ac:dyDescent="0.3">
      <c r="A627" t="s">
        <v>960</v>
      </c>
      <c r="B627" t="s">
        <v>1014</v>
      </c>
      <c r="C627" t="s">
        <v>1025</v>
      </c>
      <c r="D627">
        <v>33</v>
      </c>
      <c r="E627">
        <v>12</v>
      </c>
      <c r="F627" s="3">
        <v>74752</v>
      </c>
      <c r="G627">
        <v>41</v>
      </c>
      <c r="H627">
        <v>5</v>
      </c>
      <c r="I627">
        <v>13</v>
      </c>
      <c r="J627">
        <v>28</v>
      </c>
      <c r="K627">
        <v>3.9</v>
      </c>
      <c r="L627" s="3">
        <v>7.4</v>
      </c>
      <c r="M627" t="s">
        <v>1035</v>
      </c>
      <c r="N627">
        <v>64.430000000000007</v>
      </c>
    </row>
    <row r="628" spans="1:14" x14ac:dyDescent="0.3">
      <c r="A628" t="s">
        <v>1013</v>
      </c>
      <c r="B628" t="s">
        <v>1018</v>
      </c>
      <c r="C628" t="s">
        <v>1032</v>
      </c>
      <c r="D628">
        <v>29</v>
      </c>
      <c r="E628">
        <v>4</v>
      </c>
      <c r="F628" s="3">
        <v>44606</v>
      </c>
      <c r="G628">
        <v>50</v>
      </c>
      <c r="H628">
        <v>5</v>
      </c>
      <c r="I628">
        <v>8</v>
      </c>
      <c r="J628">
        <v>13</v>
      </c>
      <c r="K628">
        <v>2</v>
      </c>
      <c r="L628" s="3">
        <v>7.4</v>
      </c>
      <c r="M628" t="s">
        <v>1035</v>
      </c>
      <c r="N628">
        <v>58.73</v>
      </c>
    </row>
    <row r="629" spans="1:14" x14ac:dyDescent="0.3">
      <c r="A629" t="s">
        <v>130</v>
      </c>
      <c r="B629" t="s">
        <v>1016</v>
      </c>
      <c r="C629" t="s">
        <v>1022</v>
      </c>
      <c r="D629">
        <v>25</v>
      </c>
      <c r="E629">
        <v>3</v>
      </c>
      <c r="F629" s="3">
        <v>43080</v>
      </c>
      <c r="G629">
        <v>41</v>
      </c>
      <c r="H629">
        <v>2</v>
      </c>
      <c r="I629">
        <v>14</v>
      </c>
      <c r="J629">
        <v>5</v>
      </c>
      <c r="K629">
        <v>4</v>
      </c>
      <c r="L629" s="3">
        <v>7.5</v>
      </c>
      <c r="M629" t="s">
        <v>1035</v>
      </c>
      <c r="N629">
        <v>60.33</v>
      </c>
    </row>
    <row r="630" spans="1:14" x14ac:dyDescent="0.3">
      <c r="A630" t="s">
        <v>162</v>
      </c>
      <c r="B630" t="s">
        <v>1016</v>
      </c>
      <c r="C630" t="s">
        <v>1023</v>
      </c>
      <c r="D630">
        <v>40</v>
      </c>
      <c r="E630">
        <v>12</v>
      </c>
      <c r="F630" s="3">
        <v>51789</v>
      </c>
      <c r="G630">
        <v>45</v>
      </c>
      <c r="H630">
        <v>11</v>
      </c>
      <c r="I630">
        <v>19</v>
      </c>
      <c r="J630">
        <v>3</v>
      </c>
      <c r="K630">
        <v>4.4000000000000004</v>
      </c>
      <c r="L630" s="3">
        <v>7.5</v>
      </c>
      <c r="M630" t="s">
        <v>1035</v>
      </c>
      <c r="N630">
        <v>76.53</v>
      </c>
    </row>
    <row r="631" spans="1:14" x14ac:dyDescent="0.3">
      <c r="A631" t="s">
        <v>255</v>
      </c>
      <c r="B631" t="s">
        <v>1018</v>
      </c>
      <c r="C631" t="s">
        <v>1032</v>
      </c>
      <c r="D631">
        <v>47</v>
      </c>
      <c r="E631">
        <v>7</v>
      </c>
      <c r="F631" s="3">
        <v>61181</v>
      </c>
      <c r="G631">
        <v>45</v>
      </c>
      <c r="H631">
        <v>13</v>
      </c>
      <c r="I631">
        <v>9</v>
      </c>
      <c r="J631">
        <v>24</v>
      </c>
      <c r="K631">
        <v>3.4</v>
      </c>
      <c r="L631" s="3">
        <v>7.5</v>
      </c>
      <c r="M631" t="s">
        <v>1035</v>
      </c>
      <c r="N631">
        <v>76.87</v>
      </c>
    </row>
    <row r="632" spans="1:14" x14ac:dyDescent="0.3">
      <c r="A632" t="s">
        <v>582</v>
      </c>
      <c r="B632" t="s">
        <v>1018</v>
      </c>
      <c r="C632" t="s">
        <v>1028</v>
      </c>
      <c r="D632">
        <v>23</v>
      </c>
      <c r="E632">
        <v>1</v>
      </c>
      <c r="F632" s="3">
        <v>30208</v>
      </c>
      <c r="G632">
        <v>50</v>
      </c>
      <c r="H632">
        <v>3</v>
      </c>
      <c r="I632">
        <v>16</v>
      </c>
      <c r="J632">
        <v>38</v>
      </c>
      <c r="K632">
        <v>3.4</v>
      </c>
      <c r="L632" s="3">
        <v>7.5</v>
      </c>
      <c r="M632" t="s">
        <v>1035</v>
      </c>
      <c r="N632">
        <v>60.2</v>
      </c>
    </row>
    <row r="633" spans="1:14" x14ac:dyDescent="0.3">
      <c r="A633" t="s">
        <v>625</v>
      </c>
      <c r="B633" t="s">
        <v>1015</v>
      </c>
      <c r="C633" t="s">
        <v>1021</v>
      </c>
      <c r="D633">
        <v>30</v>
      </c>
      <c r="E633">
        <v>8</v>
      </c>
      <c r="F633" s="3">
        <v>31745</v>
      </c>
      <c r="G633">
        <v>47</v>
      </c>
      <c r="H633">
        <v>14</v>
      </c>
      <c r="I633">
        <v>22</v>
      </c>
      <c r="J633">
        <v>6</v>
      </c>
      <c r="K633">
        <v>3</v>
      </c>
      <c r="L633" s="3">
        <v>7.5</v>
      </c>
      <c r="M633" t="s">
        <v>1035</v>
      </c>
      <c r="N633">
        <v>77.33</v>
      </c>
    </row>
    <row r="634" spans="1:14" x14ac:dyDescent="0.3">
      <c r="A634" t="s">
        <v>659</v>
      </c>
      <c r="B634" t="s">
        <v>1016</v>
      </c>
      <c r="C634" t="s">
        <v>1023</v>
      </c>
      <c r="D634">
        <v>38</v>
      </c>
      <c r="E634">
        <v>5</v>
      </c>
      <c r="F634" s="3">
        <v>53873</v>
      </c>
      <c r="G634">
        <v>37</v>
      </c>
      <c r="H634">
        <v>8</v>
      </c>
      <c r="I634">
        <v>6</v>
      </c>
      <c r="J634">
        <v>39</v>
      </c>
      <c r="K634">
        <v>3.2</v>
      </c>
      <c r="L634" s="3">
        <v>7.5</v>
      </c>
      <c r="M634" t="s">
        <v>1035</v>
      </c>
      <c r="N634">
        <v>67.930000000000007</v>
      </c>
    </row>
    <row r="635" spans="1:14" x14ac:dyDescent="0.3">
      <c r="A635" t="s">
        <v>695</v>
      </c>
      <c r="B635" t="s">
        <v>1014</v>
      </c>
      <c r="C635" t="s">
        <v>1025</v>
      </c>
      <c r="D635">
        <v>29</v>
      </c>
      <c r="E635">
        <v>6</v>
      </c>
      <c r="F635" s="3">
        <v>48959</v>
      </c>
      <c r="G635">
        <v>49</v>
      </c>
      <c r="H635">
        <v>10</v>
      </c>
      <c r="I635">
        <v>1</v>
      </c>
      <c r="J635">
        <v>23</v>
      </c>
      <c r="K635">
        <v>3.1</v>
      </c>
      <c r="L635" s="3">
        <v>7.5</v>
      </c>
      <c r="M635" t="s">
        <v>1035</v>
      </c>
      <c r="N635">
        <v>70.97</v>
      </c>
    </row>
    <row r="636" spans="1:14" x14ac:dyDescent="0.3">
      <c r="A636" t="s">
        <v>811</v>
      </c>
      <c r="B636" t="s">
        <v>1014</v>
      </c>
      <c r="C636" t="s">
        <v>1025</v>
      </c>
      <c r="D636">
        <v>34</v>
      </c>
      <c r="E636">
        <v>1</v>
      </c>
      <c r="F636" s="3">
        <v>78475</v>
      </c>
      <c r="G636">
        <v>35</v>
      </c>
      <c r="H636">
        <v>12</v>
      </c>
      <c r="I636">
        <v>6</v>
      </c>
      <c r="J636">
        <v>1</v>
      </c>
      <c r="K636">
        <v>2.6</v>
      </c>
      <c r="L636" s="3">
        <v>7.5</v>
      </c>
      <c r="M636" t="s">
        <v>1035</v>
      </c>
      <c r="N636">
        <v>72.8</v>
      </c>
    </row>
    <row r="637" spans="1:14" x14ac:dyDescent="0.3">
      <c r="A637" t="s">
        <v>871</v>
      </c>
      <c r="B637" t="s">
        <v>1014</v>
      </c>
      <c r="C637" t="s">
        <v>1019</v>
      </c>
      <c r="D637">
        <v>39</v>
      </c>
      <c r="E637">
        <v>15</v>
      </c>
      <c r="F637" s="3">
        <v>84277</v>
      </c>
      <c r="G637">
        <v>54</v>
      </c>
      <c r="H637">
        <v>4</v>
      </c>
      <c r="I637">
        <v>0</v>
      </c>
      <c r="J637">
        <v>12</v>
      </c>
      <c r="K637">
        <v>5</v>
      </c>
      <c r="L637" s="3">
        <v>7.5</v>
      </c>
      <c r="M637" t="s">
        <v>1035</v>
      </c>
      <c r="N637">
        <v>66.67</v>
      </c>
    </row>
    <row r="638" spans="1:14" x14ac:dyDescent="0.3">
      <c r="A638" t="s">
        <v>966</v>
      </c>
      <c r="B638" t="s">
        <v>1018</v>
      </c>
      <c r="C638" t="s">
        <v>1032</v>
      </c>
      <c r="D638">
        <v>45</v>
      </c>
      <c r="E638">
        <v>14</v>
      </c>
      <c r="F638" s="3">
        <v>65524</v>
      </c>
      <c r="G638">
        <v>50</v>
      </c>
      <c r="H638">
        <v>9</v>
      </c>
      <c r="I638">
        <v>13</v>
      </c>
      <c r="J638">
        <v>12</v>
      </c>
      <c r="K638">
        <v>2</v>
      </c>
      <c r="L638" s="3">
        <v>7.5</v>
      </c>
      <c r="M638" t="s">
        <v>1035</v>
      </c>
      <c r="N638">
        <v>66</v>
      </c>
    </row>
    <row r="639" spans="1:14" x14ac:dyDescent="0.3">
      <c r="A639" t="s">
        <v>988</v>
      </c>
      <c r="B639" t="s">
        <v>1017</v>
      </c>
      <c r="C639" t="s">
        <v>1024</v>
      </c>
      <c r="D639">
        <v>39</v>
      </c>
      <c r="E639">
        <v>14</v>
      </c>
      <c r="F639" s="3">
        <v>49072</v>
      </c>
      <c r="G639">
        <v>35</v>
      </c>
      <c r="H639">
        <v>2</v>
      </c>
      <c r="I639">
        <v>3</v>
      </c>
      <c r="J639">
        <v>5</v>
      </c>
      <c r="K639">
        <v>2.4</v>
      </c>
      <c r="L639" s="3">
        <v>7.5</v>
      </c>
      <c r="M639" t="s">
        <v>1035</v>
      </c>
      <c r="N639">
        <v>55.53</v>
      </c>
    </row>
    <row r="640" spans="1:14" x14ac:dyDescent="0.3">
      <c r="A640" t="s">
        <v>72</v>
      </c>
      <c r="B640" t="s">
        <v>1018</v>
      </c>
      <c r="C640" t="s">
        <v>1028</v>
      </c>
      <c r="D640">
        <v>51</v>
      </c>
      <c r="E640">
        <v>4</v>
      </c>
      <c r="F640" s="3">
        <v>89272</v>
      </c>
      <c r="G640">
        <v>54</v>
      </c>
      <c r="H640">
        <v>9</v>
      </c>
      <c r="I640">
        <v>0</v>
      </c>
      <c r="J640">
        <v>25</v>
      </c>
      <c r="K640">
        <v>3.8</v>
      </c>
      <c r="L640" s="3">
        <v>7.6</v>
      </c>
      <c r="M640" t="s">
        <v>1035</v>
      </c>
      <c r="N640">
        <v>72</v>
      </c>
    </row>
    <row r="641" spans="1:14" x14ac:dyDescent="0.3">
      <c r="A641" t="s">
        <v>99</v>
      </c>
      <c r="B641" t="s">
        <v>1015</v>
      </c>
      <c r="C641" t="s">
        <v>1021</v>
      </c>
      <c r="D641">
        <v>23</v>
      </c>
      <c r="E641">
        <v>2</v>
      </c>
      <c r="F641" s="3">
        <v>78832</v>
      </c>
      <c r="G641">
        <v>43</v>
      </c>
      <c r="H641">
        <v>10</v>
      </c>
      <c r="I641">
        <v>1</v>
      </c>
      <c r="J641">
        <v>11</v>
      </c>
      <c r="K641">
        <v>3.4</v>
      </c>
      <c r="L641" s="3">
        <v>7.6</v>
      </c>
      <c r="M641" t="s">
        <v>1035</v>
      </c>
      <c r="N641">
        <v>72.47</v>
      </c>
    </row>
    <row r="642" spans="1:14" x14ac:dyDescent="0.3">
      <c r="A642" t="s">
        <v>339</v>
      </c>
      <c r="B642" t="s">
        <v>1014</v>
      </c>
      <c r="C642" t="s">
        <v>1019</v>
      </c>
      <c r="D642">
        <v>28</v>
      </c>
      <c r="E642">
        <v>2</v>
      </c>
      <c r="F642" s="3">
        <v>66760</v>
      </c>
      <c r="G642">
        <v>47</v>
      </c>
      <c r="H642">
        <v>2</v>
      </c>
      <c r="I642">
        <v>18</v>
      </c>
      <c r="J642">
        <v>36</v>
      </c>
      <c r="K642">
        <v>2.2000000000000002</v>
      </c>
      <c r="L642" s="3">
        <v>7.6</v>
      </c>
      <c r="M642" t="s">
        <v>1035</v>
      </c>
      <c r="N642">
        <v>55.53</v>
      </c>
    </row>
    <row r="643" spans="1:14" x14ac:dyDescent="0.3">
      <c r="A643" t="s">
        <v>380</v>
      </c>
      <c r="B643" t="s">
        <v>1014</v>
      </c>
      <c r="C643" t="s">
        <v>1025</v>
      </c>
      <c r="D643">
        <v>28</v>
      </c>
      <c r="E643">
        <v>4</v>
      </c>
      <c r="F643" s="3">
        <v>81850</v>
      </c>
      <c r="G643">
        <v>52</v>
      </c>
      <c r="H643">
        <v>15</v>
      </c>
      <c r="I643">
        <v>11</v>
      </c>
      <c r="J643">
        <v>26</v>
      </c>
      <c r="K643">
        <v>2.8</v>
      </c>
      <c r="L643" s="3">
        <v>7.6</v>
      </c>
      <c r="M643" t="s">
        <v>1035</v>
      </c>
      <c r="N643">
        <v>79</v>
      </c>
    </row>
    <row r="644" spans="1:14" x14ac:dyDescent="0.3">
      <c r="A644" t="s">
        <v>409</v>
      </c>
      <c r="B644" t="s">
        <v>1014</v>
      </c>
      <c r="C644" t="s">
        <v>1025</v>
      </c>
      <c r="D644">
        <v>46</v>
      </c>
      <c r="E644">
        <v>8</v>
      </c>
      <c r="F644" s="3">
        <v>75544</v>
      </c>
      <c r="G644">
        <v>52</v>
      </c>
      <c r="H644">
        <v>10</v>
      </c>
      <c r="I644">
        <v>1</v>
      </c>
      <c r="J644">
        <v>38</v>
      </c>
      <c r="K644">
        <v>5</v>
      </c>
      <c r="L644" s="3">
        <v>7.6</v>
      </c>
      <c r="M644" t="s">
        <v>1035</v>
      </c>
      <c r="N644">
        <v>77.27</v>
      </c>
    </row>
    <row r="645" spans="1:14" x14ac:dyDescent="0.3">
      <c r="A645" t="s">
        <v>422</v>
      </c>
      <c r="B645" t="s">
        <v>1015</v>
      </c>
      <c r="C645" t="s">
        <v>1029</v>
      </c>
      <c r="D645">
        <v>36</v>
      </c>
      <c r="E645">
        <v>10</v>
      </c>
      <c r="F645" s="3">
        <v>59019</v>
      </c>
      <c r="G645">
        <v>51</v>
      </c>
      <c r="H645">
        <v>12</v>
      </c>
      <c r="I645">
        <v>22</v>
      </c>
      <c r="J645">
        <v>39</v>
      </c>
      <c r="K645">
        <v>2.2999999999999998</v>
      </c>
      <c r="L645" s="3">
        <v>7.6</v>
      </c>
      <c r="M645" t="s">
        <v>1035</v>
      </c>
      <c r="N645">
        <v>72.5</v>
      </c>
    </row>
    <row r="646" spans="1:14" x14ac:dyDescent="0.3">
      <c r="A646" t="s">
        <v>434</v>
      </c>
      <c r="B646" t="s">
        <v>1017</v>
      </c>
      <c r="C646" t="s">
        <v>1024</v>
      </c>
      <c r="D646">
        <v>54</v>
      </c>
      <c r="E646">
        <v>5</v>
      </c>
      <c r="F646" s="3">
        <v>70338</v>
      </c>
      <c r="G646">
        <v>53</v>
      </c>
      <c r="H646">
        <v>3</v>
      </c>
      <c r="I646">
        <v>23</v>
      </c>
      <c r="J646">
        <v>8</v>
      </c>
      <c r="K646">
        <v>2.2999999999999998</v>
      </c>
      <c r="L646" s="3">
        <v>7.6</v>
      </c>
      <c r="M646" t="s">
        <v>1035</v>
      </c>
      <c r="N646">
        <v>57.5</v>
      </c>
    </row>
    <row r="647" spans="1:14" x14ac:dyDescent="0.3">
      <c r="A647" t="s">
        <v>462</v>
      </c>
      <c r="B647" t="s">
        <v>1014</v>
      </c>
      <c r="C647" t="s">
        <v>1019</v>
      </c>
      <c r="D647">
        <v>38</v>
      </c>
      <c r="E647">
        <v>3</v>
      </c>
      <c r="F647" s="3">
        <v>37937</v>
      </c>
      <c r="G647">
        <v>53</v>
      </c>
      <c r="H647">
        <v>8</v>
      </c>
      <c r="I647">
        <v>10</v>
      </c>
      <c r="J647">
        <v>22</v>
      </c>
      <c r="K647">
        <v>2.4</v>
      </c>
      <c r="L647" s="3">
        <v>7.6</v>
      </c>
      <c r="M647" t="s">
        <v>1035</v>
      </c>
      <c r="N647">
        <v>66.13</v>
      </c>
    </row>
    <row r="648" spans="1:14" x14ac:dyDescent="0.3">
      <c r="A648" t="s">
        <v>487</v>
      </c>
      <c r="B648" t="s">
        <v>1017</v>
      </c>
      <c r="C648" t="s">
        <v>1026</v>
      </c>
      <c r="D648">
        <v>35</v>
      </c>
      <c r="E648">
        <v>11</v>
      </c>
      <c r="F648" s="3">
        <v>77709</v>
      </c>
      <c r="G648">
        <v>45</v>
      </c>
      <c r="H648">
        <v>7</v>
      </c>
      <c r="I648">
        <v>11</v>
      </c>
      <c r="J648">
        <v>6</v>
      </c>
      <c r="K648">
        <v>2.5</v>
      </c>
      <c r="L648" s="3">
        <v>7.6</v>
      </c>
      <c r="M648" t="s">
        <v>1035</v>
      </c>
      <c r="N648">
        <v>64.77</v>
      </c>
    </row>
    <row r="649" spans="1:14" x14ac:dyDescent="0.3">
      <c r="A649" t="s">
        <v>641</v>
      </c>
      <c r="B649" t="s">
        <v>1017</v>
      </c>
      <c r="C649" t="s">
        <v>1024</v>
      </c>
      <c r="D649">
        <v>55</v>
      </c>
      <c r="E649">
        <v>2</v>
      </c>
      <c r="F649" s="3">
        <v>59298</v>
      </c>
      <c r="G649">
        <v>54</v>
      </c>
      <c r="H649">
        <v>2</v>
      </c>
      <c r="I649">
        <v>7</v>
      </c>
      <c r="J649">
        <v>30</v>
      </c>
      <c r="K649">
        <v>3.9</v>
      </c>
      <c r="L649" s="3">
        <v>7.6</v>
      </c>
      <c r="M649" t="s">
        <v>1035</v>
      </c>
      <c r="N649">
        <v>60.63</v>
      </c>
    </row>
    <row r="650" spans="1:14" x14ac:dyDescent="0.3">
      <c r="A650" t="s">
        <v>759</v>
      </c>
      <c r="B650" t="s">
        <v>1015</v>
      </c>
      <c r="C650" t="s">
        <v>1020</v>
      </c>
      <c r="D650">
        <v>33</v>
      </c>
      <c r="E650">
        <v>0</v>
      </c>
      <c r="F650" s="3">
        <v>66146</v>
      </c>
      <c r="G650">
        <v>51</v>
      </c>
      <c r="H650">
        <v>14</v>
      </c>
      <c r="I650">
        <v>5</v>
      </c>
      <c r="J650">
        <v>36</v>
      </c>
      <c r="K650">
        <v>3.5</v>
      </c>
      <c r="L650" s="3">
        <v>7.6</v>
      </c>
      <c r="M650" t="s">
        <v>1035</v>
      </c>
      <c r="N650">
        <v>79.430000000000007</v>
      </c>
    </row>
    <row r="651" spans="1:14" x14ac:dyDescent="0.3">
      <c r="A651" t="s">
        <v>809</v>
      </c>
      <c r="B651" t="s">
        <v>1016</v>
      </c>
      <c r="C651" t="s">
        <v>1033</v>
      </c>
      <c r="D651">
        <v>28</v>
      </c>
      <c r="E651">
        <v>6</v>
      </c>
      <c r="F651" s="3">
        <v>60020</v>
      </c>
      <c r="G651">
        <v>35</v>
      </c>
      <c r="H651">
        <v>1</v>
      </c>
      <c r="I651">
        <v>12</v>
      </c>
      <c r="J651">
        <v>7</v>
      </c>
      <c r="K651">
        <v>2</v>
      </c>
      <c r="L651" s="3">
        <v>7.6</v>
      </c>
      <c r="M651" t="s">
        <v>1035</v>
      </c>
      <c r="N651">
        <v>53.27</v>
      </c>
    </row>
    <row r="652" spans="1:14" x14ac:dyDescent="0.3">
      <c r="A652" t="s">
        <v>830</v>
      </c>
      <c r="B652" t="s">
        <v>1014</v>
      </c>
      <c r="C652" t="s">
        <v>1025</v>
      </c>
      <c r="D652">
        <v>43</v>
      </c>
      <c r="E652">
        <v>10</v>
      </c>
      <c r="F652" s="3">
        <v>51322</v>
      </c>
      <c r="G652">
        <v>40</v>
      </c>
      <c r="H652">
        <v>7</v>
      </c>
      <c r="I652">
        <v>1</v>
      </c>
      <c r="J652">
        <v>25</v>
      </c>
      <c r="K652">
        <v>4.3</v>
      </c>
      <c r="L652" s="3">
        <v>7.6</v>
      </c>
      <c r="M652" t="s">
        <v>1035</v>
      </c>
      <c r="N652">
        <v>70.17</v>
      </c>
    </row>
    <row r="653" spans="1:14" x14ac:dyDescent="0.3">
      <c r="A653" t="s">
        <v>887</v>
      </c>
      <c r="B653" t="s">
        <v>1018</v>
      </c>
      <c r="C653" t="s">
        <v>1028</v>
      </c>
      <c r="D653">
        <v>52</v>
      </c>
      <c r="E653">
        <v>9</v>
      </c>
      <c r="F653" s="3">
        <v>64539</v>
      </c>
      <c r="G653">
        <v>45</v>
      </c>
      <c r="H653">
        <v>5</v>
      </c>
      <c r="I653">
        <v>11</v>
      </c>
      <c r="J653">
        <v>0</v>
      </c>
      <c r="K653">
        <v>3.6</v>
      </c>
      <c r="L653" s="3">
        <v>7.6</v>
      </c>
      <c r="M653" t="s">
        <v>1035</v>
      </c>
      <c r="N653">
        <v>64.73</v>
      </c>
    </row>
    <row r="654" spans="1:14" x14ac:dyDescent="0.3">
      <c r="A654" t="s">
        <v>985</v>
      </c>
      <c r="B654" t="s">
        <v>1018</v>
      </c>
      <c r="C654" t="s">
        <v>1027</v>
      </c>
      <c r="D654">
        <v>25</v>
      </c>
      <c r="E654">
        <v>0</v>
      </c>
      <c r="F654" s="3">
        <v>48303</v>
      </c>
      <c r="G654">
        <v>50</v>
      </c>
      <c r="H654">
        <v>3</v>
      </c>
      <c r="I654">
        <v>1</v>
      </c>
      <c r="J654">
        <v>7</v>
      </c>
      <c r="K654">
        <v>4.9000000000000004</v>
      </c>
      <c r="L654" s="3">
        <v>7.6</v>
      </c>
      <c r="M654" t="s">
        <v>1035</v>
      </c>
      <c r="N654">
        <v>65.3</v>
      </c>
    </row>
    <row r="655" spans="1:14" x14ac:dyDescent="0.3">
      <c r="A655" t="s">
        <v>71</v>
      </c>
      <c r="B655" t="s">
        <v>1015</v>
      </c>
      <c r="C655" t="s">
        <v>1021</v>
      </c>
      <c r="D655">
        <v>36</v>
      </c>
      <c r="E655">
        <v>15</v>
      </c>
      <c r="F655" s="3">
        <v>39380</v>
      </c>
      <c r="G655">
        <v>43</v>
      </c>
      <c r="H655">
        <v>7</v>
      </c>
      <c r="I655">
        <v>15</v>
      </c>
      <c r="J655">
        <v>1</v>
      </c>
      <c r="K655">
        <v>3.2</v>
      </c>
      <c r="L655" s="3">
        <v>7.7</v>
      </c>
      <c r="M655" t="s">
        <v>1035</v>
      </c>
      <c r="N655">
        <v>67.47</v>
      </c>
    </row>
    <row r="656" spans="1:14" x14ac:dyDescent="0.3">
      <c r="A656" t="s">
        <v>100</v>
      </c>
      <c r="B656" t="s">
        <v>1018</v>
      </c>
      <c r="C656" t="s">
        <v>1028</v>
      </c>
      <c r="D656">
        <v>49</v>
      </c>
      <c r="E656">
        <v>15</v>
      </c>
      <c r="F656" s="3">
        <v>88508</v>
      </c>
      <c r="G656">
        <v>37</v>
      </c>
      <c r="H656">
        <v>8</v>
      </c>
      <c r="I656">
        <v>11</v>
      </c>
      <c r="J656">
        <v>26</v>
      </c>
      <c r="K656">
        <v>3</v>
      </c>
      <c r="L656" s="3">
        <v>7.7</v>
      </c>
      <c r="M656" t="s">
        <v>1035</v>
      </c>
      <c r="N656">
        <v>68.53</v>
      </c>
    </row>
    <row r="657" spans="1:14" x14ac:dyDescent="0.3">
      <c r="A657" t="s">
        <v>165</v>
      </c>
      <c r="B657" t="s">
        <v>1016</v>
      </c>
      <c r="C657" t="s">
        <v>1022</v>
      </c>
      <c r="D657">
        <v>46</v>
      </c>
      <c r="E657">
        <v>10</v>
      </c>
      <c r="F657" s="3">
        <v>78292</v>
      </c>
      <c r="G657">
        <v>39</v>
      </c>
      <c r="H657">
        <v>11</v>
      </c>
      <c r="I657">
        <v>22</v>
      </c>
      <c r="J657">
        <v>33</v>
      </c>
      <c r="K657">
        <v>2.2999999999999998</v>
      </c>
      <c r="L657" s="3">
        <v>7.7</v>
      </c>
      <c r="M657" t="s">
        <v>1035</v>
      </c>
      <c r="N657">
        <v>71.430000000000007</v>
      </c>
    </row>
    <row r="658" spans="1:14" x14ac:dyDescent="0.3">
      <c r="A658" t="s">
        <v>215</v>
      </c>
      <c r="B658" t="s">
        <v>1016</v>
      </c>
      <c r="C658" t="s">
        <v>1033</v>
      </c>
      <c r="D658">
        <v>43</v>
      </c>
      <c r="E658">
        <v>15</v>
      </c>
      <c r="F658" s="3">
        <v>71447</v>
      </c>
      <c r="G658">
        <v>53</v>
      </c>
      <c r="H658">
        <v>5</v>
      </c>
      <c r="I658">
        <v>15</v>
      </c>
      <c r="J658">
        <v>1</v>
      </c>
      <c r="K658">
        <v>3.1</v>
      </c>
      <c r="L658" s="3">
        <v>7.7</v>
      </c>
      <c r="M658" t="s">
        <v>1035</v>
      </c>
      <c r="N658">
        <v>63.83</v>
      </c>
    </row>
    <row r="659" spans="1:14" x14ac:dyDescent="0.3">
      <c r="A659" t="s">
        <v>224</v>
      </c>
      <c r="B659" t="s">
        <v>1016</v>
      </c>
      <c r="C659" t="s">
        <v>1022</v>
      </c>
      <c r="D659">
        <v>39</v>
      </c>
      <c r="E659">
        <v>4</v>
      </c>
      <c r="F659" s="3">
        <v>32158</v>
      </c>
      <c r="G659">
        <v>54</v>
      </c>
      <c r="H659">
        <v>12</v>
      </c>
      <c r="I659">
        <v>18</v>
      </c>
      <c r="J659">
        <v>15</v>
      </c>
      <c r="K659">
        <v>2.7</v>
      </c>
      <c r="L659" s="3">
        <v>7.7</v>
      </c>
      <c r="M659" t="s">
        <v>1035</v>
      </c>
      <c r="N659">
        <v>74.3</v>
      </c>
    </row>
    <row r="660" spans="1:14" x14ac:dyDescent="0.3">
      <c r="A660" t="s">
        <v>316</v>
      </c>
      <c r="B660" t="s">
        <v>1014</v>
      </c>
      <c r="C660" t="s">
        <v>1019</v>
      </c>
      <c r="D660">
        <v>42</v>
      </c>
      <c r="E660">
        <v>11</v>
      </c>
      <c r="F660" s="3">
        <v>82736</v>
      </c>
      <c r="G660">
        <v>44</v>
      </c>
      <c r="H660">
        <v>3</v>
      </c>
      <c r="I660">
        <v>12</v>
      </c>
      <c r="J660">
        <v>8</v>
      </c>
      <c r="K660">
        <v>3.9</v>
      </c>
      <c r="L660" s="3">
        <v>7.7</v>
      </c>
      <c r="M660" t="s">
        <v>1035</v>
      </c>
      <c r="N660">
        <v>62.9</v>
      </c>
    </row>
    <row r="661" spans="1:14" x14ac:dyDescent="0.3">
      <c r="A661" t="s">
        <v>363</v>
      </c>
      <c r="B661" t="s">
        <v>1014</v>
      </c>
      <c r="C661" t="s">
        <v>1025</v>
      </c>
      <c r="D661">
        <v>37</v>
      </c>
      <c r="E661">
        <v>11</v>
      </c>
      <c r="F661" s="3">
        <v>89381</v>
      </c>
      <c r="G661">
        <v>45</v>
      </c>
      <c r="H661">
        <v>3</v>
      </c>
      <c r="I661">
        <v>20</v>
      </c>
      <c r="J661">
        <v>5</v>
      </c>
      <c r="K661">
        <v>4.5</v>
      </c>
      <c r="L661" s="3">
        <v>7.7</v>
      </c>
      <c r="M661" t="s">
        <v>1035</v>
      </c>
      <c r="N661">
        <v>64.7</v>
      </c>
    </row>
    <row r="662" spans="1:14" x14ac:dyDescent="0.3">
      <c r="A662" t="s">
        <v>373</v>
      </c>
      <c r="B662" t="s">
        <v>1017</v>
      </c>
      <c r="C662" t="s">
        <v>1030</v>
      </c>
      <c r="D662">
        <v>51</v>
      </c>
      <c r="E662">
        <v>8</v>
      </c>
      <c r="F662" s="3">
        <v>39827</v>
      </c>
      <c r="G662">
        <v>43</v>
      </c>
      <c r="H662">
        <v>10</v>
      </c>
      <c r="I662">
        <v>1</v>
      </c>
      <c r="J662">
        <v>9</v>
      </c>
      <c r="K662">
        <v>4.3</v>
      </c>
      <c r="L662" s="3">
        <v>7.7</v>
      </c>
      <c r="M662" t="s">
        <v>1035</v>
      </c>
      <c r="N662">
        <v>75.77</v>
      </c>
    </row>
    <row r="663" spans="1:14" x14ac:dyDescent="0.3">
      <c r="A663" t="s">
        <v>391</v>
      </c>
      <c r="B663" t="s">
        <v>1016</v>
      </c>
      <c r="C663" t="s">
        <v>1022</v>
      </c>
      <c r="D663">
        <v>49</v>
      </c>
      <c r="E663">
        <v>12</v>
      </c>
      <c r="F663" s="3">
        <v>80809</v>
      </c>
      <c r="G663">
        <v>46</v>
      </c>
      <c r="H663">
        <v>8</v>
      </c>
      <c r="I663">
        <v>8</v>
      </c>
      <c r="J663">
        <v>13</v>
      </c>
      <c r="K663">
        <v>3.4</v>
      </c>
      <c r="L663" s="3">
        <v>7.7</v>
      </c>
      <c r="M663" t="s">
        <v>1035</v>
      </c>
      <c r="N663">
        <v>69.73</v>
      </c>
    </row>
    <row r="664" spans="1:14" x14ac:dyDescent="0.3">
      <c r="A664" t="s">
        <v>414</v>
      </c>
      <c r="B664" t="s">
        <v>1017</v>
      </c>
      <c r="C664" t="s">
        <v>1030</v>
      </c>
      <c r="D664">
        <v>43</v>
      </c>
      <c r="E664">
        <v>7</v>
      </c>
      <c r="F664" s="3">
        <v>25179</v>
      </c>
      <c r="G664">
        <v>35</v>
      </c>
      <c r="H664">
        <v>11</v>
      </c>
      <c r="I664">
        <v>2</v>
      </c>
      <c r="J664">
        <v>7</v>
      </c>
      <c r="K664">
        <v>4.5</v>
      </c>
      <c r="L664" s="3">
        <v>7.7</v>
      </c>
      <c r="M664" t="s">
        <v>1035</v>
      </c>
      <c r="N664">
        <v>78.03</v>
      </c>
    </row>
    <row r="665" spans="1:14" x14ac:dyDescent="0.3">
      <c r="A665" t="s">
        <v>416</v>
      </c>
      <c r="B665" t="s">
        <v>1017</v>
      </c>
      <c r="C665" t="s">
        <v>1026</v>
      </c>
      <c r="D665">
        <v>25</v>
      </c>
      <c r="E665">
        <v>0</v>
      </c>
      <c r="F665" s="3">
        <v>78292</v>
      </c>
      <c r="G665">
        <v>40</v>
      </c>
      <c r="H665">
        <v>14</v>
      </c>
      <c r="I665">
        <v>1</v>
      </c>
      <c r="J665">
        <v>18</v>
      </c>
      <c r="K665">
        <v>3.1</v>
      </c>
      <c r="L665" s="3">
        <v>7.7</v>
      </c>
      <c r="M665" t="s">
        <v>1035</v>
      </c>
      <c r="N665">
        <v>78.83</v>
      </c>
    </row>
    <row r="666" spans="1:14" x14ac:dyDescent="0.3">
      <c r="A666" t="s">
        <v>494</v>
      </c>
      <c r="B666" t="s">
        <v>1015</v>
      </c>
      <c r="C666" t="s">
        <v>1021</v>
      </c>
      <c r="D666">
        <v>40</v>
      </c>
      <c r="E666">
        <v>6</v>
      </c>
      <c r="F666" s="3">
        <v>27202</v>
      </c>
      <c r="G666">
        <v>54</v>
      </c>
      <c r="H666">
        <v>9</v>
      </c>
      <c r="I666">
        <v>16</v>
      </c>
      <c r="J666">
        <v>14</v>
      </c>
      <c r="K666">
        <v>3.8</v>
      </c>
      <c r="L666" s="3">
        <v>7.7</v>
      </c>
      <c r="M666" t="s">
        <v>1035</v>
      </c>
      <c r="N666">
        <v>72.599999999999994</v>
      </c>
    </row>
    <row r="667" spans="1:14" x14ac:dyDescent="0.3">
      <c r="A667" t="s">
        <v>616</v>
      </c>
      <c r="B667" t="s">
        <v>1018</v>
      </c>
      <c r="C667" t="s">
        <v>1032</v>
      </c>
      <c r="D667">
        <v>42</v>
      </c>
      <c r="E667">
        <v>6</v>
      </c>
      <c r="F667" s="3">
        <v>37618</v>
      </c>
      <c r="G667">
        <v>44</v>
      </c>
      <c r="H667">
        <v>5</v>
      </c>
      <c r="I667">
        <v>17</v>
      </c>
      <c r="J667">
        <v>20</v>
      </c>
      <c r="K667">
        <v>4.3</v>
      </c>
      <c r="L667" s="3">
        <v>7.7</v>
      </c>
      <c r="M667" t="s">
        <v>1035</v>
      </c>
      <c r="N667">
        <v>67.430000000000007</v>
      </c>
    </row>
    <row r="668" spans="1:14" x14ac:dyDescent="0.3">
      <c r="A668" t="s">
        <v>702</v>
      </c>
      <c r="B668" t="s">
        <v>1015</v>
      </c>
      <c r="C668" t="s">
        <v>1020</v>
      </c>
      <c r="D668">
        <v>43</v>
      </c>
      <c r="E668">
        <v>13</v>
      </c>
      <c r="F668" s="3">
        <v>62925</v>
      </c>
      <c r="G668">
        <v>45</v>
      </c>
      <c r="H668">
        <v>11</v>
      </c>
      <c r="I668">
        <v>20</v>
      </c>
      <c r="J668">
        <v>20</v>
      </c>
      <c r="K668">
        <v>3.5</v>
      </c>
      <c r="L668" s="3">
        <v>7.7</v>
      </c>
      <c r="M668" t="s">
        <v>1035</v>
      </c>
      <c r="N668">
        <v>75.03</v>
      </c>
    </row>
    <row r="669" spans="1:14" x14ac:dyDescent="0.3">
      <c r="A669" t="s">
        <v>718</v>
      </c>
      <c r="B669" t="s">
        <v>1014</v>
      </c>
      <c r="C669" t="s">
        <v>1031</v>
      </c>
      <c r="D669">
        <v>22</v>
      </c>
      <c r="E669">
        <v>0</v>
      </c>
      <c r="F669" s="3">
        <v>42214</v>
      </c>
      <c r="G669">
        <v>44</v>
      </c>
      <c r="H669">
        <v>11</v>
      </c>
      <c r="I669">
        <v>20</v>
      </c>
      <c r="J669">
        <v>30</v>
      </c>
      <c r="K669">
        <v>2.4</v>
      </c>
      <c r="L669" s="3">
        <v>7.7</v>
      </c>
      <c r="M669" t="s">
        <v>1035</v>
      </c>
      <c r="N669">
        <v>71.73</v>
      </c>
    </row>
    <row r="670" spans="1:14" x14ac:dyDescent="0.3">
      <c r="A670" t="s">
        <v>741</v>
      </c>
      <c r="B670" t="s">
        <v>1018</v>
      </c>
      <c r="C670" t="s">
        <v>1032</v>
      </c>
      <c r="D670">
        <v>49</v>
      </c>
      <c r="E670">
        <v>15</v>
      </c>
      <c r="F670" s="3">
        <v>43252</v>
      </c>
      <c r="G670">
        <v>53</v>
      </c>
      <c r="H670">
        <v>10</v>
      </c>
      <c r="I670">
        <v>8</v>
      </c>
      <c r="J670">
        <v>25</v>
      </c>
      <c r="K670">
        <v>3.1</v>
      </c>
      <c r="L670" s="3">
        <v>7.7</v>
      </c>
      <c r="M670" t="s">
        <v>1035</v>
      </c>
      <c r="N670">
        <v>72.17</v>
      </c>
    </row>
    <row r="671" spans="1:14" x14ac:dyDescent="0.3">
      <c r="A671" t="s">
        <v>787</v>
      </c>
      <c r="B671" t="s">
        <v>1015</v>
      </c>
      <c r="C671" t="s">
        <v>1029</v>
      </c>
      <c r="D671">
        <v>24</v>
      </c>
      <c r="E671">
        <v>0</v>
      </c>
      <c r="F671" s="3">
        <v>41623</v>
      </c>
      <c r="G671">
        <v>51</v>
      </c>
      <c r="H671">
        <v>10</v>
      </c>
      <c r="I671">
        <v>12</v>
      </c>
      <c r="J671">
        <v>19</v>
      </c>
      <c r="K671">
        <v>4.9000000000000004</v>
      </c>
      <c r="L671" s="3">
        <v>7.7</v>
      </c>
      <c r="M671" t="s">
        <v>1035</v>
      </c>
      <c r="N671">
        <v>77.569999999999993</v>
      </c>
    </row>
    <row r="672" spans="1:14" x14ac:dyDescent="0.3">
      <c r="A672" t="s">
        <v>894</v>
      </c>
      <c r="B672" t="s">
        <v>1015</v>
      </c>
      <c r="C672" t="s">
        <v>1021</v>
      </c>
      <c r="D672">
        <v>37</v>
      </c>
      <c r="E672">
        <v>5</v>
      </c>
      <c r="F672" s="3">
        <v>37844</v>
      </c>
      <c r="G672">
        <v>35</v>
      </c>
      <c r="H672">
        <v>3</v>
      </c>
      <c r="I672">
        <v>8</v>
      </c>
      <c r="J672">
        <v>6</v>
      </c>
      <c r="K672">
        <v>2.1</v>
      </c>
      <c r="L672" s="3">
        <v>7.7</v>
      </c>
      <c r="M672" t="s">
        <v>1035</v>
      </c>
      <c r="N672">
        <v>57.5</v>
      </c>
    </row>
    <row r="673" spans="1:14" x14ac:dyDescent="0.3">
      <c r="A673" t="s">
        <v>935</v>
      </c>
      <c r="B673" t="s">
        <v>1015</v>
      </c>
      <c r="C673" t="s">
        <v>1020</v>
      </c>
      <c r="D673">
        <v>32</v>
      </c>
      <c r="E673">
        <v>4</v>
      </c>
      <c r="F673" s="3">
        <v>87851</v>
      </c>
      <c r="G673">
        <v>38</v>
      </c>
      <c r="H673">
        <v>10</v>
      </c>
      <c r="I673">
        <v>10</v>
      </c>
      <c r="J673">
        <v>40</v>
      </c>
      <c r="K673">
        <v>4.0999999999999996</v>
      </c>
      <c r="L673" s="3">
        <v>7.7</v>
      </c>
      <c r="M673" t="s">
        <v>1035</v>
      </c>
      <c r="N673">
        <v>75.17</v>
      </c>
    </row>
    <row r="674" spans="1:14" x14ac:dyDescent="0.3">
      <c r="A674" t="s">
        <v>86</v>
      </c>
      <c r="B674" t="s">
        <v>1016</v>
      </c>
      <c r="C674" t="s">
        <v>1023</v>
      </c>
      <c r="D674">
        <v>38</v>
      </c>
      <c r="E674">
        <v>7</v>
      </c>
      <c r="F674" s="3">
        <v>32907</v>
      </c>
      <c r="G674">
        <v>41</v>
      </c>
      <c r="H674">
        <v>6</v>
      </c>
      <c r="I674">
        <v>3</v>
      </c>
      <c r="J674">
        <v>34</v>
      </c>
      <c r="K674">
        <v>4.9000000000000004</v>
      </c>
      <c r="L674" s="3">
        <v>7.8</v>
      </c>
      <c r="M674" t="s">
        <v>1035</v>
      </c>
      <c r="N674">
        <v>71.5</v>
      </c>
    </row>
    <row r="675" spans="1:14" x14ac:dyDescent="0.3">
      <c r="A675" t="s">
        <v>267</v>
      </c>
      <c r="B675" t="s">
        <v>1015</v>
      </c>
      <c r="C675" t="s">
        <v>1021</v>
      </c>
      <c r="D675">
        <v>24</v>
      </c>
      <c r="E675">
        <v>1</v>
      </c>
      <c r="F675" s="3">
        <v>38855</v>
      </c>
      <c r="G675">
        <v>53</v>
      </c>
      <c r="H675">
        <v>8</v>
      </c>
      <c r="I675">
        <v>8</v>
      </c>
      <c r="J675">
        <v>2</v>
      </c>
      <c r="K675">
        <v>4.8</v>
      </c>
      <c r="L675" s="3">
        <v>7.8</v>
      </c>
      <c r="M675" t="s">
        <v>1035</v>
      </c>
      <c r="N675">
        <v>74.53</v>
      </c>
    </row>
    <row r="676" spans="1:14" x14ac:dyDescent="0.3">
      <c r="A676" t="s">
        <v>440</v>
      </c>
      <c r="B676" t="s">
        <v>1018</v>
      </c>
      <c r="C676" t="s">
        <v>1032</v>
      </c>
      <c r="D676">
        <v>39</v>
      </c>
      <c r="E676">
        <v>5</v>
      </c>
      <c r="F676" s="3">
        <v>89456</v>
      </c>
      <c r="G676">
        <v>44</v>
      </c>
      <c r="H676">
        <v>11</v>
      </c>
      <c r="I676">
        <v>8</v>
      </c>
      <c r="J676">
        <v>9</v>
      </c>
      <c r="K676">
        <v>4.5</v>
      </c>
      <c r="L676" s="3">
        <v>7.8</v>
      </c>
      <c r="M676" t="s">
        <v>1035</v>
      </c>
      <c r="N676">
        <v>78.63</v>
      </c>
    </row>
    <row r="677" spans="1:14" x14ac:dyDescent="0.3">
      <c r="A677" t="s">
        <v>510</v>
      </c>
      <c r="B677" t="s">
        <v>1016</v>
      </c>
      <c r="C677" t="s">
        <v>1023</v>
      </c>
      <c r="D677">
        <v>45</v>
      </c>
      <c r="E677">
        <v>12</v>
      </c>
      <c r="F677" s="3">
        <v>43325</v>
      </c>
      <c r="G677">
        <v>49</v>
      </c>
      <c r="H677">
        <v>3</v>
      </c>
      <c r="I677">
        <v>18</v>
      </c>
      <c r="J677">
        <v>8</v>
      </c>
      <c r="K677">
        <v>4.9000000000000004</v>
      </c>
      <c r="L677" s="3">
        <v>7.8</v>
      </c>
      <c r="M677" t="s">
        <v>1035</v>
      </c>
      <c r="N677">
        <v>66.5</v>
      </c>
    </row>
    <row r="678" spans="1:14" x14ac:dyDescent="0.3">
      <c r="A678" t="s">
        <v>576</v>
      </c>
      <c r="B678" t="s">
        <v>1017</v>
      </c>
      <c r="C678" t="s">
        <v>1026</v>
      </c>
      <c r="D678">
        <v>30</v>
      </c>
      <c r="E678">
        <v>1</v>
      </c>
      <c r="F678" s="3">
        <v>72834</v>
      </c>
      <c r="G678">
        <v>47</v>
      </c>
      <c r="H678">
        <v>9</v>
      </c>
      <c r="I678">
        <v>21</v>
      </c>
      <c r="J678">
        <v>39</v>
      </c>
      <c r="K678">
        <v>4.5999999999999996</v>
      </c>
      <c r="L678" s="3">
        <v>7.8</v>
      </c>
      <c r="M678" t="s">
        <v>1035</v>
      </c>
      <c r="N678">
        <v>75.599999999999994</v>
      </c>
    </row>
    <row r="679" spans="1:14" x14ac:dyDescent="0.3">
      <c r="A679" t="s">
        <v>650</v>
      </c>
      <c r="B679" t="s">
        <v>1017</v>
      </c>
      <c r="C679" t="s">
        <v>1026</v>
      </c>
      <c r="D679">
        <v>47</v>
      </c>
      <c r="E679">
        <v>15</v>
      </c>
      <c r="F679" s="3">
        <v>44750</v>
      </c>
      <c r="G679">
        <v>50</v>
      </c>
      <c r="H679">
        <v>12</v>
      </c>
      <c r="I679">
        <v>24</v>
      </c>
      <c r="J679">
        <v>34</v>
      </c>
      <c r="K679">
        <v>2.7</v>
      </c>
      <c r="L679" s="3">
        <v>7.8</v>
      </c>
      <c r="M679" t="s">
        <v>1035</v>
      </c>
      <c r="N679">
        <v>74.900000000000006</v>
      </c>
    </row>
    <row r="680" spans="1:14" x14ac:dyDescent="0.3">
      <c r="A680" t="s">
        <v>657</v>
      </c>
      <c r="B680" t="s">
        <v>1018</v>
      </c>
      <c r="C680" t="s">
        <v>1027</v>
      </c>
      <c r="D680">
        <v>38</v>
      </c>
      <c r="E680">
        <v>9</v>
      </c>
      <c r="F680" s="3">
        <v>55602</v>
      </c>
      <c r="G680">
        <v>37</v>
      </c>
      <c r="H680">
        <v>11</v>
      </c>
      <c r="I680">
        <v>14</v>
      </c>
      <c r="J680">
        <v>17</v>
      </c>
      <c r="K680">
        <v>4.3</v>
      </c>
      <c r="L680" s="3">
        <v>7.8</v>
      </c>
      <c r="M680" t="s">
        <v>1035</v>
      </c>
      <c r="N680">
        <v>78.03</v>
      </c>
    </row>
    <row r="681" spans="1:14" x14ac:dyDescent="0.3">
      <c r="A681" t="s">
        <v>737</v>
      </c>
      <c r="B681" t="s">
        <v>1014</v>
      </c>
      <c r="C681" t="s">
        <v>1031</v>
      </c>
      <c r="D681">
        <v>42</v>
      </c>
      <c r="E681">
        <v>15</v>
      </c>
      <c r="F681" s="3">
        <v>32583</v>
      </c>
      <c r="G681">
        <v>47</v>
      </c>
      <c r="H681">
        <v>5</v>
      </c>
      <c r="I681">
        <v>14</v>
      </c>
      <c r="J681">
        <v>38</v>
      </c>
      <c r="K681">
        <v>4.2</v>
      </c>
      <c r="L681" s="3">
        <v>7.8</v>
      </c>
      <c r="M681" t="s">
        <v>1035</v>
      </c>
      <c r="N681">
        <v>67.73</v>
      </c>
    </row>
    <row r="682" spans="1:14" x14ac:dyDescent="0.3">
      <c r="A682" t="s">
        <v>748</v>
      </c>
      <c r="B682" t="s">
        <v>1018</v>
      </c>
      <c r="C682" t="s">
        <v>1027</v>
      </c>
      <c r="D682">
        <v>41</v>
      </c>
      <c r="E682">
        <v>12</v>
      </c>
      <c r="F682" s="3">
        <v>56945</v>
      </c>
      <c r="G682">
        <v>38</v>
      </c>
      <c r="H682">
        <v>10</v>
      </c>
      <c r="I682">
        <v>21</v>
      </c>
      <c r="J682">
        <v>31</v>
      </c>
      <c r="K682">
        <v>4</v>
      </c>
      <c r="L682" s="3">
        <v>7.8</v>
      </c>
      <c r="M682" t="s">
        <v>1035</v>
      </c>
      <c r="N682">
        <v>75.47</v>
      </c>
    </row>
    <row r="683" spans="1:14" x14ac:dyDescent="0.3">
      <c r="A683" t="s">
        <v>771</v>
      </c>
      <c r="B683" t="s">
        <v>1014</v>
      </c>
      <c r="C683" t="s">
        <v>1025</v>
      </c>
      <c r="D683">
        <v>37</v>
      </c>
      <c r="E683">
        <v>8</v>
      </c>
      <c r="F683" s="3">
        <v>61223</v>
      </c>
      <c r="G683">
        <v>47</v>
      </c>
      <c r="H683">
        <v>5</v>
      </c>
      <c r="I683">
        <v>20</v>
      </c>
      <c r="J683">
        <v>23</v>
      </c>
      <c r="K683">
        <v>4.7</v>
      </c>
      <c r="L683" s="3">
        <v>7.8</v>
      </c>
      <c r="M683" t="s">
        <v>1035</v>
      </c>
      <c r="N683">
        <v>69.23</v>
      </c>
    </row>
    <row r="684" spans="1:14" x14ac:dyDescent="0.3">
      <c r="A684" t="s">
        <v>778</v>
      </c>
      <c r="B684" t="s">
        <v>1018</v>
      </c>
      <c r="C684" t="s">
        <v>1032</v>
      </c>
      <c r="D684">
        <v>48</v>
      </c>
      <c r="E684">
        <v>10</v>
      </c>
      <c r="F684" s="3">
        <v>54588</v>
      </c>
      <c r="G684">
        <v>50</v>
      </c>
      <c r="H684">
        <v>14</v>
      </c>
      <c r="I684">
        <v>23</v>
      </c>
      <c r="J684">
        <v>8</v>
      </c>
      <c r="K684">
        <v>2.8</v>
      </c>
      <c r="L684" s="3">
        <v>7.8</v>
      </c>
      <c r="M684" t="s">
        <v>1035</v>
      </c>
      <c r="N684">
        <v>78.53</v>
      </c>
    </row>
    <row r="685" spans="1:14" x14ac:dyDescent="0.3">
      <c r="A685" t="s">
        <v>911</v>
      </c>
      <c r="B685" t="s">
        <v>1016</v>
      </c>
      <c r="C685" t="s">
        <v>1033</v>
      </c>
      <c r="D685">
        <v>43</v>
      </c>
      <c r="E685">
        <v>7</v>
      </c>
      <c r="F685" s="3">
        <v>52469</v>
      </c>
      <c r="G685">
        <v>48</v>
      </c>
      <c r="H685">
        <v>11</v>
      </c>
      <c r="I685">
        <v>24</v>
      </c>
      <c r="J685">
        <v>25</v>
      </c>
      <c r="K685">
        <v>4.3</v>
      </c>
      <c r="L685" s="3">
        <v>7.8</v>
      </c>
      <c r="M685" t="s">
        <v>1035</v>
      </c>
      <c r="N685">
        <v>78.03</v>
      </c>
    </row>
    <row r="686" spans="1:14" x14ac:dyDescent="0.3">
      <c r="A686" t="s">
        <v>914</v>
      </c>
      <c r="B686" t="s">
        <v>1017</v>
      </c>
      <c r="C686" t="s">
        <v>1026</v>
      </c>
      <c r="D686">
        <v>41</v>
      </c>
      <c r="E686">
        <v>2</v>
      </c>
      <c r="F686" s="3">
        <v>36234</v>
      </c>
      <c r="G686">
        <v>38</v>
      </c>
      <c r="H686">
        <v>11</v>
      </c>
      <c r="I686">
        <v>17</v>
      </c>
      <c r="J686">
        <v>11</v>
      </c>
      <c r="K686">
        <v>2.1</v>
      </c>
      <c r="L686" s="3">
        <v>7.8</v>
      </c>
      <c r="M686" t="s">
        <v>1035</v>
      </c>
      <c r="N686">
        <v>71.430000000000007</v>
      </c>
    </row>
    <row r="687" spans="1:14" x14ac:dyDescent="0.3">
      <c r="A687" t="s">
        <v>972</v>
      </c>
      <c r="B687" t="s">
        <v>1017</v>
      </c>
      <c r="C687" t="s">
        <v>1030</v>
      </c>
      <c r="D687">
        <v>29</v>
      </c>
      <c r="E687">
        <v>2</v>
      </c>
      <c r="F687" s="3">
        <v>85472</v>
      </c>
      <c r="G687">
        <v>52</v>
      </c>
      <c r="H687">
        <v>11</v>
      </c>
      <c r="I687">
        <v>23</v>
      </c>
      <c r="J687">
        <v>31</v>
      </c>
      <c r="K687">
        <v>2.2999999999999998</v>
      </c>
      <c r="L687" s="3">
        <v>7.8</v>
      </c>
      <c r="M687" t="s">
        <v>1035</v>
      </c>
      <c r="N687">
        <v>72.03</v>
      </c>
    </row>
    <row r="688" spans="1:14" x14ac:dyDescent="0.3">
      <c r="A688" t="s">
        <v>978</v>
      </c>
      <c r="B688" t="s">
        <v>1018</v>
      </c>
      <c r="C688" t="s">
        <v>1032</v>
      </c>
      <c r="D688">
        <v>40</v>
      </c>
      <c r="E688">
        <v>4</v>
      </c>
      <c r="F688" s="3">
        <v>73959</v>
      </c>
      <c r="G688">
        <v>36</v>
      </c>
      <c r="H688">
        <v>10</v>
      </c>
      <c r="I688">
        <v>10</v>
      </c>
      <c r="J688">
        <v>19</v>
      </c>
      <c r="K688">
        <v>3.5</v>
      </c>
      <c r="L688" s="3">
        <v>7.8</v>
      </c>
      <c r="M688" t="s">
        <v>1035</v>
      </c>
      <c r="N688">
        <v>73.97</v>
      </c>
    </row>
    <row r="689" spans="1:14" x14ac:dyDescent="0.3">
      <c r="A689" t="s">
        <v>39</v>
      </c>
      <c r="B689" t="s">
        <v>1018</v>
      </c>
      <c r="C689" t="s">
        <v>1027</v>
      </c>
      <c r="D689">
        <v>46</v>
      </c>
      <c r="E689">
        <v>0</v>
      </c>
      <c r="F689" s="3">
        <v>89573</v>
      </c>
      <c r="G689">
        <v>47</v>
      </c>
      <c r="H689">
        <v>5</v>
      </c>
      <c r="I689">
        <v>25</v>
      </c>
      <c r="J689">
        <v>29</v>
      </c>
      <c r="K689">
        <v>2.9</v>
      </c>
      <c r="L689" s="3">
        <v>7.9</v>
      </c>
      <c r="M689" t="s">
        <v>1035</v>
      </c>
      <c r="N689">
        <v>64.430000000000007</v>
      </c>
    </row>
    <row r="690" spans="1:14" x14ac:dyDescent="0.3">
      <c r="A690" t="s">
        <v>63</v>
      </c>
      <c r="B690" t="s">
        <v>1018</v>
      </c>
      <c r="C690" t="s">
        <v>1032</v>
      </c>
      <c r="D690">
        <v>52</v>
      </c>
      <c r="E690">
        <v>2</v>
      </c>
      <c r="F690" s="3">
        <v>54846</v>
      </c>
      <c r="G690">
        <v>48</v>
      </c>
      <c r="H690">
        <v>15</v>
      </c>
      <c r="I690">
        <v>20</v>
      </c>
      <c r="J690">
        <v>36</v>
      </c>
      <c r="K690">
        <v>2.6</v>
      </c>
      <c r="L690" s="3">
        <v>7.9</v>
      </c>
      <c r="M690" t="s">
        <v>1035</v>
      </c>
      <c r="N690">
        <v>80.2</v>
      </c>
    </row>
    <row r="691" spans="1:14" x14ac:dyDescent="0.3">
      <c r="A691" t="s">
        <v>85</v>
      </c>
      <c r="B691" t="s">
        <v>1015</v>
      </c>
      <c r="C691" t="s">
        <v>1021</v>
      </c>
      <c r="D691">
        <v>45</v>
      </c>
      <c r="E691">
        <v>15</v>
      </c>
      <c r="F691" s="3">
        <v>61272</v>
      </c>
      <c r="G691">
        <v>51</v>
      </c>
      <c r="H691">
        <v>6</v>
      </c>
      <c r="I691">
        <v>13</v>
      </c>
      <c r="J691">
        <v>35</v>
      </c>
      <c r="K691">
        <v>3</v>
      </c>
      <c r="L691" s="3">
        <v>7.9</v>
      </c>
      <c r="M691" t="s">
        <v>1035</v>
      </c>
      <c r="N691">
        <v>66.400000000000006</v>
      </c>
    </row>
    <row r="692" spans="1:14" x14ac:dyDescent="0.3">
      <c r="A692" t="s">
        <v>94</v>
      </c>
      <c r="B692" t="s">
        <v>1014</v>
      </c>
      <c r="C692" t="s">
        <v>1025</v>
      </c>
      <c r="D692">
        <v>48</v>
      </c>
      <c r="E692">
        <v>14</v>
      </c>
      <c r="F692" s="3">
        <v>70178</v>
      </c>
      <c r="G692">
        <v>54</v>
      </c>
      <c r="H692">
        <v>8</v>
      </c>
      <c r="I692">
        <v>9</v>
      </c>
      <c r="J692">
        <v>2</v>
      </c>
      <c r="K692">
        <v>2.7</v>
      </c>
      <c r="L692" s="3">
        <v>7.9</v>
      </c>
      <c r="M692" t="s">
        <v>1035</v>
      </c>
      <c r="N692">
        <v>68.83</v>
      </c>
    </row>
    <row r="693" spans="1:14" x14ac:dyDescent="0.3">
      <c r="A693" t="s">
        <v>254</v>
      </c>
      <c r="B693" t="s">
        <v>1016</v>
      </c>
      <c r="C693" t="s">
        <v>1022</v>
      </c>
      <c r="D693">
        <v>22</v>
      </c>
      <c r="E693">
        <v>0</v>
      </c>
      <c r="F693" s="3">
        <v>86417</v>
      </c>
      <c r="G693">
        <v>41</v>
      </c>
      <c r="H693">
        <v>12</v>
      </c>
      <c r="I693">
        <v>3</v>
      </c>
      <c r="J693">
        <v>30</v>
      </c>
      <c r="K693">
        <v>4.7</v>
      </c>
      <c r="L693" s="3">
        <v>7.9</v>
      </c>
      <c r="M693" t="s">
        <v>1035</v>
      </c>
      <c r="N693">
        <v>81.5</v>
      </c>
    </row>
    <row r="694" spans="1:14" x14ac:dyDescent="0.3">
      <c r="A694" t="s">
        <v>381</v>
      </c>
      <c r="B694" t="s">
        <v>1015</v>
      </c>
      <c r="C694" t="s">
        <v>1029</v>
      </c>
      <c r="D694">
        <v>52</v>
      </c>
      <c r="E694">
        <v>1</v>
      </c>
      <c r="F694" s="3">
        <v>36285</v>
      </c>
      <c r="G694">
        <v>43</v>
      </c>
      <c r="H694">
        <v>7</v>
      </c>
      <c r="I694">
        <v>4</v>
      </c>
      <c r="J694">
        <v>39</v>
      </c>
      <c r="K694">
        <v>3.8</v>
      </c>
      <c r="L694" s="3">
        <v>7.9</v>
      </c>
      <c r="M694" t="s">
        <v>1035</v>
      </c>
      <c r="N694">
        <v>70.47</v>
      </c>
    </row>
    <row r="695" spans="1:14" x14ac:dyDescent="0.3">
      <c r="A695" t="s">
        <v>410</v>
      </c>
      <c r="B695" t="s">
        <v>1014</v>
      </c>
      <c r="C695" t="s">
        <v>1019</v>
      </c>
      <c r="D695">
        <v>25</v>
      </c>
      <c r="E695">
        <v>0</v>
      </c>
      <c r="F695" s="3">
        <v>52313</v>
      </c>
      <c r="G695">
        <v>49</v>
      </c>
      <c r="H695">
        <v>7</v>
      </c>
      <c r="I695">
        <v>3</v>
      </c>
      <c r="J695">
        <v>35</v>
      </c>
      <c r="K695">
        <v>2.8</v>
      </c>
      <c r="L695" s="3">
        <v>7.9</v>
      </c>
      <c r="M695" t="s">
        <v>1035</v>
      </c>
      <c r="N695">
        <v>67.47</v>
      </c>
    </row>
    <row r="696" spans="1:14" x14ac:dyDescent="0.3">
      <c r="A696" t="s">
        <v>411</v>
      </c>
      <c r="B696" t="s">
        <v>1014</v>
      </c>
      <c r="C696" t="s">
        <v>1031</v>
      </c>
      <c r="D696">
        <v>41</v>
      </c>
      <c r="E696">
        <v>13</v>
      </c>
      <c r="F696" s="3">
        <v>68362</v>
      </c>
      <c r="G696">
        <v>38</v>
      </c>
      <c r="H696">
        <v>11</v>
      </c>
      <c r="I696">
        <v>16</v>
      </c>
      <c r="J696">
        <v>17</v>
      </c>
      <c r="K696">
        <v>3.9</v>
      </c>
      <c r="L696" s="3">
        <v>7.9</v>
      </c>
      <c r="M696" t="s">
        <v>1035</v>
      </c>
      <c r="N696">
        <v>77.430000000000007</v>
      </c>
    </row>
    <row r="697" spans="1:14" x14ac:dyDescent="0.3">
      <c r="A697" t="s">
        <v>436</v>
      </c>
      <c r="B697" t="s">
        <v>1017</v>
      </c>
      <c r="C697" t="s">
        <v>1026</v>
      </c>
      <c r="D697">
        <v>30</v>
      </c>
      <c r="E697">
        <v>2</v>
      </c>
      <c r="F697" s="3">
        <v>52049</v>
      </c>
      <c r="G697">
        <v>54</v>
      </c>
      <c r="H697">
        <v>12</v>
      </c>
      <c r="I697">
        <v>23</v>
      </c>
      <c r="J697">
        <v>32</v>
      </c>
      <c r="K697">
        <v>2.9</v>
      </c>
      <c r="L697" s="3">
        <v>7.9</v>
      </c>
      <c r="M697" t="s">
        <v>1035</v>
      </c>
      <c r="N697">
        <v>76.099999999999994</v>
      </c>
    </row>
    <row r="698" spans="1:14" x14ac:dyDescent="0.3">
      <c r="A698" t="s">
        <v>463</v>
      </c>
      <c r="B698" t="s">
        <v>1016</v>
      </c>
      <c r="C698" t="s">
        <v>1023</v>
      </c>
      <c r="D698">
        <v>26</v>
      </c>
      <c r="E698">
        <v>1</v>
      </c>
      <c r="F698" s="3">
        <v>45826</v>
      </c>
      <c r="G698">
        <v>50</v>
      </c>
      <c r="H698">
        <v>8</v>
      </c>
      <c r="I698">
        <v>10</v>
      </c>
      <c r="J698">
        <v>39</v>
      </c>
      <c r="K698">
        <v>4</v>
      </c>
      <c r="L698" s="3">
        <v>7.9</v>
      </c>
      <c r="M698" t="s">
        <v>1035</v>
      </c>
      <c r="N698">
        <v>72.73</v>
      </c>
    </row>
    <row r="699" spans="1:14" x14ac:dyDescent="0.3">
      <c r="A699" t="s">
        <v>546</v>
      </c>
      <c r="B699" t="s">
        <v>1018</v>
      </c>
      <c r="C699" t="s">
        <v>1032</v>
      </c>
      <c r="D699">
        <v>28</v>
      </c>
      <c r="E699">
        <v>0</v>
      </c>
      <c r="F699" s="3">
        <v>62421</v>
      </c>
      <c r="G699">
        <v>55</v>
      </c>
      <c r="H699">
        <v>14</v>
      </c>
      <c r="I699">
        <v>12</v>
      </c>
      <c r="J699">
        <v>31</v>
      </c>
      <c r="K699">
        <v>3.6</v>
      </c>
      <c r="L699" s="3">
        <v>7.9</v>
      </c>
      <c r="M699" t="s">
        <v>1035</v>
      </c>
      <c r="N699">
        <v>81.53</v>
      </c>
    </row>
    <row r="700" spans="1:14" x14ac:dyDescent="0.3">
      <c r="A700" t="s">
        <v>589</v>
      </c>
      <c r="B700" t="s">
        <v>1017</v>
      </c>
      <c r="C700" t="s">
        <v>1030</v>
      </c>
      <c r="D700">
        <v>27</v>
      </c>
      <c r="E700">
        <v>5</v>
      </c>
      <c r="F700" s="3">
        <v>57811</v>
      </c>
      <c r="G700">
        <v>38</v>
      </c>
      <c r="H700">
        <v>3</v>
      </c>
      <c r="I700">
        <v>24</v>
      </c>
      <c r="J700">
        <v>37</v>
      </c>
      <c r="K700">
        <v>4.8</v>
      </c>
      <c r="L700" s="3">
        <v>7.9</v>
      </c>
      <c r="M700" t="s">
        <v>1035</v>
      </c>
      <c r="N700">
        <v>66.8</v>
      </c>
    </row>
    <row r="701" spans="1:14" x14ac:dyDescent="0.3">
      <c r="A701" t="s">
        <v>637</v>
      </c>
      <c r="B701" t="s">
        <v>1017</v>
      </c>
      <c r="C701" t="s">
        <v>1026</v>
      </c>
      <c r="D701">
        <v>30</v>
      </c>
      <c r="E701">
        <v>1</v>
      </c>
      <c r="F701" s="3">
        <v>33992</v>
      </c>
      <c r="G701">
        <v>55</v>
      </c>
      <c r="H701">
        <v>13</v>
      </c>
      <c r="I701">
        <v>13</v>
      </c>
      <c r="J701">
        <v>29</v>
      </c>
      <c r="K701">
        <v>4.7</v>
      </c>
      <c r="L701" s="3">
        <v>7.9</v>
      </c>
      <c r="M701" t="s">
        <v>1035</v>
      </c>
      <c r="N701">
        <v>83.17</v>
      </c>
    </row>
    <row r="702" spans="1:14" x14ac:dyDescent="0.3">
      <c r="A702" t="s">
        <v>753</v>
      </c>
      <c r="B702" t="s">
        <v>1014</v>
      </c>
      <c r="C702" t="s">
        <v>1025</v>
      </c>
      <c r="D702">
        <v>42</v>
      </c>
      <c r="E702">
        <v>1</v>
      </c>
      <c r="F702" s="3">
        <v>55206</v>
      </c>
      <c r="G702">
        <v>48</v>
      </c>
      <c r="H702">
        <v>10</v>
      </c>
      <c r="I702">
        <v>16</v>
      </c>
      <c r="J702">
        <v>26</v>
      </c>
      <c r="K702">
        <v>2.8</v>
      </c>
      <c r="L702" s="3">
        <v>7.9</v>
      </c>
      <c r="M702" t="s">
        <v>1035</v>
      </c>
      <c r="N702">
        <v>72.47</v>
      </c>
    </row>
    <row r="703" spans="1:14" x14ac:dyDescent="0.3">
      <c r="A703" t="s">
        <v>842</v>
      </c>
      <c r="B703" t="s">
        <v>1017</v>
      </c>
      <c r="C703" t="s">
        <v>1024</v>
      </c>
      <c r="D703">
        <v>32</v>
      </c>
      <c r="E703">
        <v>2</v>
      </c>
      <c r="F703" s="3">
        <v>58147</v>
      </c>
      <c r="G703">
        <v>39</v>
      </c>
      <c r="H703">
        <v>8</v>
      </c>
      <c r="I703">
        <v>22</v>
      </c>
      <c r="J703">
        <v>29</v>
      </c>
      <c r="K703">
        <v>2.4</v>
      </c>
      <c r="L703" s="3">
        <v>7.9</v>
      </c>
      <c r="M703" t="s">
        <v>1035</v>
      </c>
      <c r="N703">
        <v>67.930000000000007</v>
      </c>
    </row>
    <row r="704" spans="1:14" x14ac:dyDescent="0.3">
      <c r="A704" t="s">
        <v>852</v>
      </c>
      <c r="B704" t="s">
        <v>1014</v>
      </c>
      <c r="C704" t="s">
        <v>1025</v>
      </c>
      <c r="D704">
        <v>29</v>
      </c>
      <c r="E704">
        <v>8</v>
      </c>
      <c r="F704" s="3">
        <v>36779</v>
      </c>
      <c r="G704">
        <v>35</v>
      </c>
      <c r="H704">
        <v>5</v>
      </c>
      <c r="I704">
        <v>25</v>
      </c>
      <c r="J704">
        <v>13</v>
      </c>
      <c r="K704">
        <v>2.7</v>
      </c>
      <c r="L704" s="3">
        <v>7.9</v>
      </c>
      <c r="M704" t="s">
        <v>1035</v>
      </c>
      <c r="N704">
        <v>63.83</v>
      </c>
    </row>
    <row r="705" spans="1:14" x14ac:dyDescent="0.3">
      <c r="A705" t="s">
        <v>890</v>
      </c>
      <c r="B705" t="s">
        <v>1016</v>
      </c>
      <c r="C705" t="s">
        <v>1033</v>
      </c>
      <c r="D705">
        <v>32</v>
      </c>
      <c r="E705">
        <v>1</v>
      </c>
      <c r="F705" s="3">
        <v>54773</v>
      </c>
      <c r="G705">
        <v>36</v>
      </c>
      <c r="H705">
        <v>8</v>
      </c>
      <c r="I705">
        <v>7</v>
      </c>
      <c r="J705">
        <v>0</v>
      </c>
      <c r="K705">
        <v>3.9</v>
      </c>
      <c r="L705" s="3">
        <v>7.9</v>
      </c>
      <c r="M705" t="s">
        <v>1035</v>
      </c>
      <c r="N705">
        <v>72.430000000000007</v>
      </c>
    </row>
    <row r="706" spans="1:14" x14ac:dyDescent="0.3">
      <c r="A706" t="s">
        <v>896</v>
      </c>
      <c r="B706" t="s">
        <v>1017</v>
      </c>
      <c r="C706" t="s">
        <v>1026</v>
      </c>
      <c r="D706">
        <v>26</v>
      </c>
      <c r="E706">
        <v>0</v>
      </c>
      <c r="F706" s="3">
        <v>34465</v>
      </c>
      <c r="G706">
        <v>39</v>
      </c>
      <c r="H706">
        <v>13</v>
      </c>
      <c r="I706">
        <v>6</v>
      </c>
      <c r="J706">
        <v>12</v>
      </c>
      <c r="K706">
        <v>3.6</v>
      </c>
      <c r="L706" s="3">
        <v>7.9</v>
      </c>
      <c r="M706" t="s">
        <v>1035</v>
      </c>
      <c r="N706">
        <v>79.87</v>
      </c>
    </row>
    <row r="707" spans="1:14" x14ac:dyDescent="0.3">
      <c r="A707" t="s">
        <v>909</v>
      </c>
      <c r="B707" t="s">
        <v>1017</v>
      </c>
      <c r="C707" t="s">
        <v>1030</v>
      </c>
      <c r="D707">
        <v>51</v>
      </c>
      <c r="E707">
        <v>10</v>
      </c>
      <c r="F707" s="3">
        <v>76898</v>
      </c>
      <c r="G707">
        <v>37</v>
      </c>
      <c r="H707">
        <v>6</v>
      </c>
      <c r="I707">
        <v>6</v>
      </c>
      <c r="J707">
        <v>27</v>
      </c>
      <c r="K707">
        <v>4.3</v>
      </c>
      <c r="L707" s="3">
        <v>7.9</v>
      </c>
      <c r="M707" t="s">
        <v>1035</v>
      </c>
      <c r="N707">
        <v>70.3</v>
      </c>
    </row>
    <row r="708" spans="1:14" x14ac:dyDescent="0.3">
      <c r="A708" t="s">
        <v>941</v>
      </c>
      <c r="B708" t="s">
        <v>1018</v>
      </c>
      <c r="C708" t="s">
        <v>1028</v>
      </c>
      <c r="D708">
        <v>43</v>
      </c>
      <c r="E708">
        <v>10</v>
      </c>
      <c r="F708" s="3">
        <v>40876</v>
      </c>
      <c r="G708">
        <v>41</v>
      </c>
      <c r="H708">
        <v>9</v>
      </c>
      <c r="I708">
        <v>1</v>
      </c>
      <c r="J708">
        <v>15</v>
      </c>
      <c r="K708">
        <v>4.4000000000000004</v>
      </c>
      <c r="L708" s="3">
        <v>7.9</v>
      </c>
      <c r="M708" t="s">
        <v>1035</v>
      </c>
      <c r="N708">
        <v>75.599999999999994</v>
      </c>
    </row>
    <row r="709" spans="1:14" x14ac:dyDescent="0.3">
      <c r="A709" t="s">
        <v>1010</v>
      </c>
      <c r="B709" t="s">
        <v>1015</v>
      </c>
      <c r="C709" t="s">
        <v>1020</v>
      </c>
      <c r="D709">
        <v>29</v>
      </c>
      <c r="E709">
        <v>6</v>
      </c>
      <c r="F709" s="3">
        <v>25910</v>
      </c>
      <c r="G709">
        <v>54</v>
      </c>
      <c r="H709">
        <v>4</v>
      </c>
      <c r="I709">
        <v>23</v>
      </c>
      <c r="J709">
        <v>0</v>
      </c>
      <c r="K709">
        <v>4.0999999999999996</v>
      </c>
      <c r="L709" s="3">
        <v>7.9</v>
      </c>
      <c r="M709" t="s">
        <v>1035</v>
      </c>
      <c r="N709">
        <v>66.37</v>
      </c>
    </row>
    <row r="710" spans="1:14" x14ac:dyDescent="0.3">
      <c r="A710" t="s">
        <v>105</v>
      </c>
      <c r="B710" t="s">
        <v>1015</v>
      </c>
      <c r="C710" t="s">
        <v>1020</v>
      </c>
      <c r="D710">
        <v>48</v>
      </c>
      <c r="E710">
        <v>2</v>
      </c>
      <c r="F710" s="3">
        <v>39725</v>
      </c>
      <c r="G710">
        <v>38</v>
      </c>
      <c r="H710">
        <v>8</v>
      </c>
      <c r="I710">
        <v>3</v>
      </c>
      <c r="J710">
        <v>9</v>
      </c>
      <c r="K710">
        <v>3.5</v>
      </c>
      <c r="L710" s="3">
        <v>8</v>
      </c>
      <c r="M710" t="s">
        <v>1034</v>
      </c>
      <c r="N710">
        <v>71.83</v>
      </c>
    </row>
    <row r="711" spans="1:14" x14ac:dyDescent="0.3">
      <c r="A711" t="s">
        <v>164</v>
      </c>
      <c r="B711" t="s">
        <v>1018</v>
      </c>
      <c r="C711" t="s">
        <v>1028</v>
      </c>
      <c r="D711">
        <v>44</v>
      </c>
      <c r="E711">
        <v>9</v>
      </c>
      <c r="F711" s="3">
        <v>88418</v>
      </c>
      <c r="G711">
        <v>55</v>
      </c>
      <c r="H711">
        <v>12</v>
      </c>
      <c r="I711">
        <v>21</v>
      </c>
      <c r="J711">
        <v>25</v>
      </c>
      <c r="K711">
        <v>2.4</v>
      </c>
      <c r="L711" s="3">
        <v>8</v>
      </c>
      <c r="M711" t="s">
        <v>1034</v>
      </c>
      <c r="N711">
        <v>75.2</v>
      </c>
    </row>
    <row r="712" spans="1:14" x14ac:dyDescent="0.3">
      <c r="A712" t="s">
        <v>193</v>
      </c>
      <c r="B712" t="s">
        <v>1018</v>
      </c>
      <c r="C712" t="s">
        <v>1028</v>
      </c>
      <c r="D712">
        <v>40</v>
      </c>
      <c r="E712">
        <v>15</v>
      </c>
      <c r="F712" s="3">
        <v>38118</v>
      </c>
      <c r="G712">
        <v>38</v>
      </c>
      <c r="H712">
        <v>3</v>
      </c>
      <c r="I712">
        <v>2</v>
      </c>
      <c r="J712">
        <v>28</v>
      </c>
      <c r="K712">
        <v>2.5</v>
      </c>
      <c r="L712" s="3">
        <v>8</v>
      </c>
      <c r="M712" t="s">
        <v>1034</v>
      </c>
      <c r="N712">
        <v>60.5</v>
      </c>
    </row>
    <row r="713" spans="1:14" x14ac:dyDescent="0.3">
      <c r="A713" t="s">
        <v>216</v>
      </c>
      <c r="B713" t="s">
        <v>1015</v>
      </c>
      <c r="C713" t="s">
        <v>1020</v>
      </c>
      <c r="D713">
        <v>41</v>
      </c>
      <c r="E713">
        <v>0</v>
      </c>
      <c r="F713" s="3">
        <v>64119</v>
      </c>
      <c r="G713">
        <v>50</v>
      </c>
      <c r="H713">
        <v>5</v>
      </c>
      <c r="I713">
        <v>20</v>
      </c>
      <c r="J713">
        <v>37</v>
      </c>
      <c r="K713">
        <v>3.7</v>
      </c>
      <c r="L713" s="3">
        <v>8</v>
      </c>
      <c r="M713" t="s">
        <v>1034</v>
      </c>
      <c r="N713">
        <v>67.430000000000007</v>
      </c>
    </row>
    <row r="714" spans="1:14" x14ac:dyDescent="0.3">
      <c r="A714" t="s">
        <v>243</v>
      </c>
      <c r="B714" t="s">
        <v>1015</v>
      </c>
      <c r="C714" t="s">
        <v>1021</v>
      </c>
      <c r="D714">
        <v>30</v>
      </c>
      <c r="E714">
        <v>3</v>
      </c>
      <c r="F714" s="3">
        <v>79710</v>
      </c>
      <c r="G714">
        <v>35</v>
      </c>
      <c r="H714">
        <v>13</v>
      </c>
      <c r="I714">
        <v>0</v>
      </c>
      <c r="J714">
        <v>19</v>
      </c>
      <c r="K714">
        <v>3.4</v>
      </c>
      <c r="L714" s="3">
        <v>8</v>
      </c>
      <c r="M714" t="s">
        <v>1034</v>
      </c>
      <c r="N714">
        <v>79.87</v>
      </c>
    </row>
    <row r="715" spans="1:14" x14ac:dyDescent="0.3">
      <c r="A715" t="s">
        <v>283</v>
      </c>
      <c r="B715" t="s">
        <v>1014</v>
      </c>
      <c r="C715" t="s">
        <v>1031</v>
      </c>
      <c r="D715">
        <v>48</v>
      </c>
      <c r="E715">
        <v>15</v>
      </c>
      <c r="F715" s="3">
        <v>34121</v>
      </c>
      <c r="G715">
        <v>55</v>
      </c>
      <c r="H715">
        <v>5</v>
      </c>
      <c r="I715">
        <v>7</v>
      </c>
      <c r="J715">
        <v>16</v>
      </c>
      <c r="K715">
        <v>4</v>
      </c>
      <c r="L715" s="3">
        <v>8</v>
      </c>
      <c r="M715" t="s">
        <v>1034</v>
      </c>
      <c r="N715">
        <v>68.33</v>
      </c>
    </row>
    <row r="716" spans="1:14" x14ac:dyDescent="0.3">
      <c r="A716" t="s">
        <v>319</v>
      </c>
      <c r="B716" t="s">
        <v>1016</v>
      </c>
      <c r="C716" t="s">
        <v>1033</v>
      </c>
      <c r="D716">
        <v>30</v>
      </c>
      <c r="E716">
        <v>3</v>
      </c>
      <c r="F716" s="3">
        <v>43151</v>
      </c>
      <c r="G716">
        <v>55</v>
      </c>
      <c r="H716">
        <v>2</v>
      </c>
      <c r="I716">
        <v>7</v>
      </c>
      <c r="J716">
        <v>35</v>
      </c>
      <c r="K716">
        <v>3.8</v>
      </c>
      <c r="L716" s="3">
        <v>8</v>
      </c>
      <c r="M716" t="s">
        <v>1034</v>
      </c>
      <c r="N716">
        <v>62.73</v>
      </c>
    </row>
    <row r="717" spans="1:14" x14ac:dyDescent="0.3">
      <c r="A717" t="s">
        <v>343</v>
      </c>
      <c r="B717" t="s">
        <v>1014</v>
      </c>
      <c r="C717" t="s">
        <v>1031</v>
      </c>
      <c r="D717">
        <v>32</v>
      </c>
      <c r="E717">
        <v>10</v>
      </c>
      <c r="F717" s="3">
        <v>44937</v>
      </c>
      <c r="G717">
        <v>54</v>
      </c>
      <c r="H717">
        <v>1</v>
      </c>
      <c r="I717">
        <v>6</v>
      </c>
      <c r="J717">
        <v>20</v>
      </c>
      <c r="K717">
        <v>2.4</v>
      </c>
      <c r="L717" s="3">
        <v>8</v>
      </c>
      <c r="M717" t="s">
        <v>1034</v>
      </c>
      <c r="N717">
        <v>56.87</v>
      </c>
    </row>
    <row r="718" spans="1:14" x14ac:dyDescent="0.3">
      <c r="A718" t="s">
        <v>393</v>
      </c>
      <c r="B718" t="s">
        <v>1017</v>
      </c>
      <c r="C718" t="s">
        <v>1024</v>
      </c>
      <c r="D718">
        <v>26</v>
      </c>
      <c r="E718">
        <v>2</v>
      </c>
      <c r="F718" s="3">
        <v>89773</v>
      </c>
      <c r="G718">
        <v>43</v>
      </c>
      <c r="H718">
        <v>11</v>
      </c>
      <c r="I718">
        <v>10</v>
      </c>
      <c r="J718">
        <v>17</v>
      </c>
      <c r="K718">
        <v>2.8</v>
      </c>
      <c r="L718" s="3">
        <v>8</v>
      </c>
      <c r="M718" t="s">
        <v>1034</v>
      </c>
      <c r="N718">
        <v>74.73</v>
      </c>
    </row>
    <row r="719" spans="1:14" x14ac:dyDescent="0.3">
      <c r="A719" t="s">
        <v>401</v>
      </c>
      <c r="B719" t="s">
        <v>1018</v>
      </c>
      <c r="C719" t="s">
        <v>1028</v>
      </c>
      <c r="D719">
        <v>43</v>
      </c>
      <c r="E719">
        <v>13</v>
      </c>
      <c r="F719" s="3">
        <v>89696</v>
      </c>
      <c r="G719">
        <v>53</v>
      </c>
      <c r="H719">
        <v>15</v>
      </c>
      <c r="I719">
        <v>14</v>
      </c>
      <c r="J719">
        <v>9</v>
      </c>
      <c r="K719">
        <v>2.9</v>
      </c>
      <c r="L719" s="3">
        <v>8</v>
      </c>
      <c r="M719" t="s">
        <v>1034</v>
      </c>
      <c r="N719">
        <v>81.7</v>
      </c>
    </row>
    <row r="720" spans="1:14" x14ac:dyDescent="0.3">
      <c r="A720" t="s">
        <v>430</v>
      </c>
      <c r="B720" t="s">
        <v>1016</v>
      </c>
      <c r="C720" t="s">
        <v>1022</v>
      </c>
      <c r="D720">
        <v>55</v>
      </c>
      <c r="E720">
        <v>11</v>
      </c>
      <c r="F720" s="3">
        <v>71012</v>
      </c>
      <c r="G720">
        <v>38</v>
      </c>
      <c r="H720">
        <v>1</v>
      </c>
      <c r="I720">
        <v>5</v>
      </c>
      <c r="J720">
        <v>31</v>
      </c>
      <c r="K720">
        <v>2.4</v>
      </c>
      <c r="L720" s="3">
        <v>8</v>
      </c>
      <c r="M720" t="s">
        <v>1034</v>
      </c>
      <c r="N720">
        <v>56.87</v>
      </c>
    </row>
    <row r="721" spans="1:14" x14ac:dyDescent="0.3">
      <c r="A721" t="s">
        <v>543</v>
      </c>
      <c r="B721" t="s">
        <v>1015</v>
      </c>
      <c r="C721" t="s">
        <v>1020</v>
      </c>
      <c r="D721">
        <v>46</v>
      </c>
      <c r="E721">
        <v>5</v>
      </c>
      <c r="F721" s="3">
        <v>82863</v>
      </c>
      <c r="G721">
        <v>35</v>
      </c>
      <c r="H721">
        <v>10</v>
      </c>
      <c r="I721">
        <v>11</v>
      </c>
      <c r="J721">
        <v>39</v>
      </c>
      <c r="K721">
        <v>2.7</v>
      </c>
      <c r="L721" s="3">
        <v>8</v>
      </c>
      <c r="M721" t="s">
        <v>1034</v>
      </c>
      <c r="N721">
        <v>72.77</v>
      </c>
    </row>
    <row r="722" spans="1:14" x14ac:dyDescent="0.3">
      <c r="A722" t="s">
        <v>634</v>
      </c>
      <c r="B722" t="s">
        <v>1014</v>
      </c>
      <c r="C722" t="s">
        <v>1031</v>
      </c>
      <c r="D722">
        <v>40</v>
      </c>
      <c r="E722">
        <v>0</v>
      </c>
      <c r="F722" s="3">
        <v>40416</v>
      </c>
      <c r="G722">
        <v>48</v>
      </c>
      <c r="H722">
        <v>12</v>
      </c>
      <c r="I722">
        <v>18</v>
      </c>
      <c r="J722">
        <v>25</v>
      </c>
      <c r="K722">
        <v>3.9</v>
      </c>
      <c r="L722" s="3">
        <v>8</v>
      </c>
      <c r="M722" t="s">
        <v>1034</v>
      </c>
      <c r="N722">
        <v>79.7</v>
      </c>
    </row>
    <row r="723" spans="1:14" x14ac:dyDescent="0.3">
      <c r="A723" t="s">
        <v>782</v>
      </c>
      <c r="B723" t="s">
        <v>1014</v>
      </c>
      <c r="C723" t="s">
        <v>1019</v>
      </c>
      <c r="D723">
        <v>22</v>
      </c>
      <c r="E723">
        <v>1</v>
      </c>
      <c r="F723" s="3">
        <v>75682</v>
      </c>
      <c r="G723">
        <v>49</v>
      </c>
      <c r="H723">
        <v>14</v>
      </c>
      <c r="I723">
        <v>21</v>
      </c>
      <c r="J723">
        <v>31</v>
      </c>
      <c r="K723">
        <v>2.4</v>
      </c>
      <c r="L723" s="3">
        <v>8</v>
      </c>
      <c r="M723" t="s">
        <v>1034</v>
      </c>
      <c r="N723">
        <v>78.53</v>
      </c>
    </row>
    <row r="724" spans="1:14" x14ac:dyDescent="0.3">
      <c r="A724" t="s">
        <v>785</v>
      </c>
      <c r="B724" t="s">
        <v>1016</v>
      </c>
      <c r="C724" t="s">
        <v>1022</v>
      </c>
      <c r="D724">
        <v>51</v>
      </c>
      <c r="E724">
        <v>2</v>
      </c>
      <c r="F724" s="3">
        <v>25676</v>
      </c>
      <c r="G724">
        <v>50</v>
      </c>
      <c r="H724">
        <v>3</v>
      </c>
      <c r="I724">
        <v>10</v>
      </c>
      <c r="J724">
        <v>25</v>
      </c>
      <c r="K724">
        <v>4.0999999999999996</v>
      </c>
      <c r="L724" s="3">
        <v>8</v>
      </c>
      <c r="M724" t="s">
        <v>1034</v>
      </c>
      <c r="N724">
        <v>65.3</v>
      </c>
    </row>
    <row r="725" spans="1:14" x14ac:dyDescent="0.3">
      <c r="A725" t="s">
        <v>827</v>
      </c>
      <c r="B725" t="s">
        <v>1014</v>
      </c>
      <c r="C725" t="s">
        <v>1031</v>
      </c>
      <c r="D725">
        <v>37</v>
      </c>
      <c r="E725">
        <v>15</v>
      </c>
      <c r="F725" s="3">
        <v>47368</v>
      </c>
      <c r="G725">
        <v>44</v>
      </c>
      <c r="H725">
        <v>9</v>
      </c>
      <c r="I725">
        <v>5</v>
      </c>
      <c r="J725">
        <v>5</v>
      </c>
      <c r="K725">
        <v>2.8</v>
      </c>
      <c r="L725" s="3">
        <v>8</v>
      </c>
      <c r="M725" t="s">
        <v>1034</v>
      </c>
      <c r="N725">
        <v>71.400000000000006</v>
      </c>
    </row>
    <row r="726" spans="1:14" x14ac:dyDescent="0.3">
      <c r="A726" t="s">
        <v>838</v>
      </c>
      <c r="B726" t="s">
        <v>1015</v>
      </c>
      <c r="C726" t="s">
        <v>1020</v>
      </c>
      <c r="D726">
        <v>36</v>
      </c>
      <c r="E726">
        <v>11</v>
      </c>
      <c r="F726" s="3">
        <v>44608</v>
      </c>
      <c r="G726">
        <v>44</v>
      </c>
      <c r="H726">
        <v>11</v>
      </c>
      <c r="I726">
        <v>25</v>
      </c>
      <c r="J726">
        <v>36</v>
      </c>
      <c r="K726">
        <v>4</v>
      </c>
      <c r="L726" s="3">
        <v>8</v>
      </c>
      <c r="M726" t="s">
        <v>1034</v>
      </c>
      <c r="N726">
        <v>78.33</v>
      </c>
    </row>
    <row r="727" spans="1:14" x14ac:dyDescent="0.3">
      <c r="A727" t="s">
        <v>893</v>
      </c>
      <c r="B727" t="s">
        <v>1016</v>
      </c>
      <c r="C727" t="s">
        <v>1033</v>
      </c>
      <c r="D727">
        <v>24</v>
      </c>
      <c r="E727">
        <v>0</v>
      </c>
      <c r="F727" s="3">
        <v>38049</v>
      </c>
      <c r="G727">
        <v>41</v>
      </c>
      <c r="H727">
        <v>5</v>
      </c>
      <c r="I727">
        <v>5</v>
      </c>
      <c r="J727">
        <v>14</v>
      </c>
      <c r="K727">
        <v>4.7</v>
      </c>
      <c r="L727" s="3">
        <v>8</v>
      </c>
      <c r="M727" t="s">
        <v>1034</v>
      </c>
      <c r="N727">
        <v>70.430000000000007</v>
      </c>
    </row>
    <row r="728" spans="1:14" x14ac:dyDescent="0.3">
      <c r="A728" t="s">
        <v>917</v>
      </c>
      <c r="B728" t="s">
        <v>1017</v>
      </c>
      <c r="C728" t="s">
        <v>1026</v>
      </c>
      <c r="D728">
        <v>52</v>
      </c>
      <c r="E728">
        <v>2</v>
      </c>
      <c r="F728" s="3">
        <v>50493</v>
      </c>
      <c r="G728">
        <v>41</v>
      </c>
      <c r="H728">
        <v>3</v>
      </c>
      <c r="I728">
        <v>6</v>
      </c>
      <c r="J728">
        <v>19</v>
      </c>
      <c r="K728">
        <v>3.3</v>
      </c>
      <c r="L728" s="3">
        <v>8</v>
      </c>
      <c r="M728" t="s">
        <v>1034</v>
      </c>
      <c r="N728">
        <v>62.9</v>
      </c>
    </row>
    <row r="729" spans="1:14" x14ac:dyDescent="0.3">
      <c r="A729" t="s">
        <v>80</v>
      </c>
      <c r="B729" t="s">
        <v>1017</v>
      </c>
      <c r="C729" t="s">
        <v>1024</v>
      </c>
      <c r="D729">
        <v>28</v>
      </c>
      <c r="E729">
        <v>6</v>
      </c>
      <c r="F729" s="3">
        <v>87966</v>
      </c>
      <c r="G729">
        <v>46</v>
      </c>
      <c r="H729">
        <v>11</v>
      </c>
      <c r="I729">
        <v>14</v>
      </c>
      <c r="J729">
        <v>9</v>
      </c>
      <c r="K729">
        <v>3.3</v>
      </c>
      <c r="L729" s="3">
        <v>8.1</v>
      </c>
      <c r="M729" t="s">
        <v>1034</v>
      </c>
      <c r="N729">
        <v>76.83</v>
      </c>
    </row>
    <row r="730" spans="1:14" x14ac:dyDescent="0.3">
      <c r="A730" t="s">
        <v>139</v>
      </c>
      <c r="B730" t="s">
        <v>1015</v>
      </c>
      <c r="C730" t="s">
        <v>1021</v>
      </c>
      <c r="D730">
        <v>35</v>
      </c>
      <c r="E730">
        <v>6</v>
      </c>
      <c r="F730" s="3">
        <v>54593</v>
      </c>
      <c r="G730">
        <v>42</v>
      </c>
      <c r="H730">
        <v>7</v>
      </c>
      <c r="I730">
        <v>10</v>
      </c>
      <c r="J730">
        <v>29</v>
      </c>
      <c r="K730">
        <v>3.2</v>
      </c>
      <c r="L730" s="3">
        <v>8.1</v>
      </c>
      <c r="M730" t="s">
        <v>1034</v>
      </c>
      <c r="N730">
        <v>69.87</v>
      </c>
    </row>
    <row r="731" spans="1:14" x14ac:dyDescent="0.3">
      <c r="A731" t="s">
        <v>146</v>
      </c>
      <c r="B731" t="s">
        <v>1014</v>
      </c>
      <c r="C731" t="s">
        <v>1025</v>
      </c>
      <c r="D731">
        <v>55</v>
      </c>
      <c r="E731">
        <v>6</v>
      </c>
      <c r="F731" s="3">
        <v>49654</v>
      </c>
      <c r="G731">
        <v>48</v>
      </c>
      <c r="H731">
        <v>8</v>
      </c>
      <c r="I731">
        <v>10</v>
      </c>
      <c r="J731">
        <v>10</v>
      </c>
      <c r="K731">
        <v>3.1</v>
      </c>
      <c r="L731" s="3">
        <v>8.1</v>
      </c>
      <c r="M731" t="s">
        <v>1034</v>
      </c>
      <c r="N731">
        <v>71.23</v>
      </c>
    </row>
    <row r="732" spans="1:14" x14ac:dyDescent="0.3">
      <c r="A732" t="s">
        <v>315</v>
      </c>
      <c r="B732" t="s">
        <v>1016</v>
      </c>
      <c r="C732" t="s">
        <v>1023</v>
      </c>
      <c r="D732">
        <v>29</v>
      </c>
      <c r="E732">
        <v>6</v>
      </c>
      <c r="F732" s="3">
        <v>70484</v>
      </c>
      <c r="G732">
        <v>39</v>
      </c>
      <c r="H732">
        <v>8</v>
      </c>
      <c r="I732">
        <v>2</v>
      </c>
      <c r="J732">
        <v>14</v>
      </c>
      <c r="K732">
        <v>3.1</v>
      </c>
      <c r="L732" s="3">
        <v>8.1</v>
      </c>
      <c r="M732" t="s">
        <v>1034</v>
      </c>
      <c r="N732">
        <v>71.23</v>
      </c>
    </row>
    <row r="733" spans="1:14" x14ac:dyDescent="0.3">
      <c r="A733" t="s">
        <v>340</v>
      </c>
      <c r="B733" t="s">
        <v>1018</v>
      </c>
      <c r="C733" t="s">
        <v>1032</v>
      </c>
      <c r="D733">
        <v>40</v>
      </c>
      <c r="E733">
        <v>8</v>
      </c>
      <c r="F733" s="3">
        <v>80765</v>
      </c>
      <c r="G733">
        <v>45</v>
      </c>
      <c r="H733">
        <v>15</v>
      </c>
      <c r="I733">
        <v>25</v>
      </c>
      <c r="J733">
        <v>25</v>
      </c>
      <c r="K733">
        <v>4.0999999999999996</v>
      </c>
      <c r="L733" s="3">
        <v>8.1</v>
      </c>
      <c r="M733" t="s">
        <v>1034</v>
      </c>
      <c r="N733">
        <v>85.9</v>
      </c>
    </row>
    <row r="734" spans="1:14" x14ac:dyDescent="0.3">
      <c r="A734" t="s">
        <v>377</v>
      </c>
      <c r="B734" t="s">
        <v>1014</v>
      </c>
      <c r="C734" t="s">
        <v>1019</v>
      </c>
      <c r="D734">
        <v>49</v>
      </c>
      <c r="E734">
        <v>6</v>
      </c>
      <c r="F734" s="3">
        <v>78907</v>
      </c>
      <c r="G734">
        <v>55</v>
      </c>
      <c r="H734">
        <v>3</v>
      </c>
      <c r="I734">
        <v>19</v>
      </c>
      <c r="J734">
        <v>16</v>
      </c>
      <c r="K734">
        <v>3</v>
      </c>
      <c r="L734" s="3">
        <v>8.1</v>
      </c>
      <c r="M734" t="s">
        <v>1034</v>
      </c>
      <c r="N734">
        <v>62.6</v>
      </c>
    </row>
    <row r="735" spans="1:14" x14ac:dyDescent="0.3">
      <c r="A735" t="s">
        <v>640</v>
      </c>
      <c r="B735" t="s">
        <v>1015</v>
      </c>
      <c r="C735" t="s">
        <v>1021</v>
      </c>
      <c r="D735">
        <v>52</v>
      </c>
      <c r="E735">
        <v>11</v>
      </c>
      <c r="F735" s="3">
        <v>32416</v>
      </c>
      <c r="G735">
        <v>53</v>
      </c>
      <c r="H735">
        <v>8</v>
      </c>
      <c r="I735">
        <v>22</v>
      </c>
      <c r="J735">
        <v>5</v>
      </c>
      <c r="K735">
        <v>2.4</v>
      </c>
      <c r="L735" s="3">
        <v>8.1</v>
      </c>
      <c r="M735" t="s">
        <v>1034</v>
      </c>
      <c r="N735">
        <v>69.13</v>
      </c>
    </row>
    <row r="736" spans="1:14" x14ac:dyDescent="0.3">
      <c r="A736" t="s">
        <v>775</v>
      </c>
      <c r="B736" t="s">
        <v>1017</v>
      </c>
      <c r="C736" t="s">
        <v>1024</v>
      </c>
      <c r="D736">
        <v>28</v>
      </c>
      <c r="E736">
        <v>2</v>
      </c>
      <c r="F736" s="3">
        <v>70775</v>
      </c>
      <c r="G736">
        <v>43</v>
      </c>
      <c r="H736">
        <v>9</v>
      </c>
      <c r="I736">
        <v>2</v>
      </c>
      <c r="J736">
        <v>22</v>
      </c>
      <c r="K736">
        <v>3.3</v>
      </c>
      <c r="L736" s="3">
        <v>8.1</v>
      </c>
      <c r="M736" t="s">
        <v>1034</v>
      </c>
      <c r="N736">
        <v>73.5</v>
      </c>
    </row>
    <row r="737" spans="1:14" x14ac:dyDescent="0.3">
      <c r="A737" t="s">
        <v>831</v>
      </c>
      <c r="B737" t="s">
        <v>1018</v>
      </c>
      <c r="C737" t="s">
        <v>1032</v>
      </c>
      <c r="D737">
        <v>25</v>
      </c>
      <c r="E737">
        <v>4</v>
      </c>
      <c r="F737" s="3">
        <v>88744</v>
      </c>
      <c r="G737">
        <v>44</v>
      </c>
      <c r="H737">
        <v>7</v>
      </c>
      <c r="I737">
        <v>12</v>
      </c>
      <c r="J737">
        <v>35</v>
      </c>
      <c r="K737">
        <v>4.5999999999999996</v>
      </c>
      <c r="L737" s="3">
        <v>8.1</v>
      </c>
      <c r="M737" t="s">
        <v>1034</v>
      </c>
      <c r="N737">
        <v>74.069999999999993</v>
      </c>
    </row>
    <row r="738" spans="1:14" x14ac:dyDescent="0.3">
      <c r="A738" t="s">
        <v>873</v>
      </c>
      <c r="B738" t="s">
        <v>1014</v>
      </c>
      <c r="C738" t="s">
        <v>1031</v>
      </c>
      <c r="D738">
        <v>30</v>
      </c>
      <c r="E738">
        <v>1</v>
      </c>
      <c r="F738" s="3">
        <v>33351</v>
      </c>
      <c r="G738">
        <v>43</v>
      </c>
      <c r="H738">
        <v>15</v>
      </c>
      <c r="I738">
        <v>18</v>
      </c>
      <c r="J738">
        <v>14</v>
      </c>
      <c r="K738">
        <v>4.5999999999999996</v>
      </c>
      <c r="L738" s="3">
        <v>8.1</v>
      </c>
      <c r="M738" t="s">
        <v>1034</v>
      </c>
      <c r="N738">
        <v>87.4</v>
      </c>
    </row>
    <row r="739" spans="1:14" x14ac:dyDescent="0.3">
      <c r="A739" t="s">
        <v>1002</v>
      </c>
      <c r="B739" t="s">
        <v>1014</v>
      </c>
      <c r="C739" t="s">
        <v>1031</v>
      </c>
      <c r="D739">
        <v>28</v>
      </c>
      <c r="E739">
        <v>6</v>
      </c>
      <c r="F739" s="3">
        <v>89191</v>
      </c>
      <c r="G739">
        <v>42</v>
      </c>
      <c r="H739">
        <v>7</v>
      </c>
      <c r="I739">
        <v>3</v>
      </c>
      <c r="J739">
        <v>7</v>
      </c>
      <c r="K739">
        <v>2.5</v>
      </c>
      <c r="L739" s="3">
        <v>8.1</v>
      </c>
      <c r="M739" t="s">
        <v>1034</v>
      </c>
      <c r="N739">
        <v>67.77</v>
      </c>
    </row>
    <row r="740" spans="1:14" x14ac:dyDescent="0.3">
      <c r="A740" t="s">
        <v>66</v>
      </c>
      <c r="B740" t="s">
        <v>1015</v>
      </c>
      <c r="C740" t="s">
        <v>1021</v>
      </c>
      <c r="D740">
        <v>42</v>
      </c>
      <c r="E740">
        <v>14</v>
      </c>
      <c r="F740" s="3">
        <v>65150</v>
      </c>
      <c r="G740">
        <v>51</v>
      </c>
      <c r="H740">
        <v>7</v>
      </c>
      <c r="I740">
        <v>17</v>
      </c>
      <c r="J740">
        <v>28</v>
      </c>
      <c r="K740">
        <v>4.7</v>
      </c>
      <c r="L740" s="3">
        <v>8.1999999999999993</v>
      </c>
      <c r="M740" t="s">
        <v>1034</v>
      </c>
      <c r="N740">
        <v>74.97</v>
      </c>
    </row>
    <row r="741" spans="1:14" x14ac:dyDescent="0.3">
      <c r="A741" t="s">
        <v>109</v>
      </c>
      <c r="B741" t="s">
        <v>1016</v>
      </c>
      <c r="C741" t="s">
        <v>1022</v>
      </c>
      <c r="D741">
        <v>34</v>
      </c>
      <c r="E741">
        <v>11</v>
      </c>
      <c r="F741" s="3">
        <v>40650</v>
      </c>
      <c r="G741">
        <v>53</v>
      </c>
      <c r="H741">
        <v>7</v>
      </c>
      <c r="I741">
        <v>7</v>
      </c>
      <c r="J741">
        <v>26</v>
      </c>
      <c r="K741">
        <v>2.1</v>
      </c>
      <c r="L741" s="3">
        <v>8.1999999999999993</v>
      </c>
      <c r="M741" t="s">
        <v>1034</v>
      </c>
      <c r="N741">
        <v>67.17</v>
      </c>
    </row>
    <row r="742" spans="1:14" x14ac:dyDescent="0.3">
      <c r="A742" t="s">
        <v>134</v>
      </c>
      <c r="B742" t="s">
        <v>1015</v>
      </c>
      <c r="C742" t="s">
        <v>1021</v>
      </c>
      <c r="D742">
        <v>42</v>
      </c>
      <c r="E742">
        <v>0</v>
      </c>
      <c r="F742" s="3">
        <v>36419</v>
      </c>
      <c r="G742">
        <v>43</v>
      </c>
      <c r="H742">
        <v>1</v>
      </c>
      <c r="I742">
        <v>4</v>
      </c>
      <c r="J742">
        <v>26</v>
      </c>
      <c r="K742">
        <v>3.6</v>
      </c>
      <c r="L742" s="3">
        <v>8.1999999999999993</v>
      </c>
      <c r="M742" t="s">
        <v>1034</v>
      </c>
      <c r="N742">
        <v>61.67</v>
      </c>
    </row>
    <row r="743" spans="1:14" x14ac:dyDescent="0.3">
      <c r="A743" t="s">
        <v>145</v>
      </c>
      <c r="B743" t="s">
        <v>1016</v>
      </c>
      <c r="C743" t="s">
        <v>1023</v>
      </c>
      <c r="D743">
        <v>22</v>
      </c>
      <c r="E743">
        <v>0</v>
      </c>
      <c r="F743" s="3">
        <v>82007</v>
      </c>
      <c r="G743">
        <v>39</v>
      </c>
      <c r="H743">
        <v>10</v>
      </c>
      <c r="I743">
        <v>21</v>
      </c>
      <c r="J743">
        <v>25</v>
      </c>
      <c r="K743">
        <v>2.2000000000000002</v>
      </c>
      <c r="L743" s="3">
        <v>8.1999999999999993</v>
      </c>
      <c r="M743" t="s">
        <v>1034</v>
      </c>
      <c r="N743">
        <v>72.47</v>
      </c>
    </row>
    <row r="744" spans="1:14" x14ac:dyDescent="0.3">
      <c r="A744" t="s">
        <v>290</v>
      </c>
      <c r="B744" t="s">
        <v>1014</v>
      </c>
      <c r="C744" t="s">
        <v>1025</v>
      </c>
      <c r="D744">
        <v>23</v>
      </c>
      <c r="E744">
        <v>1</v>
      </c>
      <c r="F744" s="3">
        <v>67465</v>
      </c>
      <c r="G744">
        <v>38</v>
      </c>
      <c r="H744">
        <v>11</v>
      </c>
      <c r="I744">
        <v>25</v>
      </c>
      <c r="J744">
        <v>10</v>
      </c>
      <c r="K744">
        <v>4.8</v>
      </c>
      <c r="L744" s="3">
        <v>8.1999999999999993</v>
      </c>
      <c r="M744" t="s">
        <v>1034</v>
      </c>
      <c r="N744">
        <v>81.93</v>
      </c>
    </row>
    <row r="745" spans="1:14" x14ac:dyDescent="0.3">
      <c r="A745" t="s">
        <v>303</v>
      </c>
      <c r="B745" t="s">
        <v>1016</v>
      </c>
      <c r="C745" t="s">
        <v>1022</v>
      </c>
      <c r="D745">
        <v>27</v>
      </c>
      <c r="E745">
        <v>3</v>
      </c>
      <c r="F745" s="3">
        <v>81707</v>
      </c>
      <c r="G745">
        <v>38</v>
      </c>
      <c r="H745">
        <v>13</v>
      </c>
      <c r="I745">
        <v>25</v>
      </c>
      <c r="J745">
        <v>15</v>
      </c>
      <c r="K745">
        <v>2.6</v>
      </c>
      <c r="L745" s="3">
        <v>8.1999999999999993</v>
      </c>
      <c r="M745" t="s">
        <v>1034</v>
      </c>
      <c r="N745">
        <v>78.67</v>
      </c>
    </row>
    <row r="746" spans="1:14" x14ac:dyDescent="0.3">
      <c r="A746" t="s">
        <v>383</v>
      </c>
      <c r="B746" t="s">
        <v>1016</v>
      </c>
      <c r="C746" t="s">
        <v>1033</v>
      </c>
      <c r="D746">
        <v>39</v>
      </c>
      <c r="E746">
        <v>15</v>
      </c>
      <c r="F746" s="3">
        <v>81245</v>
      </c>
      <c r="G746">
        <v>38</v>
      </c>
      <c r="H746">
        <v>14</v>
      </c>
      <c r="I746">
        <v>7</v>
      </c>
      <c r="J746">
        <v>8</v>
      </c>
      <c r="K746">
        <v>2.9</v>
      </c>
      <c r="L746" s="3">
        <v>8.1999999999999993</v>
      </c>
      <c r="M746" t="s">
        <v>1034</v>
      </c>
      <c r="N746">
        <v>81.23</v>
      </c>
    </row>
    <row r="747" spans="1:14" x14ac:dyDescent="0.3">
      <c r="A747" t="s">
        <v>441</v>
      </c>
      <c r="B747" t="s">
        <v>1018</v>
      </c>
      <c r="C747" t="s">
        <v>1027</v>
      </c>
      <c r="D747">
        <v>24</v>
      </c>
      <c r="E747">
        <v>2</v>
      </c>
      <c r="F747" s="3">
        <v>78348</v>
      </c>
      <c r="G747">
        <v>49</v>
      </c>
      <c r="H747">
        <v>2</v>
      </c>
      <c r="I747">
        <v>19</v>
      </c>
      <c r="J747">
        <v>35</v>
      </c>
      <c r="K747">
        <v>4.5999999999999996</v>
      </c>
      <c r="L747" s="3">
        <v>8.1999999999999993</v>
      </c>
      <c r="M747" t="s">
        <v>1034</v>
      </c>
      <c r="N747">
        <v>66.33</v>
      </c>
    </row>
    <row r="748" spans="1:14" x14ac:dyDescent="0.3">
      <c r="A748" t="s">
        <v>456</v>
      </c>
      <c r="B748" t="s">
        <v>1016</v>
      </c>
      <c r="C748" t="s">
        <v>1023</v>
      </c>
      <c r="D748">
        <v>23</v>
      </c>
      <c r="E748">
        <v>1</v>
      </c>
      <c r="F748" s="3">
        <v>69125</v>
      </c>
      <c r="G748">
        <v>38</v>
      </c>
      <c r="H748">
        <v>9</v>
      </c>
      <c r="I748">
        <v>0</v>
      </c>
      <c r="J748">
        <v>39</v>
      </c>
      <c r="K748">
        <v>2.2000000000000002</v>
      </c>
      <c r="L748" s="3">
        <v>8.1999999999999993</v>
      </c>
      <c r="M748" t="s">
        <v>1034</v>
      </c>
      <c r="N748">
        <v>70.8</v>
      </c>
    </row>
    <row r="749" spans="1:14" x14ac:dyDescent="0.3">
      <c r="A749" t="s">
        <v>696</v>
      </c>
      <c r="B749" t="s">
        <v>1014</v>
      </c>
      <c r="C749" t="s">
        <v>1025</v>
      </c>
      <c r="D749">
        <v>35</v>
      </c>
      <c r="E749">
        <v>2</v>
      </c>
      <c r="F749" s="3">
        <v>89307</v>
      </c>
      <c r="G749">
        <v>45</v>
      </c>
      <c r="H749">
        <v>4</v>
      </c>
      <c r="I749">
        <v>17</v>
      </c>
      <c r="J749">
        <v>7</v>
      </c>
      <c r="K749">
        <v>3.9</v>
      </c>
      <c r="L749" s="3">
        <v>8.1999999999999993</v>
      </c>
      <c r="M749" t="s">
        <v>1034</v>
      </c>
      <c r="N749">
        <v>67.569999999999993</v>
      </c>
    </row>
    <row r="750" spans="1:14" x14ac:dyDescent="0.3">
      <c r="A750" t="s">
        <v>717</v>
      </c>
      <c r="B750" t="s">
        <v>1015</v>
      </c>
      <c r="C750" t="s">
        <v>1029</v>
      </c>
      <c r="D750">
        <v>53</v>
      </c>
      <c r="E750">
        <v>1</v>
      </c>
      <c r="F750" s="3">
        <v>78922</v>
      </c>
      <c r="G750">
        <v>44</v>
      </c>
      <c r="H750">
        <v>14</v>
      </c>
      <c r="I750">
        <v>18</v>
      </c>
      <c r="J750">
        <v>19</v>
      </c>
      <c r="K750">
        <v>3.5</v>
      </c>
      <c r="L750" s="3">
        <v>8.1999999999999993</v>
      </c>
      <c r="M750" t="s">
        <v>1034</v>
      </c>
      <c r="N750">
        <v>83.03</v>
      </c>
    </row>
    <row r="751" spans="1:14" x14ac:dyDescent="0.3">
      <c r="A751" t="s">
        <v>924</v>
      </c>
      <c r="B751" t="s">
        <v>1015</v>
      </c>
      <c r="C751" t="s">
        <v>1029</v>
      </c>
      <c r="D751">
        <v>24</v>
      </c>
      <c r="E751">
        <v>3</v>
      </c>
      <c r="F751" s="3">
        <v>26750</v>
      </c>
      <c r="G751">
        <v>37</v>
      </c>
      <c r="H751">
        <v>11</v>
      </c>
      <c r="I751">
        <v>22</v>
      </c>
      <c r="J751">
        <v>29</v>
      </c>
      <c r="K751">
        <v>3.1</v>
      </c>
      <c r="L751" s="3">
        <v>8.1999999999999993</v>
      </c>
      <c r="M751" t="s">
        <v>1034</v>
      </c>
      <c r="N751">
        <v>76.83</v>
      </c>
    </row>
    <row r="752" spans="1:14" x14ac:dyDescent="0.3">
      <c r="A752" t="s">
        <v>27</v>
      </c>
      <c r="B752" t="s">
        <v>1016</v>
      </c>
      <c r="C752" t="s">
        <v>1022</v>
      </c>
      <c r="D752">
        <v>29</v>
      </c>
      <c r="E752">
        <v>4</v>
      </c>
      <c r="F752" s="3">
        <v>53492</v>
      </c>
      <c r="G752">
        <v>40</v>
      </c>
      <c r="H752">
        <v>8</v>
      </c>
      <c r="I752">
        <v>0</v>
      </c>
      <c r="J752">
        <v>16</v>
      </c>
      <c r="K752">
        <v>4.9000000000000004</v>
      </c>
      <c r="L752" s="3">
        <v>8.3000000000000007</v>
      </c>
      <c r="M752" t="s">
        <v>1034</v>
      </c>
      <c r="N752">
        <v>77.83</v>
      </c>
    </row>
    <row r="753" spans="1:14" x14ac:dyDescent="0.3">
      <c r="A753" t="s">
        <v>172</v>
      </c>
      <c r="B753" t="s">
        <v>1014</v>
      </c>
      <c r="C753" t="s">
        <v>1031</v>
      </c>
      <c r="D753">
        <v>52</v>
      </c>
      <c r="E753">
        <v>11</v>
      </c>
      <c r="F753" s="3">
        <v>61342</v>
      </c>
      <c r="G753">
        <v>38</v>
      </c>
      <c r="H753">
        <v>12</v>
      </c>
      <c r="I753">
        <v>16</v>
      </c>
      <c r="J753">
        <v>7</v>
      </c>
      <c r="K753">
        <v>2.9</v>
      </c>
      <c r="L753" s="3">
        <v>8.3000000000000007</v>
      </c>
      <c r="M753" t="s">
        <v>1034</v>
      </c>
      <c r="N753">
        <v>78.5</v>
      </c>
    </row>
    <row r="754" spans="1:14" x14ac:dyDescent="0.3">
      <c r="A754" t="s">
        <v>235</v>
      </c>
      <c r="B754" t="s">
        <v>1017</v>
      </c>
      <c r="C754" t="s">
        <v>1024</v>
      </c>
      <c r="D754">
        <v>31</v>
      </c>
      <c r="E754">
        <v>7</v>
      </c>
      <c r="F754" s="3">
        <v>74003</v>
      </c>
      <c r="G754">
        <v>54</v>
      </c>
      <c r="H754">
        <v>6</v>
      </c>
      <c r="I754">
        <v>13</v>
      </c>
      <c r="J754">
        <v>35</v>
      </c>
      <c r="K754">
        <v>4.7</v>
      </c>
      <c r="L754" s="3">
        <v>8.3000000000000007</v>
      </c>
      <c r="M754" t="s">
        <v>1034</v>
      </c>
      <c r="N754">
        <v>73.900000000000006</v>
      </c>
    </row>
    <row r="755" spans="1:14" x14ac:dyDescent="0.3">
      <c r="A755" t="s">
        <v>269</v>
      </c>
      <c r="B755" t="s">
        <v>1014</v>
      </c>
      <c r="C755" t="s">
        <v>1019</v>
      </c>
      <c r="D755">
        <v>41</v>
      </c>
      <c r="E755">
        <v>5</v>
      </c>
      <c r="F755" s="3">
        <v>61959</v>
      </c>
      <c r="G755">
        <v>42</v>
      </c>
      <c r="H755">
        <v>10</v>
      </c>
      <c r="I755">
        <v>12</v>
      </c>
      <c r="J755">
        <v>34</v>
      </c>
      <c r="K755">
        <v>3</v>
      </c>
      <c r="L755" s="3">
        <v>8.3000000000000007</v>
      </c>
      <c r="M755" t="s">
        <v>1034</v>
      </c>
      <c r="N755">
        <v>75.47</v>
      </c>
    </row>
    <row r="756" spans="1:14" x14ac:dyDescent="0.3">
      <c r="A756" t="s">
        <v>322</v>
      </c>
      <c r="B756" t="s">
        <v>1016</v>
      </c>
      <c r="C756" t="s">
        <v>1023</v>
      </c>
      <c r="D756">
        <v>30</v>
      </c>
      <c r="E756">
        <v>6</v>
      </c>
      <c r="F756" s="3">
        <v>81414</v>
      </c>
      <c r="G756">
        <v>53</v>
      </c>
      <c r="H756">
        <v>7</v>
      </c>
      <c r="I756">
        <v>11</v>
      </c>
      <c r="J756">
        <v>34</v>
      </c>
      <c r="K756">
        <v>4</v>
      </c>
      <c r="L756" s="3">
        <v>8.3000000000000007</v>
      </c>
      <c r="M756" t="s">
        <v>1034</v>
      </c>
      <c r="N756">
        <v>73.47</v>
      </c>
    </row>
    <row r="757" spans="1:14" x14ac:dyDescent="0.3">
      <c r="A757" t="s">
        <v>379</v>
      </c>
      <c r="B757" t="s">
        <v>1015</v>
      </c>
      <c r="C757" t="s">
        <v>1029</v>
      </c>
      <c r="D757">
        <v>55</v>
      </c>
      <c r="E757">
        <v>13</v>
      </c>
      <c r="F757" s="3">
        <v>32374</v>
      </c>
      <c r="G757">
        <v>48</v>
      </c>
      <c r="H757">
        <v>3</v>
      </c>
      <c r="I757">
        <v>4</v>
      </c>
      <c r="J757">
        <v>36</v>
      </c>
      <c r="K757">
        <v>3.8</v>
      </c>
      <c r="L757" s="3">
        <v>8.3000000000000007</v>
      </c>
      <c r="M757" t="s">
        <v>1034</v>
      </c>
      <c r="N757">
        <v>66.2</v>
      </c>
    </row>
    <row r="758" spans="1:14" x14ac:dyDescent="0.3">
      <c r="A758" t="s">
        <v>402</v>
      </c>
      <c r="B758" t="s">
        <v>1017</v>
      </c>
      <c r="C758" t="s">
        <v>1030</v>
      </c>
      <c r="D758">
        <v>43</v>
      </c>
      <c r="E758">
        <v>5</v>
      </c>
      <c r="F758" s="3">
        <v>45539</v>
      </c>
      <c r="G758">
        <v>55</v>
      </c>
      <c r="H758">
        <v>1</v>
      </c>
      <c r="I758">
        <v>0</v>
      </c>
      <c r="J758">
        <v>28</v>
      </c>
      <c r="K758">
        <v>2.8</v>
      </c>
      <c r="L758" s="3">
        <v>8.3000000000000007</v>
      </c>
      <c r="M758" t="s">
        <v>1034</v>
      </c>
      <c r="N758">
        <v>59.87</v>
      </c>
    </row>
    <row r="759" spans="1:14" x14ac:dyDescent="0.3">
      <c r="A759" t="s">
        <v>404</v>
      </c>
      <c r="B759" t="s">
        <v>1017</v>
      </c>
      <c r="C759" t="s">
        <v>1024</v>
      </c>
      <c r="D759">
        <v>22</v>
      </c>
      <c r="E759">
        <v>0</v>
      </c>
      <c r="F759" s="3">
        <v>59981</v>
      </c>
      <c r="G759">
        <v>41</v>
      </c>
      <c r="H759">
        <v>12</v>
      </c>
      <c r="I759">
        <v>11</v>
      </c>
      <c r="J759">
        <v>0</v>
      </c>
      <c r="K759">
        <v>4.7</v>
      </c>
      <c r="L759" s="3">
        <v>8.3000000000000007</v>
      </c>
      <c r="M759" t="s">
        <v>1034</v>
      </c>
      <c r="N759">
        <v>83.9</v>
      </c>
    </row>
    <row r="760" spans="1:14" x14ac:dyDescent="0.3">
      <c r="A760" t="s">
        <v>615</v>
      </c>
      <c r="B760" t="s">
        <v>1015</v>
      </c>
      <c r="C760" t="s">
        <v>1020</v>
      </c>
      <c r="D760">
        <v>27</v>
      </c>
      <c r="E760">
        <v>2</v>
      </c>
      <c r="F760" s="3">
        <v>55597</v>
      </c>
      <c r="G760">
        <v>36</v>
      </c>
      <c r="H760">
        <v>2</v>
      </c>
      <c r="I760">
        <v>16</v>
      </c>
      <c r="J760">
        <v>19</v>
      </c>
      <c r="K760">
        <v>2.1</v>
      </c>
      <c r="L760" s="3">
        <v>8.3000000000000007</v>
      </c>
      <c r="M760" t="s">
        <v>1034</v>
      </c>
      <c r="N760">
        <v>59.43</v>
      </c>
    </row>
    <row r="761" spans="1:14" x14ac:dyDescent="0.3">
      <c r="A761" t="s">
        <v>680</v>
      </c>
      <c r="B761" t="s">
        <v>1014</v>
      </c>
      <c r="C761" t="s">
        <v>1019</v>
      </c>
      <c r="D761">
        <v>45</v>
      </c>
      <c r="E761">
        <v>9</v>
      </c>
      <c r="F761" s="3">
        <v>38735</v>
      </c>
      <c r="G761">
        <v>48</v>
      </c>
      <c r="H761">
        <v>5</v>
      </c>
      <c r="I761">
        <v>10</v>
      </c>
      <c r="J761">
        <v>39</v>
      </c>
      <c r="K761">
        <v>4.4000000000000004</v>
      </c>
      <c r="L761" s="3">
        <v>8.3000000000000007</v>
      </c>
      <c r="M761" t="s">
        <v>1034</v>
      </c>
      <c r="N761">
        <v>71.33</v>
      </c>
    </row>
    <row r="762" spans="1:14" x14ac:dyDescent="0.3">
      <c r="A762" t="s">
        <v>851</v>
      </c>
      <c r="B762" t="s">
        <v>1014</v>
      </c>
      <c r="C762" t="s">
        <v>1025</v>
      </c>
      <c r="D762">
        <v>34</v>
      </c>
      <c r="E762">
        <v>9</v>
      </c>
      <c r="F762" s="3">
        <v>60509</v>
      </c>
      <c r="G762">
        <v>53</v>
      </c>
      <c r="H762">
        <v>13</v>
      </c>
      <c r="I762">
        <v>1</v>
      </c>
      <c r="J762">
        <v>36</v>
      </c>
      <c r="K762">
        <v>3.6</v>
      </c>
      <c r="L762" s="3">
        <v>8.3000000000000007</v>
      </c>
      <c r="M762" t="s">
        <v>1034</v>
      </c>
      <c r="N762">
        <v>82.27</v>
      </c>
    </row>
    <row r="763" spans="1:14" x14ac:dyDescent="0.3">
      <c r="A763" t="s">
        <v>869</v>
      </c>
      <c r="B763" t="s">
        <v>1014</v>
      </c>
      <c r="C763" t="s">
        <v>1025</v>
      </c>
      <c r="D763">
        <v>29</v>
      </c>
      <c r="E763">
        <v>7</v>
      </c>
      <c r="F763" s="3">
        <v>49279</v>
      </c>
      <c r="G763">
        <v>41</v>
      </c>
      <c r="H763">
        <v>8</v>
      </c>
      <c r="I763">
        <v>0</v>
      </c>
      <c r="J763">
        <v>14</v>
      </c>
      <c r="K763">
        <v>4.2</v>
      </c>
      <c r="L763" s="3">
        <v>8.3000000000000007</v>
      </c>
      <c r="M763" t="s">
        <v>1034</v>
      </c>
      <c r="N763">
        <v>75.73</v>
      </c>
    </row>
    <row r="764" spans="1:14" x14ac:dyDescent="0.3">
      <c r="A764" t="s">
        <v>937</v>
      </c>
      <c r="B764" t="s">
        <v>1017</v>
      </c>
      <c r="C764" t="s">
        <v>1030</v>
      </c>
      <c r="D764">
        <v>46</v>
      </c>
      <c r="E764">
        <v>7</v>
      </c>
      <c r="F764" s="3">
        <v>57992</v>
      </c>
      <c r="G764">
        <v>53</v>
      </c>
      <c r="H764">
        <v>12</v>
      </c>
      <c r="I764">
        <v>0</v>
      </c>
      <c r="J764">
        <v>14</v>
      </c>
      <c r="K764">
        <v>2.1</v>
      </c>
      <c r="L764" s="3">
        <v>8.3000000000000007</v>
      </c>
      <c r="M764" t="s">
        <v>1034</v>
      </c>
      <c r="N764">
        <v>76.099999999999994</v>
      </c>
    </row>
    <row r="765" spans="1:14" x14ac:dyDescent="0.3">
      <c r="A765" t="s">
        <v>993</v>
      </c>
      <c r="B765" t="s">
        <v>1014</v>
      </c>
      <c r="C765" t="s">
        <v>1019</v>
      </c>
      <c r="D765">
        <v>30</v>
      </c>
      <c r="E765">
        <v>9</v>
      </c>
      <c r="F765" s="3">
        <v>38515</v>
      </c>
      <c r="G765">
        <v>55</v>
      </c>
      <c r="H765">
        <v>3</v>
      </c>
      <c r="I765">
        <v>2</v>
      </c>
      <c r="J765">
        <v>35</v>
      </c>
      <c r="K765">
        <v>2.8</v>
      </c>
      <c r="L765" s="3">
        <v>8.3000000000000007</v>
      </c>
      <c r="M765" t="s">
        <v>1034</v>
      </c>
      <c r="N765">
        <v>63.2</v>
      </c>
    </row>
    <row r="766" spans="1:14" x14ac:dyDescent="0.3">
      <c r="A766" t="s">
        <v>91</v>
      </c>
      <c r="B766" t="s">
        <v>1014</v>
      </c>
      <c r="C766" t="s">
        <v>1025</v>
      </c>
      <c r="D766">
        <v>31</v>
      </c>
      <c r="E766">
        <v>2</v>
      </c>
      <c r="F766" s="3">
        <v>78159</v>
      </c>
      <c r="G766">
        <v>53</v>
      </c>
      <c r="H766">
        <v>5</v>
      </c>
      <c r="I766">
        <v>2</v>
      </c>
      <c r="J766">
        <v>15</v>
      </c>
      <c r="K766">
        <v>2.4</v>
      </c>
      <c r="L766" s="3">
        <v>8.4</v>
      </c>
      <c r="M766" t="s">
        <v>1034</v>
      </c>
      <c r="N766">
        <v>65.930000000000007</v>
      </c>
    </row>
    <row r="767" spans="1:14" x14ac:dyDescent="0.3">
      <c r="A767" t="s">
        <v>119</v>
      </c>
      <c r="B767" t="s">
        <v>1015</v>
      </c>
      <c r="C767" t="s">
        <v>1029</v>
      </c>
      <c r="D767">
        <v>40</v>
      </c>
      <c r="E767">
        <v>9</v>
      </c>
      <c r="F767" s="3">
        <v>26437</v>
      </c>
      <c r="G767">
        <v>47</v>
      </c>
      <c r="H767">
        <v>5</v>
      </c>
      <c r="I767">
        <v>0</v>
      </c>
      <c r="J767">
        <v>36</v>
      </c>
      <c r="K767">
        <v>4.5999999999999996</v>
      </c>
      <c r="L767" s="3">
        <v>8.4</v>
      </c>
      <c r="M767" t="s">
        <v>1034</v>
      </c>
      <c r="N767">
        <v>72.53</v>
      </c>
    </row>
    <row r="768" spans="1:14" x14ac:dyDescent="0.3">
      <c r="A768" t="s">
        <v>131</v>
      </c>
      <c r="B768" t="s">
        <v>1014</v>
      </c>
      <c r="C768" t="s">
        <v>1019</v>
      </c>
      <c r="D768">
        <v>25</v>
      </c>
      <c r="E768">
        <v>2</v>
      </c>
      <c r="F768" s="3">
        <v>40962</v>
      </c>
      <c r="G768">
        <v>39</v>
      </c>
      <c r="H768">
        <v>13</v>
      </c>
      <c r="I768">
        <v>18</v>
      </c>
      <c r="J768">
        <v>13</v>
      </c>
      <c r="K768">
        <v>2.2000000000000002</v>
      </c>
      <c r="L768" s="3">
        <v>8.4</v>
      </c>
      <c r="M768" t="s">
        <v>1034</v>
      </c>
      <c r="N768">
        <v>78.67</v>
      </c>
    </row>
    <row r="769" spans="1:14" x14ac:dyDescent="0.3">
      <c r="A769" t="s">
        <v>202</v>
      </c>
      <c r="B769" t="s">
        <v>1014</v>
      </c>
      <c r="C769" t="s">
        <v>1031</v>
      </c>
      <c r="D769">
        <v>23</v>
      </c>
      <c r="E769">
        <v>0</v>
      </c>
      <c r="F769" s="3">
        <v>27979</v>
      </c>
      <c r="G769">
        <v>55</v>
      </c>
      <c r="H769">
        <v>13</v>
      </c>
      <c r="I769">
        <v>18</v>
      </c>
      <c r="J769">
        <v>16</v>
      </c>
      <c r="K769">
        <v>4</v>
      </c>
      <c r="L769" s="3">
        <v>8.4</v>
      </c>
      <c r="M769" t="s">
        <v>1034</v>
      </c>
      <c r="N769">
        <v>84.07</v>
      </c>
    </row>
    <row r="770" spans="1:14" x14ac:dyDescent="0.3">
      <c r="A770" t="s">
        <v>225</v>
      </c>
      <c r="B770" t="s">
        <v>1018</v>
      </c>
      <c r="C770" t="s">
        <v>1028</v>
      </c>
      <c r="D770">
        <v>36</v>
      </c>
      <c r="E770">
        <v>1</v>
      </c>
      <c r="F770" s="3">
        <v>31566</v>
      </c>
      <c r="G770">
        <v>48</v>
      </c>
      <c r="H770">
        <v>6</v>
      </c>
      <c r="I770">
        <v>22</v>
      </c>
      <c r="J770">
        <v>30</v>
      </c>
      <c r="K770">
        <v>2.2999999999999998</v>
      </c>
      <c r="L770" s="3">
        <v>8.4</v>
      </c>
      <c r="M770" t="s">
        <v>1034</v>
      </c>
      <c r="N770">
        <v>67.3</v>
      </c>
    </row>
    <row r="771" spans="1:14" x14ac:dyDescent="0.3">
      <c r="A771" t="s">
        <v>246</v>
      </c>
      <c r="B771" t="s">
        <v>1014</v>
      </c>
      <c r="C771" t="s">
        <v>1019</v>
      </c>
      <c r="D771">
        <v>37</v>
      </c>
      <c r="E771">
        <v>1</v>
      </c>
      <c r="F771" s="3">
        <v>51362</v>
      </c>
      <c r="G771">
        <v>49</v>
      </c>
      <c r="H771">
        <v>4</v>
      </c>
      <c r="I771">
        <v>17</v>
      </c>
      <c r="J771">
        <v>13</v>
      </c>
      <c r="K771">
        <v>4.3</v>
      </c>
      <c r="L771" s="3">
        <v>8.4</v>
      </c>
      <c r="M771" t="s">
        <v>1034</v>
      </c>
      <c r="N771">
        <v>69.97</v>
      </c>
    </row>
    <row r="772" spans="1:14" x14ac:dyDescent="0.3">
      <c r="A772" t="s">
        <v>270</v>
      </c>
      <c r="B772" t="s">
        <v>1014</v>
      </c>
      <c r="C772" t="s">
        <v>1025</v>
      </c>
      <c r="D772">
        <v>54</v>
      </c>
      <c r="E772">
        <v>11</v>
      </c>
      <c r="F772" s="3">
        <v>28519</v>
      </c>
      <c r="G772">
        <v>38</v>
      </c>
      <c r="H772">
        <v>7</v>
      </c>
      <c r="I772">
        <v>7</v>
      </c>
      <c r="J772">
        <v>4</v>
      </c>
      <c r="K772">
        <v>3</v>
      </c>
      <c r="L772" s="3">
        <v>8.4</v>
      </c>
      <c r="M772" t="s">
        <v>1034</v>
      </c>
      <c r="N772">
        <v>71.069999999999993</v>
      </c>
    </row>
    <row r="773" spans="1:14" x14ac:dyDescent="0.3">
      <c r="A773" t="s">
        <v>428</v>
      </c>
      <c r="B773" t="s">
        <v>1017</v>
      </c>
      <c r="C773" t="s">
        <v>1024</v>
      </c>
      <c r="D773">
        <v>43</v>
      </c>
      <c r="E773">
        <v>11</v>
      </c>
      <c r="F773" s="3">
        <v>79087</v>
      </c>
      <c r="G773">
        <v>36</v>
      </c>
      <c r="H773">
        <v>14</v>
      </c>
      <c r="I773">
        <v>7</v>
      </c>
      <c r="J773">
        <v>29</v>
      </c>
      <c r="K773">
        <v>3</v>
      </c>
      <c r="L773" s="3">
        <v>8.4</v>
      </c>
      <c r="M773" t="s">
        <v>1034</v>
      </c>
      <c r="N773">
        <v>82.73</v>
      </c>
    </row>
    <row r="774" spans="1:14" x14ac:dyDescent="0.3">
      <c r="A774" t="s">
        <v>446</v>
      </c>
      <c r="B774" t="s">
        <v>1014</v>
      </c>
      <c r="C774" t="s">
        <v>1025</v>
      </c>
      <c r="D774">
        <v>43</v>
      </c>
      <c r="E774">
        <v>14</v>
      </c>
      <c r="F774" s="3">
        <v>71510</v>
      </c>
      <c r="G774">
        <v>39</v>
      </c>
      <c r="H774">
        <v>1</v>
      </c>
      <c r="I774">
        <v>4</v>
      </c>
      <c r="J774">
        <v>20</v>
      </c>
      <c r="K774">
        <v>3.8</v>
      </c>
      <c r="L774" s="3">
        <v>8.4</v>
      </c>
      <c r="M774" t="s">
        <v>1034</v>
      </c>
      <c r="N774">
        <v>63.47</v>
      </c>
    </row>
    <row r="775" spans="1:14" x14ac:dyDescent="0.3">
      <c r="A775" t="s">
        <v>465</v>
      </c>
      <c r="B775" t="s">
        <v>1017</v>
      </c>
      <c r="C775" t="s">
        <v>1026</v>
      </c>
      <c r="D775">
        <v>39</v>
      </c>
      <c r="E775">
        <v>11</v>
      </c>
      <c r="F775" s="3">
        <v>33801</v>
      </c>
      <c r="G775">
        <v>45</v>
      </c>
      <c r="H775">
        <v>15</v>
      </c>
      <c r="I775">
        <v>15</v>
      </c>
      <c r="J775">
        <v>29</v>
      </c>
      <c r="K775">
        <v>3.3</v>
      </c>
      <c r="L775" s="3">
        <v>8.4</v>
      </c>
      <c r="M775" t="s">
        <v>1034</v>
      </c>
      <c r="N775">
        <v>85.3</v>
      </c>
    </row>
    <row r="776" spans="1:14" x14ac:dyDescent="0.3">
      <c r="A776" t="s">
        <v>467</v>
      </c>
      <c r="B776" t="s">
        <v>1014</v>
      </c>
      <c r="C776" t="s">
        <v>1019</v>
      </c>
      <c r="D776">
        <v>26</v>
      </c>
      <c r="E776">
        <v>0</v>
      </c>
      <c r="F776" s="3">
        <v>80678</v>
      </c>
      <c r="G776">
        <v>51</v>
      </c>
      <c r="H776">
        <v>11</v>
      </c>
      <c r="I776">
        <v>0</v>
      </c>
      <c r="J776">
        <v>37</v>
      </c>
      <c r="K776">
        <v>3.7</v>
      </c>
      <c r="L776" s="3">
        <v>8.4</v>
      </c>
      <c r="M776" t="s">
        <v>1034</v>
      </c>
      <c r="N776">
        <v>79.83</v>
      </c>
    </row>
    <row r="777" spans="1:14" x14ac:dyDescent="0.3">
      <c r="A777" t="s">
        <v>532</v>
      </c>
      <c r="B777" t="s">
        <v>1016</v>
      </c>
      <c r="C777" t="s">
        <v>1023</v>
      </c>
      <c r="D777">
        <v>51</v>
      </c>
      <c r="E777">
        <v>1</v>
      </c>
      <c r="F777" s="3">
        <v>46643</v>
      </c>
      <c r="G777">
        <v>37</v>
      </c>
      <c r="H777">
        <v>14</v>
      </c>
      <c r="I777">
        <v>24</v>
      </c>
      <c r="J777">
        <v>9</v>
      </c>
      <c r="K777">
        <v>2.2000000000000002</v>
      </c>
      <c r="L777" s="3">
        <v>8.4</v>
      </c>
      <c r="M777" t="s">
        <v>1034</v>
      </c>
      <c r="N777">
        <v>80.33</v>
      </c>
    </row>
    <row r="778" spans="1:14" x14ac:dyDescent="0.3">
      <c r="A778" t="s">
        <v>533</v>
      </c>
      <c r="B778" t="s">
        <v>1015</v>
      </c>
      <c r="C778" t="s">
        <v>1029</v>
      </c>
      <c r="D778">
        <v>52</v>
      </c>
      <c r="E778">
        <v>5</v>
      </c>
      <c r="F778" s="3">
        <v>37595</v>
      </c>
      <c r="G778">
        <v>43</v>
      </c>
      <c r="H778">
        <v>14</v>
      </c>
      <c r="I778">
        <v>12</v>
      </c>
      <c r="J778">
        <v>0</v>
      </c>
      <c r="K778">
        <v>2.4</v>
      </c>
      <c r="L778" s="3">
        <v>8.4</v>
      </c>
      <c r="M778" t="s">
        <v>1034</v>
      </c>
      <c r="N778">
        <v>80.930000000000007</v>
      </c>
    </row>
    <row r="779" spans="1:14" x14ac:dyDescent="0.3">
      <c r="A779" t="s">
        <v>662</v>
      </c>
      <c r="B779" t="s">
        <v>1016</v>
      </c>
      <c r="C779" t="s">
        <v>1033</v>
      </c>
      <c r="D779">
        <v>31</v>
      </c>
      <c r="E779">
        <v>5</v>
      </c>
      <c r="F779" s="3">
        <v>84285</v>
      </c>
      <c r="G779">
        <v>47</v>
      </c>
      <c r="H779">
        <v>10</v>
      </c>
      <c r="I779">
        <v>0</v>
      </c>
      <c r="J779">
        <v>32</v>
      </c>
      <c r="K779">
        <v>4.0999999999999996</v>
      </c>
      <c r="L779" s="3">
        <v>8.4</v>
      </c>
      <c r="M779" t="s">
        <v>1034</v>
      </c>
      <c r="N779">
        <v>79.37</v>
      </c>
    </row>
    <row r="780" spans="1:14" x14ac:dyDescent="0.3">
      <c r="A780" t="s">
        <v>707</v>
      </c>
      <c r="B780" t="s">
        <v>1016</v>
      </c>
      <c r="C780" t="s">
        <v>1033</v>
      </c>
      <c r="D780">
        <v>50</v>
      </c>
      <c r="E780">
        <v>5</v>
      </c>
      <c r="F780" s="3">
        <v>59972</v>
      </c>
      <c r="G780">
        <v>44</v>
      </c>
      <c r="H780">
        <v>2</v>
      </c>
      <c r="I780">
        <v>0</v>
      </c>
      <c r="J780">
        <v>25</v>
      </c>
      <c r="K780">
        <v>4.8</v>
      </c>
      <c r="L780" s="3">
        <v>8.4</v>
      </c>
      <c r="M780" t="s">
        <v>1034</v>
      </c>
      <c r="N780">
        <v>68.13</v>
      </c>
    </row>
    <row r="781" spans="1:14" x14ac:dyDescent="0.3">
      <c r="A781" t="s">
        <v>729</v>
      </c>
      <c r="B781" t="s">
        <v>1018</v>
      </c>
      <c r="C781" t="s">
        <v>1032</v>
      </c>
      <c r="D781">
        <v>41</v>
      </c>
      <c r="E781">
        <v>4</v>
      </c>
      <c r="F781" s="3">
        <v>38752</v>
      </c>
      <c r="G781">
        <v>39</v>
      </c>
      <c r="H781">
        <v>2</v>
      </c>
      <c r="I781">
        <v>13</v>
      </c>
      <c r="J781">
        <v>7</v>
      </c>
      <c r="K781">
        <v>2.2000000000000002</v>
      </c>
      <c r="L781" s="3">
        <v>8.4</v>
      </c>
      <c r="M781" t="s">
        <v>1034</v>
      </c>
      <c r="N781">
        <v>60.33</v>
      </c>
    </row>
    <row r="782" spans="1:14" x14ac:dyDescent="0.3">
      <c r="A782" t="s">
        <v>929</v>
      </c>
      <c r="B782" t="s">
        <v>1014</v>
      </c>
      <c r="C782" t="s">
        <v>1019</v>
      </c>
      <c r="D782">
        <v>55</v>
      </c>
      <c r="E782">
        <v>3</v>
      </c>
      <c r="F782" s="3">
        <v>50599</v>
      </c>
      <c r="G782">
        <v>44</v>
      </c>
      <c r="H782">
        <v>8</v>
      </c>
      <c r="I782">
        <v>1</v>
      </c>
      <c r="J782">
        <v>38</v>
      </c>
      <c r="K782">
        <v>2</v>
      </c>
      <c r="L782" s="3">
        <v>8.4</v>
      </c>
      <c r="M782" t="s">
        <v>1034</v>
      </c>
      <c r="N782">
        <v>69.73</v>
      </c>
    </row>
    <row r="783" spans="1:14" x14ac:dyDescent="0.3">
      <c r="A783" t="s">
        <v>111</v>
      </c>
      <c r="B783" t="s">
        <v>1014</v>
      </c>
      <c r="C783" t="s">
        <v>1031</v>
      </c>
      <c r="D783">
        <v>55</v>
      </c>
      <c r="E783">
        <v>14</v>
      </c>
      <c r="F783" s="3">
        <v>26005</v>
      </c>
      <c r="G783">
        <v>39</v>
      </c>
      <c r="H783">
        <v>7</v>
      </c>
      <c r="I783">
        <v>20</v>
      </c>
      <c r="J783">
        <v>9</v>
      </c>
      <c r="K783">
        <v>2.2000000000000002</v>
      </c>
      <c r="L783" s="3">
        <v>8.5</v>
      </c>
      <c r="M783" t="s">
        <v>1034</v>
      </c>
      <c r="N783">
        <v>69.27</v>
      </c>
    </row>
    <row r="784" spans="1:14" x14ac:dyDescent="0.3">
      <c r="A784" t="s">
        <v>169</v>
      </c>
      <c r="B784" t="s">
        <v>1014</v>
      </c>
      <c r="C784" t="s">
        <v>1019</v>
      </c>
      <c r="D784">
        <v>48</v>
      </c>
      <c r="E784">
        <v>11</v>
      </c>
      <c r="F784" s="3">
        <v>69326</v>
      </c>
      <c r="G784">
        <v>42</v>
      </c>
      <c r="H784">
        <v>8</v>
      </c>
      <c r="I784">
        <v>19</v>
      </c>
      <c r="J784">
        <v>18</v>
      </c>
      <c r="K784">
        <v>4.3</v>
      </c>
      <c r="L784" s="3">
        <v>8.5</v>
      </c>
      <c r="M784" t="s">
        <v>1034</v>
      </c>
      <c r="N784">
        <v>77.23</v>
      </c>
    </row>
    <row r="785" spans="1:14" x14ac:dyDescent="0.3">
      <c r="A785" t="s">
        <v>275</v>
      </c>
      <c r="B785" t="s">
        <v>1015</v>
      </c>
      <c r="C785" t="s">
        <v>1021</v>
      </c>
      <c r="D785">
        <v>48</v>
      </c>
      <c r="E785">
        <v>3</v>
      </c>
      <c r="F785" s="3">
        <v>26721</v>
      </c>
      <c r="G785">
        <v>37</v>
      </c>
      <c r="H785">
        <v>6</v>
      </c>
      <c r="I785">
        <v>17</v>
      </c>
      <c r="J785">
        <v>5</v>
      </c>
      <c r="K785">
        <v>3.8</v>
      </c>
      <c r="L785" s="3">
        <v>8.5</v>
      </c>
      <c r="M785" t="s">
        <v>1034</v>
      </c>
      <c r="N785">
        <v>72.400000000000006</v>
      </c>
    </row>
    <row r="786" spans="1:14" x14ac:dyDescent="0.3">
      <c r="A786" t="s">
        <v>284</v>
      </c>
      <c r="B786" t="s">
        <v>1014</v>
      </c>
      <c r="C786" t="s">
        <v>1031</v>
      </c>
      <c r="D786">
        <v>50</v>
      </c>
      <c r="E786">
        <v>15</v>
      </c>
      <c r="F786" s="3">
        <v>63157</v>
      </c>
      <c r="G786">
        <v>47</v>
      </c>
      <c r="H786">
        <v>9</v>
      </c>
      <c r="I786">
        <v>16</v>
      </c>
      <c r="J786">
        <v>26</v>
      </c>
      <c r="K786">
        <v>3.6</v>
      </c>
      <c r="L786" s="3">
        <v>8.5</v>
      </c>
      <c r="M786" t="s">
        <v>1034</v>
      </c>
      <c r="N786">
        <v>76.8</v>
      </c>
    </row>
    <row r="787" spans="1:14" x14ac:dyDescent="0.3">
      <c r="A787" t="s">
        <v>364</v>
      </c>
      <c r="B787" t="s">
        <v>1016</v>
      </c>
      <c r="C787" t="s">
        <v>1022</v>
      </c>
      <c r="D787">
        <v>50</v>
      </c>
      <c r="E787">
        <v>0</v>
      </c>
      <c r="F787" s="3">
        <v>42380</v>
      </c>
      <c r="G787">
        <v>41</v>
      </c>
      <c r="H787">
        <v>4</v>
      </c>
      <c r="I787">
        <v>22</v>
      </c>
      <c r="J787">
        <v>4</v>
      </c>
      <c r="K787">
        <v>3.1</v>
      </c>
      <c r="L787" s="3">
        <v>8.5</v>
      </c>
      <c r="M787" t="s">
        <v>1034</v>
      </c>
      <c r="N787">
        <v>66.97</v>
      </c>
    </row>
    <row r="788" spans="1:14" x14ac:dyDescent="0.3">
      <c r="A788" t="s">
        <v>442</v>
      </c>
      <c r="B788" t="s">
        <v>1017</v>
      </c>
      <c r="C788" t="s">
        <v>1024</v>
      </c>
      <c r="D788">
        <v>37</v>
      </c>
      <c r="E788">
        <v>9</v>
      </c>
      <c r="F788" s="3">
        <v>70412</v>
      </c>
      <c r="G788">
        <v>36</v>
      </c>
      <c r="H788">
        <v>15</v>
      </c>
      <c r="I788">
        <v>12</v>
      </c>
      <c r="J788">
        <v>24</v>
      </c>
      <c r="K788">
        <v>3.2</v>
      </c>
      <c r="L788" s="3">
        <v>8.5</v>
      </c>
      <c r="M788" t="s">
        <v>1034</v>
      </c>
      <c r="N788">
        <v>85.6</v>
      </c>
    </row>
    <row r="789" spans="1:14" x14ac:dyDescent="0.3">
      <c r="A789" t="s">
        <v>482</v>
      </c>
      <c r="B789" t="s">
        <v>1017</v>
      </c>
      <c r="C789" t="s">
        <v>1024</v>
      </c>
      <c r="D789">
        <v>31</v>
      </c>
      <c r="E789">
        <v>9</v>
      </c>
      <c r="F789" s="3">
        <v>31311</v>
      </c>
      <c r="G789">
        <v>40</v>
      </c>
      <c r="H789">
        <v>8</v>
      </c>
      <c r="I789">
        <v>19</v>
      </c>
      <c r="J789">
        <v>38</v>
      </c>
      <c r="K789">
        <v>2.1</v>
      </c>
      <c r="L789" s="3">
        <v>8.5</v>
      </c>
      <c r="M789" t="s">
        <v>1034</v>
      </c>
      <c r="N789">
        <v>70.63</v>
      </c>
    </row>
    <row r="790" spans="1:14" x14ac:dyDescent="0.3">
      <c r="A790" t="s">
        <v>488</v>
      </c>
      <c r="B790" t="s">
        <v>1016</v>
      </c>
      <c r="C790" t="s">
        <v>1033</v>
      </c>
      <c r="D790">
        <v>49</v>
      </c>
      <c r="E790">
        <v>11</v>
      </c>
      <c r="F790" s="3">
        <v>65100</v>
      </c>
      <c r="G790">
        <v>43</v>
      </c>
      <c r="H790">
        <v>11</v>
      </c>
      <c r="I790">
        <v>12</v>
      </c>
      <c r="J790">
        <v>13</v>
      </c>
      <c r="K790">
        <v>3.2</v>
      </c>
      <c r="L790" s="3">
        <v>8.5</v>
      </c>
      <c r="M790" t="s">
        <v>1034</v>
      </c>
      <c r="N790">
        <v>78.930000000000007</v>
      </c>
    </row>
    <row r="791" spans="1:14" x14ac:dyDescent="0.3">
      <c r="A791" t="s">
        <v>531</v>
      </c>
      <c r="B791" t="s">
        <v>1014</v>
      </c>
      <c r="C791" t="s">
        <v>1031</v>
      </c>
      <c r="D791">
        <v>36</v>
      </c>
      <c r="E791">
        <v>2</v>
      </c>
      <c r="F791" s="3">
        <v>34875</v>
      </c>
      <c r="G791">
        <v>35</v>
      </c>
      <c r="H791">
        <v>8</v>
      </c>
      <c r="I791">
        <v>6</v>
      </c>
      <c r="J791">
        <v>21</v>
      </c>
      <c r="K791">
        <v>3.3</v>
      </c>
      <c r="L791" s="3">
        <v>8.5</v>
      </c>
      <c r="M791" t="s">
        <v>1034</v>
      </c>
      <c r="N791">
        <v>74.23</v>
      </c>
    </row>
    <row r="792" spans="1:14" x14ac:dyDescent="0.3">
      <c r="A792" t="s">
        <v>610</v>
      </c>
      <c r="B792" t="s">
        <v>1016</v>
      </c>
      <c r="C792" t="s">
        <v>1033</v>
      </c>
      <c r="D792">
        <v>46</v>
      </c>
      <c r="E792">
        <v>5</v>
      </c>
      <c r="F792" s="3">
        <v>62419</v>
      </c>
      <c r="G792">
        <v>54</v>
      </c>
      <c r="H792">
        <v>7</v>
      </c>
      <c r="I792">
        <v>5</v>
      </c>
      <c r="J792">
        <v>38</v>
      </c>
      <c r="K792">
        <v>2.4</v>
      </c>
      <c r="L792" s="3">
        <v>8.5</v>
      </c>
      <c r="M792" t="s">
        <v>1034</v>
      </c>
      <c r="N792">
        <v>69.87</v>
      </c>
    </row>
    <row r="793" spans="1:14" x14ac:dyDescent="0.3">
      <c r="A793" t="s">
        <v>776</v>
      </c>
      <c r="B793" t="s">
        <v>1016</v>
      </c>
      <c r="C793" t="s">
        <v>1023</v>
      </c>
      <c r="D793">
        <v>51</v>
      </c>
      <c r="E793">
        <v>0</v>
      </c>
      <c r="F793" s="3">
        <v>74936</v>
      </c>
      <c r="G793">
        <v>36</v>
      </c>
      <c r="H793">
        <v>11</v>
      </c>
      <c r="I793">
        <v>20</v>
      </c>
      <c r="J793">
        <v>11</v>
      </c>
      <c r="K793">
        <v>3.9</v>
      </c>
      <c r="L793" s="3">
        <v>8.5</v>
      </c>
      <c r="M793" t="s">
        <v>1034</v>
      </c>
      <c r="N793">
        <v>81.03</v>
      </c>
    </row>
    <row r="794" spans="1:14" x14ac:dyDescent="0.3">
      <c r="A794" t="s">
        <v>824</v>
      </c>
      <c r="B794" t="s">
        <v>1015</v>
      </c>
      <c r="C794" t="s">
        <v>1020</v>
      </c>
      <c r="D794">
        <v>28</v>
      </c>
      <c r="E794">
        <v>0</v>
      </c>
      <c r="F794" s="3">
        <v>85727</v>
      </c>
      <c r="G794">
        <v>49</v>
      </c>
      <c r="H794">
        <v>13</v>
      </c>
      <c r="I794">
        <v>14</v>
      </c>
      <c r="J794">
        <v>7</v>
      </c>
      <c r="K794">
        <v>4.9000000000000004</v>
      </c>
      <c r="L794" s="3">
        <v>8.5</v>
      </c>
      <c r="M794" t="s">
        <v>1034</v>
      </c>
      <c r="N794">
        <v>87.37</v>
      </c>
    </row>
    <row r="795" spans="1:14" x14ac:dyDescent="0.3">
      <c r="A795" t="s">
        <v>888</v>
      </c>
      <c r="B795" t="s">
        <v>1014</v>
      </c>
      <c r="C795" t="s">
        <v>1031</v>
      </c>
      <c r="D795">
        <v>37</v>
      </c>
      <c r="E795">
        <v>1</v>
      </c>
      <c r="F795" s="3">
        <v>52660</v>
      </c>
      <c r="G795">
        <v>46</v>
      </c>
      <c r="H795">
        <v>4</v>
      </c>
      <c r="I795">
        <v>6</v>
      </c>
      <c r="J795">
        <v>40</v>
      </c>
      <c r="K795">
        <v>4.7</v>
      </c>
      <c r="L795" s="3">
        <v>8.5</v>
      </c>
      <c r="M795" t="s">
        <v>1034</v>
      </c>
      <c r="N795">
        <v>71.77</v>
      </c>
    </row>
    <row r="796" spans="1:14" x14ac:dyDescent="0.3">
      <c r="A796" t="s">
        <v>973</v>
      </c>
      <c r="B796" t="s">
        <v>1015</v>
      </c>
      <c r="C796" t="s">
        <v>1021</v>
      </c>
      <c r="D796">
        <v>26</v>
      </c>
      <c r="E796">
        <v>5</v>
      </c>
      <c r="F796" s="3">
        <v>47493</v>
      </c>
      <c r="G796">
        <v>47</v>
      </c>
      <c r="H796">
        <v>15</v>
      </c>
      <c r="I796">
        <v>22</v>
      </c>
      <c r="J796">
        <v>24</v>
      </c>
      <c r="K796">
        <v>4</v>
      </c>
      <c r="L796" s="3">
        <v>8.5</v>
      </c>
      <c r="M796" t="s">
        <v>1034</v>
      </c>
      <c r="N796">
        <v>88</v>
      </c>
    </row>
    <row r="797" spans="1:14" x14ac:dyDescent="0.3">
      <c r="A797" t="s">
        <v>982</v>
      </c>
      <c r="B797" t="s">
        <v>1016</v>
      </c>
      <c r="C797" t="s">
        <v>1023</v>
      </c>
      <c r="D797">
        <v>34</v>
      </c>
      <c r="E797">
        <v>11</v>
      </c>
      <c r="F797" s="3">
        <v>81115</v>
      </c>
      <c r="G797">
        <v>52</v>
      </c>
      <c r="H797">
        <v>7</v>
      </c>
      <c r="I797">
        <v>3</v>
      </c>
      <c r="J797">
        <v>8</v>
      </c>
      <c r="K797">
        <v>3</v>
      </c>
      <c r="L797" s="3">
        <v>8.5</v>
      </c>
      <c r="M797" t="s">
        <v>1034</v>
      </c>
      <c r="N797">
        <v>71.67</v>
      </c>
    </row>
    <row r="798" spans="1:14" x14ac:dyDescent="0.3">
      <c r="A798" t="s">
        <v>991</v>
      </c>
      <c r="B798" t="s">
        <v>1017</v>
      </c>
      <c r="C798" t="s">
        <v>1030</v>
      </c>
      <c r="D798">
        <v>55</v>
      </c>
      <c r="E798">
        <v>15</v>
      </c>
      <c r="F798" s="3">
        <v>29189</v>
      </c>
      <c r="G798">
        <v>51</v>
      </c>
      <c r="H798">
        <v>14</v>
      </c>
      <c r="I798">
        <v>18</v>
      </c>
      <c r="J798">
        <v>34</v>
      </c>
      <c r="K798">
        <v>4.0999999999999996</v>
      </c>
      <c r="L798" s="3">
        <v>8.5</v>
      </c>
      <c r="M798" t="s">
        <v>1034</v>
      </c>
      <c r="N798">
        <v>86.63</v>
      </c>
    </row>
    <row r="799" spans="1:14" x14ac:dyDescent="0.3">
      <c r="A799" t="s">
        <v>95</v>
      </c>
      <c r="B799" t="s">
        <v>1017</v>
      </c>
      <c r="C799" t="s">
        <v>1030</v>
      </c>
      <c r="D799">
        <v>26</v>
      </c>
      <c r="E799">
        <v>5</v>
      </c>
      <c r="F799" s="3">
        <v>40297</v>
      </c>
      <c r="G799">
        <v>43</v>
      </c>
      <c r="H799">
        <v>13</v>
      </c>
      <c r="I799">
        <v>25</v>
      </c>
      <c r="J799">
        <v>40</v>
      </c>
      <c r="K799">
        <v>3.8</v>
      </c>
      <c r="L799" s="3">
        <v>8.6</v>
      </c>
      <c r="M799" t="s">
        <v>1034</v>
      </c>
      <c r="N799">
        <v>84.67</v>
      </c>
    </row>
    <row r="800" spans="1:14" x14ac:dyDescent="0.3">
      <c r="A800" t="s">
        <v>157</v>
      </c>
      <c r="B800" t="s">
        <v>1017</v>
      </c>
      <c r="C800" t="s">
        <v>1024</v>
      </c>
      <c r="D800">
        <v>42</v>
      </c>
      <c r="E800">
        <v>10</v>
      </c>
      <c r="F800" s="3">
        <v>34893</v>
      </c>
      <c r="G800">
        <v>49</v>
      </c>
      <c r="H800">
        <v>2</v>
      </c>
      <c r="I800">
        <v>15</v>
      </c>
      <c r="J800">
        <v>28</v>
      </c>
      <c r="K800">
        <v>3.9</v>
      </c>
      <c r="L800" s="3">
        <v>8.6</v>
      </c>
      <c r="M800" t="s">
        <v>1034</v>
      </c>
      <c r="N800">
        <v>66.63</v>
      </c>
    </row>
    <row r="801" spans="1:14" x14ac:dyDescent="0.3">
      <c r="A801" t="s">
        <v>203</v>
      </c>
      <c r="B801" t="s">
        <v>1015</v>
      </c>
      <c r="C801" t="s">
        <v>1020</v>
      </c>
      <c r="D801">
        <v>23</v>
      </c>
      <c r="E801">
        <v>1</v>
      </c>
      <c r="F801" s="3">
        <v>83261</v>
      </c>
      <c r="G801">
        <v>55</v>
      </c>
      <c r="H801">
        <v>9</v>
      </c>
      <c r="I801">
        <v>9</v>
      </c>
      <c r="J801">
        <v>19</v>
      </c>
      <c r="K801">
        <v>3.4</v>
      </c>
      <c r="L801" s="3">
        <v>8.6</v>
      </c>
      <c r="M801" t="s">
        <v>1034</v>
      </c>
      <c r="N801">
        <v>76.8</v>
      </c>
    </row>
    <row r="802" spans="1:14" x14ac:dyDescent="0.3">
      <c r="A802" t="s">
        <v>213</v>
      </c>
      <c r="B802" t="s">
        <v>1018</v>
      </c>
      <c r="C802" t="s">
        <v>1027</v>
      </c>
      <c r="D802">
        <v>54</v>
      </c>
      <c r="E802">
        <v>12</v>
      </c>
      <c r="F802" s="3">
        <v>57773</v>
      </c>
      <c r="G802">
        <v>36</v>
      </c>
      <c r="H802">
        <v>1</v>
      </c>
      <c r="I802">
        <v>1</v>
      </c>
      <c r="J802">
        <v>8</v>
      </c>
      <c r="K802">
        <v>4.0999999999999996</v>
      </c>
      <c r="L802" s="3">
        <v>8.6</v>
      </c>
      <c r="M802" t="s">
        <v>1034</v>
      </c>
      <c r="N802">
        <v>65.569999999999993</v>
      </c>
    </row>
    <row r="803" spans="1:14" x14ac:dyDescent="0.3">
      <c r="A803" t="s">
        <v>259</v>
      </c>
      <c r="B803" t="s">
        <v>1016</v>
      </c>
      <c r="C803" t="s">
        <v>1023</v>
      </c>
      <c r="D803">
        <v>38</v>
      </c>
      <c r="E803">
        <v>15</v>
      </c>
      <c r="F803" s="3">
        <v>88341</v>
      </c>
      <c r="G803">
        <v>55</v>
      </c>
      <c r="H803">
        <v>12</v>
      </c>
      <c r="I803">
        <v>15</v>
      </c>
      <c r="J803">
        <v>29</v>
      </c>
      <c r="K803">
        <v>2.5</v>
      </c>
      <c r="L803" s="3">
        <v>8.6</v>
      </c>
      <c r="M803" t="s">
        <v>1034</v>
      </c>
      <c r="N803">
        <v>79.099999999999994</v>
      </c>
    </row>
    <row r="804" spans="1:14" x14ac:dyDescent="0.3">
      <c r="A804" t="s">
        <v>354</v>
      </c>
      <c r="B804" t="s">
        <v>1018</v>
      </c>
      <c r="C804" t="s">
        <v>1032</v>
      </c>
      <c r="D804">
        <v>37</v>
      </c>
      <c r="E804">
        <v>8</v>
      </c>
      <c r="F804" s="3">
        <v>59975</v>
      </c>
      <c r="G804">
        <v>36</v>
      </c>
      <c r="H804">
        <v>13</v>
      </c>
      <c r="I804">
        <v>7</v>
      </c>
      <c r="J804">
        <v>36</v>
      </c>
      <c r="K804">
        <v>4.5</v>
      </c>
      <c r="L804" s="3">
        <v>8.6</v>
      </c>
      <c r="M804" t="s">
        <v>1034</v>
      </c>
      <c r="N804">
        <v>86.77</v>
      </c>
    </row>
    <row r="805" spans="1:14" x14ac:dyDescent="0.3">
      <c r="A805" t="s">
        <v>469</v>
      </c>
      <c r="B805" t="s">
        <v>1018</v>
      </c>
      <c r="C805" t="s">
        <v>1027</v>
      </c>
      <c r="D805">
        <v>51</v>
      </c>
      <c r="E805">
        <v>2</v>
      </c>
      <c r="F805" s="3">
        <v>51003</v>
      </c>
      <c r="G805">
        <v>46</v>
      </c>
      <c r="H805">
        <v>9</v>
      </c>
      <c r="I805">
        <v>0</v>
      </c>
      <c r="J805">
        <v>15</v>
      </c>
      <c r="K805">
        <v>4.5</v>
      </c>
      <c r="L805" s="3">
        <v>8.6</v>
      </c>
      <c r="M805" t="s">
        <v>1034</v>
      </c>
      <c r="N805">
        <v>80.099999999999994</v>
      </c>
    </row>
    <row r="806" spans="1:14" x14ac:dyDescent="0.3">
      <c r="A806" t="s">
        <v>484</v>
      </c>
      <c r="B806" t="s">
        <v>1017</v>
      </c>
      <c r="C806" t="s">
        <v>1026</v>
      </c>
      <c r="D806">
        <v>55</v>
      </c>
      <c r="E806">
        <v>13</v>
      </c>
      <c r="F806" s="3">
        <v>49273</v>
      </c>
      <c r="G806">
        <v>36</v>
      </c>
      <c r="H806">
        <v>12</v>
      </c>
      <c r="I806">
        <v>16</v>
      </c>
      <c r="J806">
        <v>27</v>
      </c>
      <c r="K806">
        <v>2.7</v>
      </c>
      <c r="L806" s="3">
        <v>8.6</v>
      </c>
      <c r="M806" t="s">
        <v>1034</v>
      </c>
      <c r="N806">
        <v>79.7</v>
      </c>
    </row>
    <row r="807" spans="1:14" x14ac:dyDescent="0.3">
      <c r="A807" t="s">
        <v>647</v>
      </c>
      <c r="B807" t="s">
        <v>1018</v>
      </c>
      <c r="C807" t="s">
        <v>1028</v>
      </c>
      <c r="D807">
        <v>50</v>
      </c>
      <c r="E807">
        <v>11</v>
      </c>
      <c r="F807" s="3">
        <v>77942</v>
      </c>
      <c r="G807">
        <v>40</v>
      </c>
      <c r="H807">
        <v>5</v>
      </c>
      <c r="I807">
        <v>25</v>
      </c>
      <c r="J807">
        <v>15</v>
      </c>
      <c r="K807">
        <v>3.5</v>
      </c>
      <c r="L807" s="3">
        <v>8.6</v>
      </c>
      <c r="M807" t="s">
        <v>1034</v>
      </c>
      <c r="N807">
        <v>70.430000000000007</v>
      </c>
    </row>
    <row r="808" spans="1:14" x14ac:dyDescent="0.3">
      <c r="A808" t="s">
        <v>819</v>
      </c>
      <c r="B808" t="s">
        <v>1017</v>
      </c>
      <c r="C808" t="s">
        <v>1030</v>
      </c>
      <c r="D808">
        <v>30</v>
      </c>
      <c r="E808">
        <v>4</v>
      </c>
      <c r="F808" s="3">
        <v>72382</v>
      </c>
      <c r="G808">
        <v>47</v>
      </c>
      <c r="H808">
        <v>7</v>
      </c>
      <c r="I808">
        <v>21</v>
      </c>
      <c r="J808">
        <v>23</v>
      </c>
      <c r="K808">
        <v>4.4000000000000004</v>
      </c>
      <c r="L808" s="3">
        <v>8.6</v>
      </c>
      <c r="M808" t="s">
        <v>1034</v>
      </c>
      <c r="N808">
        <v>76.47</v>
      </c>
    </row>
    <row r="809" spans="1:14" x14ac:dyDescent="0.3">
      <c r="A809" t="s">
        <v>992</v>
      </c>
      <c r="B809" t="s">
        <v>1018</v>
      </c>
      <c r="C809" t="s">
        <v>1028</v>
      </c>
      <c r="D809">
        <v>29</v>
      </c>
      <c r="E809">
        <v>2</v>
      </c>
      <c r="F809" s="3">
        <v>81492</v>
      </c>
      <c r="G809">
        <v>54</v>
      </c>
      <c r="H809">
        <v>12</v>
      </c>
      <c r="I809">
        <v>5</v>
      </c>
      <c r="J809">
        <v>0</v>
      </c>
      <c r="K809">
        <v>3.7</v>
      </c>
      <c r="L809" s="3">
        <v>8.6</v>
      </c>
      <c r="M809" t="s">
        <v>1034</v>
      </c>
      <c r="N809">
        <v>82.7</v>
      </c>
    </row>
    <row r="810" spans="1:14" x14ac:dyDescent="0.3">
      <c r="A810" t="s">
        <v>1001</v>
      </c>
      <c r="B810" t="s">
        <v>1017</v>
      </c>
      <c r="C810" t="s">
        <v>1026</v>
      </c>
      <c r="D810">
        <v>26</v>
      </c>
      <c r="E810">
        <v>2</v>
      </c>
      <c r="F810" s="3">
        <v>66954</v>
      </c>
      <c r="G810">
        <v>37</v>
      </c>
      <c r="H810">
        <v>6</v>
      </c>
      <c r="I810">
        <v>10</v>
      </c>
      <c r="J810">
        <v>17</v>
      </c>
      <c r="K810">
        <v>2.4</v>
      </c>
      <c r="L810" s="3">
        <v>8.6</v>
      </c>
      <c r="M810" t="s">
        <v>1034</v>
      </c>
      <c r="N810">
        <v>68.8</v>
      </c>
    </row>
    <row r="811" spans="1:14" x14ac:dyDescent="0.3">
      <c r="A811" t="s">
        <v>53</v>
      </c>
      <c r="B811" t="s">
        <v>1018</v>
      </c>
      <c r="C811" t="s">
        <v>1032</v>
      </c>
      <c r="D811">
        <v>39</v>
      </c>
      <c r="E811">
        <v>5</v>
      </c>
      <c r="F811" s="3">
        <v>76601</v>
      </c>
      <c r="G811">
        <v>38</v>
      </c>
      <c r="H811">
        <v>7</v>
      </c>
      <c r="I811">
        <v>1</v>
      </c>
      <c r="J811">
        <v>30</v>
      </c>
      <c r="K811">
        <v>2.7</v>
      </c>
      <c r="L811" s="3">
        <v>8.6999999999999993</v>
      </c>
      <c r="M811" t="s">
        <v>1034</v>
      </c>
      <c r="N811">
        <v>71.97</v>
      </c>
    </row>
    <row r="812" spans="1:14" x14ac:dyDescent="0.3">
      <c r="A812" t="s">
        <v>143</v>
      </c>
      <c r="B812" t="s">
        <v>1018</v>
      </c>
      <c r="C812" t="s">
        <v>1027</v>
      </c>
      <c r="D812">
        <v>28</v>
      </c>
      <c r="E812">
        <v>5</v>
      </c>
      <c r="F812" s="3">
        <v>80402</v>
      </c>
      <c r="G812">
        <v>52</v>
      </c>
      <c r="H812">
        <v>6</v>
      </c>
      <c r="I812">
        <v>3</v>
      </c>
      <c r="J812">
        <v>17</v>
      </c>
      <c r="K812">
        <v>3.7</v>
      </c>
      <c r="L812" s="3">
        <v>8.6999999999999993</v>
      </c>
      <c r="M812" t="s">
        <v>1034</v>
      </c>
      <c r="N812">
        <v>73.3</v>
      </c>
    </row>
    <row r="813" spans="1:14" x14ac:dyDescent="0.3">
      <c r="A813" t="s">
        <v>159</v>
      </c>
      <c r="B813" t="s">
        <v>1014</v>
      </c>
      <c r="C813" t="s">
        <v>1025</v>
      </c>
      <c r="D813">
        <v>54</v>
      </c>
      <c r="E813">
        <v>12</v>
      </c>
      <c r="F813" s="3">
        <v>55324</v>
      </c>
      <c r="G813">
        <v>53</v>
      </c>
      <c r="H813">
        <v>9</v>
      </c>
      <c r="I813">
        <v>25</v>
      </c>
      <c r="J813">
        <v>2</v>
      </c>
      <c r="K813">
        <v>3.3</v>
      </c>
      <c r="L813" s="3">
        <v>8.6999999999999993</v>
      </c>
      <c r="M813" t="s">
        <v>1034</v>
      </c>
      <c r="N813">
        <v>77.099999999999994</v>
      </c>
    </row>
    <row r="814" spans="1:14" x14ac:dyDescent="0.3">
      <c r="A814" t="s">
        <v>229</v>
      </c>
      <c r="B814" t="s">
        <v>1016</v>
      </c>
      <c r="C814" t="s">
        <v>1033</v>
      </c>
      <c r="D814">
        <v>51</v>
      </c>
      <c r="E814">
        <v>15</v>
      </c>
      <c r="F814" s="3">
        <v>83278</v>
      </c>
      <c r="G814">
        <v>39</v>
      </c>
      <c r="H814">
        <v>14</v>
      </c>
      <c r="I814">
        <v>16</v>
      </c>
      <c r="J814">
        <v>29</v>
      </c>
      <c r="K814">
        <v>2.8</v>
      </c>
      <c r="L814" s="3">
        <v>8.6999999999999993</v>
      </c>
      <c r="M814" t="s">
        <v>1034</v>
      </c>
      <c r="N814">
        <v>83.93</v>
      </c>
    </row>
    <row r="815" spans="1:14" x14ac:dyDescent="0.3">
      <c r="A815" t="s">
        <v>247</v>
      </c>
      <c r="B815" t="s">
        <v>1015</v>
      </c>
      <c r="C815" t="s">
        <v>1029</v>
      </c>
      <c r="D815">
        <v>40</v>
      </c>
      <c r="E815">
        <v>7</v>
      </c>
      <c r="F815" s="3">
        <v>78463</v>
      </c>
      <c r="G815">
        <v>53</v>
      </c>
      <c r="H815">
        <v>6</v>
      </c>
      <c r="I815">
        <v>18</v>
      </c>
      <c r="J815">
        <v>38</v>
      </c>
      <c r="K815">
        <v>4.3</v>
      </c>
      <c r="L815" s="3">
        <v>8.6999999999999993</v>
      </c>
      <c r="M815" t="s">
        <v>1034</v>
      </c>
      <c r="N815">
        <v>75.099999999999994</v>
      </c>
    </row>
    <row r="816" spans="1:14" x14ac:dyDescent="0.3">
      <c r="A816" t="s">
        <v>268</v>
      </c>
      <c r="B816" t="s">
        <v>1015</v>
      </c>
      <c r="C816" t="s">
        <v>1021</v>
      </c>
      <c r="D816">
        <v>24</v>
      </c>
      <c r="E816">
        <v>1</v>
      </c>
      <c r="F816" s="3">
        <v>85867</v>
      </c>
      <c r="G816">
        <v>45</v>
      </c>
      <c r="H816">
        <v>1</v>
      </c>
      <c r="I816">
        <v>6</v>
      </c>
      <c r="J816">
        <v>37</v>
      </c>
      <c r="K816">
        <v>2.4</v>
      </c>
      <c r="L816" s="3">
        <v>8.6999999999999993</v>
      </c>
      <c r="M816" t="s">
        <v>1034</v>
      </c>
      <c r="N816">
        <v>61.07</v>
      </c>
    </row>
    <row r="817" spans="1:14" x14ac:dyDescent="0.3">
      <c r="A817" t="s">
        <v>382</v>
      </c>
      <c r="B817" t="s">
        <v>1017</v>
      </c>
      <c r="C817" t="s">
        <v>1026</v>
      </c>
      <c r="D817">
        <v>43</v>
      </c>
      <c r="E817">
        <v>7</v>
      </c>
      <c r="F817" s="3">
        <v>28230</v>
      </c>
      <c r="G817">
        <v>50</v>
      </c>
      <c r="H817">
        <v>15</v>
      </c>
      <c r="I817">
        <v>8</v>
      </c>
      <c r="J817">
        <v>23</v>
      </c>
      <c r="K817">
        <v>2.1</v>
      </c>
      <c r="L817" s="3">
        <v>8.6999999999999993</v>
      </c>
      <c r="M817" t="s">
        <v>1034</v>
      </c>
      <c r="N817">
        <v>83.5</v>
      </c>
    </row>
    <row r="818" spans="1:14" x14ac:dyDescent="0.3">
      <c r="A818" t="s">
        <v>498</v>
      </c>
      <c r="B818" t="s">
        <v>1014</v>
      </c>
      <c r="C818" t="s">
        <v>1025</v>
      </c>
      <c r="D818">
        <v>54</v>
      </c>
      <c r="E818">
        <v>9</v>
      </c>
      <c r="F818" s="3">
        <v>47280</v>
      </c>
      <c r="G818">
        <v>38</v>
      </c>
      <c r="H818">
        <v>13</v>
      </c>
      <c r="I818">
        <v>16</v>
      </c>
      <c r="J818">
        <v>16</v>
      </c>
      <c r="K818">
        <v>4.5999999999999996</v>
      </c>
      <c r="L818" s="3">
        <v>8.6999999999999993</v>
      </c>
      <c r="M818" t="s">
        <v>1034</v>
      </c>
      <c r="N818">
        <v>87.67</v>
      </c>
    </row>
    <row r="819" spans="1:14" x14ac:dyDescent="0.3">
      <c r="A819" t="s">
        <v>745</v>
      </c>
      <c r="B819" t="s">
        <v>1017</v>
      </c>
      <c r="C819" t="s">
        <v>1024</v>
      </c>
      <c r="D819">
        <v>34</v>
      </c>
      <c r="E819">
        <v>4</v>
      </c>
      <c r="F819" s="3">
        <v>68390</v>
      </c>
      <c r="G819">
        <v>50</v>
      </c>
      <c r="H819">
        <v>8</v>
      </c>
      <c r="I819">
        <v>16</v>
      </c>
      <c r="J819">
        <v>16</v>
      </c>
      <c r="K819">
        <v>3.6</v>
      </c>
      <c r="L819" s="3">
        <v>8.6999999999999993</v>
      </c>
      <c r="M819" t="s">
        <v>1034</v>
      </c>
      <c r="N819">
        <v>76.33</v>
      </c>
    </row>
    <row r="820" spans="1:14" x14ac:dyDescent="0.3">
      <c r="A820" t="s">
        <v>773</v>
      </c>
      <c r="B820" t="s">
        <v>1016</v>
      </c>
      <c r="C820" t="s">
        <v>1022</v>
      </c>
      <c r="D820">
        <v>35</v>
      </c>
      <c r="E820">
        <v>13</v>
      </c>
      <c r="F820" s="3">
        <v>83343</v>
      </c>
      <c r="G820">
        <v>40</v>
      </c>
      <c r="H820">
        <v>15</v>
      </c>
      <c r="I820">
        <v>14</v>
      </c>
      <c r="J820">
        <v>40</v>
      </c>
      <c r="K820">
        <v>3</v>
      </c>
      <c r="L820" s="3">
        <v>8.6999999999999993</v>
      </c>
      <c r="M820" t="s">
        <v>1034</v>
      </c>
      <c r="N820">
        <v>86.2</v>
      </c>
    </row>
    <row r="821" spans="1:14" x14ac:dyDescent="0.3">
      <c r="A821" t="s">
        <v>861</v>
      </c>
      <c r="B821" t="s">
        <v>1015</v>
      </c>
      <c r="C821" t="s">
        <v>1020</v>
      </c>
      <c r="D821">
        <v>32</v>
      </c>
      <c r="E821">
        <v>3</v>
      </c>
      <c r="F821" s="3">
        <v>60227</v>
      </c>
      <c r="G821">
        <v>48</v>
      </c>
      <c r="H821">
        <v>15</v>
      </c>
      <c r="I821">
        <v>17</v>
      </c>
      <c r="J821">
        <v>28</v>
      </c>
      <c r="K821">
        <v>2.1</v>
      </c>
      <c r="L821" s="3">
        <v>8.6999999999999993</v>
      </c>
      <c r="M821" t="s">
        <v>1034</v>
      </c>
      <c r="N821">
        <v>83.5</v>
      </c>
    </row>
    <row r="822" spans="1:14" x14ac:dyDescent="0.3">
      <c r="A822" t="s">
        <v>946</v>
      </c>
      <c r="B822" t="s">
        <v>1017</v>
      </c>
      <c r="C822" t="s">
        <v>1026</v>
      </c>
      <c r="D822">
        <v>32</v>
      </c>
      <c r="E822">
        <v>7</v>
      </c>
      <c r="F822" s="3">
        <v>53926</v>
      </c>
      <c r="G822">
        <v>48</v>
      </c>
      <c r="H822">
        <v>9</v>
      </c>
      <c r="I822">
        <v>19</v>
      </c>
      <c r="J822">
        <v>27</v>
      </c>
      <c r="K822">
        <v>4.3</v>
      </c>
      <c r="L822" s="3">
        <v>8.6999999999999993</v>
      </c>
      <c r="M822" t="s">
        <v>1034</v>
      </c>
      <c r="N822">
        <v>80.099999999999994</v>
      </c>
    </row>
    <row r="823" spans="1:14" x14ac:dyDescent="0.3">
      <c r="A823" t="s">
        <v>957</v>
      </c>
      <c r="B823" t="s">
        <v>1016</v>
      </c>
      <c r="C823" t="s">
        <v>1023</v>
      </c>
      <c r="D823">
        <v>35</v>
      </c>
      <c r="E823">
        <v>14</v>
      </c>
      <c r="F823" s="3">
        <v>74039</v>
      </c>
      <c r="G823">
        <v>47</v>
      </c>
      <c r="H823">
        <v>12</v>
      </c>
      <c r="I823">
        <v>9</v>
      </c>
      <c r="J823">
        <v>0</v>
      </c>
      <c r="K823">
        <v>5</v>
      </c>
      <c r="L823" s="3">
        <v>8.6999999999999993</v>
      </c>
      <c r="M823" t="s">
        <v>1034</v>
      </c>
      <c r="N823">
        <v>87.2</v>
      </c>
    </row>
    <row r="824" spans="1:14" x14ac:dyDescent="0.3">
      <c r="A824" t="s">
        <v>980</v>
      </c>
      <c r="B824" t="s">
        <v>1018</v>
      </c>
      <c r="C824" t="s">
        <v>1028</v>
      </c>
      <c r="D824">
        <v>36</v>
      </c>
      <c r="E824">
        <v>1</v>
      </c>
      <c r="F824" s="3">
        <v>85500</v>
      </c>
      <c r="G824">
        <v>40</v>
      </c>
      <c r="H824">
        <v>14</v>
      </c>
      <c r="I824">
        <v>15</v>
      </c>
      <c r="J824">
        <v>25</v>
      </c>
      <c r="K824">
        <v>2.9</v>
      </c>
      <c r="L824" s="3">
        <v>8.6999999999999993</v>
      </c>
      <c r="M824" t="s">
        <v>1034</v>
      </c>
      <c r="N824">
        <v>84.23</v>
      </c>
    </row>
    <row r="825" spans="1:14" x14ac:dyDescent="0.3">
      <c r="A825" t="s">
        <v>990</v>
      </c>
      <c r="B825" t="s">
        <v>1017</v>
      </c>
      <c r="C825" t="s">
        <v>1030</v>
      </c>
      <c r="D825">
        <v>41</v>
      </c>
      <c r="E825">
        <v>4</v>
      </c>
      <c r="F825" s="3">
        <v>31516</v>
      </c>
      <c r="G825">
        <v>45</v>
      </c>
      <c r="H825">
        <v>2</v>
      </c>
      <c r="I825">
        <v>22</v>
      </c>
      <c r="J825">
        <v>34</v>
      </c>
      <c r="K825">
        <v>2.6</v>
      </c>
      <c r="L825" s="3">
        <v>8.6999999999999993</v>
      </c>
      <c r="M825" t="s">
        <v>1034</v>
      </c>
      <c r="N825">
        <v>63.33</v>
      </c>
    </row>
    <row r="826" spans="1:14" x14ac:dyDescent="0.3">
      <c r="A826" t="s">
        <v>18</v>
      </c>
      <c r="B826" t="s">
        <v>1016</v>
      </c>
      <c r="C826" t="s">
        <v>1022</v>
      </c>
      <c r="D826">
        <v>24</v>
      </c>
      <c r="E826">
        <v>3</v>
      </c>
      <c r="F826" s="3">
        <v>60142</v>
      </c>
      <c r="G826">
        <v>38</v>
      </c>
      <c r="H826">
        <v>15</v>
      </c>
      <c r="I826">
        <v>12</v>
      </c>
      <c r="J826">
        <v>5</v>
      </c>
      <c r="K826">
        <v>3.7</v>
      </c>
      <c r="L826" s="3">
        <v>8.8000000000000007</v>
      </c>
      <c r="M826" t="s">
        <v>1034</v>
      </c>
      <c r="N826">
        <v>88.9</v>
      </c>
    </row>
    <row r="827" spans="1:14" x14ac:dyDescent="0.3">
      <c r="A827" t="s">
        <v>325</v>
      </c>
      <c r="B827" t="s">
        <v>1015</v>
      </c>
      <c r="C827" t="s">
        <v>1020</v>
      </c>
      <c r="D827">
        <v>35</v>
      </c>
      <c r="E827">
        <v>12</v>
      </c>
      <c r="F827" s="3">
        <v>35182</v>
      </c>
      <c r="G827">
        <v>52</v>
      </c>
      <c r="H827">
        <v>6</v>
      </c>
      <c r="I827">
        <v>12</v>
      </c>
      <c r="J827">
        <v>37</v>
      </c>
      <c r="K827">
        <v>3.9</v>
      </c>
      <c r="L827" s="3">
        <v>8.8000000000000007</v>
      </c>
      <c r="M827" t="s">
        <v>1034</v>
      </c>
      <c r="N827">
        <v>74.5</v>
      </c>
    </row>
    <row r="828" spans="1:14" x14ac:dyDescent="0.3">
      <c r="A828" t="s">
        <v>386</v>
      </c>
      <c r="B828" t="s">
        <v>1018</v>
      </c>
      <c r="C828" t="s">
        <v>1027</v>
      </c>
      <c r="D828">
        <v>25</v>
      </c>
      <c r="E828">
        <v>1</v>
      </c>
      <c r="F828" s="3">
        <v>27167</v>
      </c>
      <c r="G828">
        <v>49</v>
      </c>
      <c r="H828">
        <v>1</v>
      </c>
      <c r="I828">
        <v>11</v>
      </c>
      <c r="J828">
        <v>12</v>
      </c>
      <c r="K828">
        <v>2.8</v>
      </c>
      <c r="L828" s="3">
        <v>8.8000000000000007</v>
      </c>
      <c r="M828" t="s">
        <v>1034</v>
      </c>
      <c r="N828">
        <v>62.87</v>
      </c>
    </row>
    <row r="829" spans="1:14" x14ac:dyDescent="0.3">
      <c r="A829" t="s">
        <v>431</v>
      </c>
      <c r="B829" t="s">
        <v>1017</v>
      </c>
      <c r="C829" t="s">
        <v>1030</v>
      </c>
      <c r="D829">
        <v>28</v>
      </c>
      <c r="E829">
        <v>4</v>
      </c>
      <c r="F829" s="3">
        <v>65032</v>
      </c>
      <c r="G829">
        <v>41</v>
      </c>
      <c r="H829">
        <v>4</v>
      </c>
      <c r="I829">
        <v>3</v>
      </c>
      <c r="J829">
        <v>25</v>
      </c>
      <c r="K829">
        <v>2.6</v>
      </c>
      <c r="L829" s="3">
        <v>8.8000000000000007</v>
      </c>
      <c r="M829" t="s">
        <v>1034</v>
      </c>
      <c r="N829">
        <v>67.27</v>
      </c>
    </row>
    <row r="830" spans="1:14" x14ac:dyDescent="0.3">
      <c r="A830" t="s">
        <v>547</v>
      </c>
      <c r="B830" t="s">
        <v>1014</v>
      </c>
      <c r="C830" t="s">
        <v>1031</v>
      </c>
      <c r="D830">
        <v>45</v>
      </c>
      <c r="E830">
        <v>7</v>
      </c>
      <c r="F830" s="3">
        <v>64711</v>
      </c>
      <c r="G830">
        <v>37</v>
      </c>
      <c r="H830">
        <v>1</v>
      </c>
      <c r="I830">
        <v>6</v>
      </c>
      <c r="J830">
        <v>31</v>
      </c>
      <c r="K830">
        <v>4.8</v>
      </c>
      <c r="L830" s="3">
        <v>8.8000000000000007</v>
      </c>
      <c r="M830" t="s">
        <v>1034</v>
      </c>
      <c r="N830">
        <v>68.87</v>
      </c>
    </row>
    <row r="831" spans="1:14" x14ac:dyDescent="0.3">
      <c r="A831" t="s">
        <v>716</v>
      </c>
      <c r="B831" t="s">
        <v>1016</v>
      </c>
      <c r="C831" t="s">
        <v>1033</v>
      </c>
      <c r="D831">
        <v>48</v>
      </c>
      <c r="E831">
        <v>5</v>
      </c>
      <c r="F831" s="3">
        <v>61425</v>
      </c>
      <c r="G831">
        <v>49</v>
      </c>
      <c r="H831">
        <v>12</v>
      </c>
      <c r="I831">
        <v>18</v>
      </c>
      <c r="J831">
        <v>8</v>
      </c>
      <c r="K831">
        <v>2.6</v>
      </c>
      <c r="L831" s="3">
        <v>8.8000000000000007</v>
      </c>
      <c r="M831" t="s">
        <v>1034</v>
      </c>
      <c r="N831">
        <v>80.599999999999994</v>
      </c>
    </row>
    <row r="832" spans="1:14" x14ac:dyDescent="0.3">
      <c r="A832" t="s">
        <v>761</v>
      </c>
      <c r="B832" t="s">
        <v>1018</v>
      </c>
      <c r="C832" t="s">
        <v>1028</v>
      </c>
      <c r="D832">
        <v>31</v>
      </c>
      <c r="E832">
        <v>10</v>
      </c>
      <c r="F832" s="3">
        <v>75169</v>
      </c>
      <c r="G832">
        <v>44</v>
      </c>
      <c r="H832">
        <v>14</v>
      </c>
      <c r="I832">
        <v>13</v>
      </c>
      <c r="J832">
        <v>26</v>
      </c>
      <c r="K832">
        <v>3</v>
      </c>
      <c r="L832" s="3">
        <v>8.8000000000000007</v>
      </c>
      <c r="M832" t="s">
        <v>1034</v>
      </c>
      <c r="N832">
        <v>85.13</v>
      </c>
    </row>
    <row r="833" spans="1:14" x14ac:dyDescent="0.3">
      <c r="A833" t="s">
        <v>772</v>
      </c>
      <c r="B833" t="s">
        <v>1018</v>
      </c>
      <c r="C833" t="s">
        <v>1028</v>
      </c>
      <c r="D833">
        <v>50</v>
      </c>
      <c r="E833">
        <v>12</v>
      </c>
      <c r="F833" s="3">
        <v>25515</v>
      </c>
      <c r="G833">
        <v>47</v>
      </c>
      <c r="H833">
        <v>15</v>
      </c>
      <c r="I833">
        <v>8</v>
      </c>
      <c r="J833">
        <v>19</v>
      </c>
      <c r="K833">
        <v>2.2999999999999998</v>
      </c>
      <c r="L833" s="3">
        <v>8.8000000000000007</v>
      </c>
      <c r="M833" t="s">
        <v>1034</v>
      </c>
      <c r="N833">
        <v>84.7</v>
      </c>
    </row>
    <row r="834" spans="1:14" x14ac:dyDescent="0.3">
      <c r="A834" t="s">
        <v>783</v>
      </c>
      <c r="B834" t="s">
        <v>1016</v>
      </c>
      <c r="C834" t="s">
        <v>1022</v>
      </c>
      <c r="D834">
        <v>40</v>
      </c>
      <c r="E834">
        <v>15</v>
      </c>
      <c r="F834" s="3">
        <v>50039</v>
      </c>
      <c r="G834">
        <v>39</v>
      </c>
      <c r="H834">
        <v>7</v>
      </c>
      <c r="I834">
        <v>6</v>
      </c>
      <c r="J834">
        <v>38</v>
      </c>
      <c r="K834">
        <v>2.6</v>
      </c>
      <c r="L834" s="3">
        <v>8.8000000000000007</v>
      </c>
      <c r="M834" t="s">
        <v>1034</v>
      </c>
      <c r="N834">
        <v>72.27</v>
      </c>
    </row>
    <row r="835" spans="1:14" x14ac:dyDescent="0.3">
      <c r="A835" t="s">
        <v>847</v>
      </c>
      <c r="B835" t="s">
        <v>1017</v>
      </c>
      <c r="C835" t="s">
        <v>1030</v>
      </c>
      <c r="D835">
        <v>41</v>
      </c>
      <c r="E835">
        <v>14</v>
      </c>
      <c r="F835" s="3">
        <v>84001</v>
      </c>
      <c r="G835">
        <v>45</v>
      </c>
      <c r="H835">
        <v>13</v>
      </c>
      <c r="I835">
        <v>12</v>
      </c>
      <c r="J835">
        <v>30</v>
      </c>
      <c r="K835">
        <v>4.5</v>
      </c>
      <c r="L835" s="3">
        <v>8.8000000000000007</v>
      </c>
      <c r="M835" t="s">
        <v>1034</v>
      </c>
      <c r="N835">
        <v>87.97</v>
      </c>
    </row>
    <row r="836" spans="1:14" x14ac:dyDescent="0.3">
      <c r="A836" t="s">
        <v>867</v>
      </c>
      <c r="B836" t="s">
        <v>1017</v>
      </c>
      <c r="C836" t="s">
        <v>1024</v>
      </c>
      <c r="D836">
        <v>47</v>
      </c>
      <c r="E836">
        <v>2</v>
      </c>
      <c r="F836" s="3">
        <v>76596</v>
      </c>
      <c r="G836">
        <v>55</v>
      </c>
      <c r="H836">
        <v>11</v>
      </c>
      <c r="I836">
        <v>2</v>
      </c>
      <c r="J836">
        <v>34</v>
      </c>
      <c r="K836">
        <v>2.1</v>
      </c>
      <c r="L836" s="3">
        <v>8.8000000000000007</v>
      </c>
      <c r="M836" t="s">
        <v>1034</v>
      </c>
      <c r="N836">
        <v>77.430000000000007</v>
      </c>
    </row>
    <row r="837" spans="1:14" x14ac:dyDescent="0.3">
      <c r="A837" t="s">
        <v>907</v>
      </c>
      <c r="B837" t="s">
        <v>1015</v>
      </c>
      <c r="C837" t="s">
        <v>1020</v>
      </c>
      <c r="D837">
        <v>38</v>
      </c>
      <c r="E837">
        <v>0</v>
      </c>
      <c r="F837" s="3">
        <v>75467</v>
      </c>
      <c r="G837">
        <v>44</v>
      </c>
      <c r="H837">
        <v>5</v>
      </c>
      <c r="I837">
        <v>11</v>
      </c>
      <c r="J837">
        <v>25</v>
      </c>
      <c r="K837">
        <v>4.8</v>
      </c>
      <c r="L837" s="3">
        <v>8.8000000000000007</v>
      </c>
      <c r="M837" t="s">
        <v>1034</v>
      </c>
      <c r="N837">
        <v>75.53</v>
      </c>
    </row>
    <row r="838" spans="1:14" x14ac:dyDescent="0.3">
      <c r="A838" t="s">
        <v>17</v>
      </c>
      <c r="B838" t="s">
        <v>1016</v>
      </c>
      <c r="C838" t="s">
        <v>1022</v>
      </c>
      <c r="D838">
        <v>39</v>
      </c>
      <c r="E838">
        <v>4</v>
      </c>
      <c r="F838" s="3">
        <v>39110</v>
      </c>
      <c r="G838">
        <v>45</v>
      </c>
      <c r="H838">
        <v>2</v>
      </c>
      <c r="I838">
        <v>2</v>
      </c>
      <c r="J838">
        <v>24</v>
      </c>
      <c r="K838">
        <v>2.2999999999999998</v>
      </c>
      <c r="L838" s="3">
        <v>8.9</v>
      </c>
      <c r="M838" t="s">
        <v>1034</v>
      </c>
      <c r="N838">
        <v>63.63</v>
      </c>
    </row>
    <row r="839" spans="1:14" x14ac:dyDescent="0.3">
      <c r="A839" t="s">
        <v>160</v>
      </c>
      <c r="B839" t="s">
        <v>1018</v>
      </c>
      <c r="C839" t="s">
        <v>1027</v>
      </c>
      <c r="D839">
        <v>42</v>
      </c>
      <c r="E839">
        <v>15</v>
      </c>
      <c r="F839" s="3">
        <v>57857</v>
      </c>
      <c r="G839">
        <v>39</v>
      </c>
      <c r="H839">
        <v>1</v>
      </c>
      <c r="I839">
        <v>14</v>
      </c>
      <c r="J839">
        <v>6</v>
      </c>
      <c r="K839">
        <v>4.4000000000000004</v>
      </c>
      <c r="L839" s="3">
        <v>8.9</v>
      </c>
      <c r="M839" t="s">
        <v>1034</v>
      </c>
      <c r="N839">
        <v>68.27</v>
      </c>
    </row>
    <row r="840" spans="1:14" x14ac:dyDescent="0.3">
      <c r="A840" t="s">
        <v>260</v>
      </c>
      <c r="B840" t="s">
        <v>1018</v>
      </c>
      <c r="C840" t="s">
        <v>1027</v>
      </c>
      <c r="D840">
        <v>53</v>
      </c>
      <c r="E840">
        <v>5</v>
      </c>
      <c r="F840" s="3">
        <v>85089</v>
      </c>
      <c r="G840">
        <v>52</v>
      </c>
      <c r="H840">
        <v>11</v>
      </c>
      <c r="I840">
        <v>1</v>
      </c>
      <c r="J840">
        <v>33</v>
      </c>
      <c r="K840">
        <v>2.1</v>
      </c>
      <c r="L840" s="3">
        <v>8.9</v>
      </c>
      <c r="M840" t="s">
        <v>1034</v>
      </c>
      <c r="N840">
        <v>78.03</v>
      </c>
    </row>
    <row r="841" spans="1:14" x14ac:dyDescent="0.3">
      <c r="A841" t="s">
        <v>347</v>
      </c>
      <c r="B841" t="s">
        <v>1014</v>
      </c>
      <c r="C841" t="s">
        <v>1031</v>
      </c>
      <c r="D841">
        <v>26</v>
      </c>
      <c r="E841">
        <v>1</v>
      </c>
      <c r="F841" s="3">
        <v>84145</v>
      </c>
      <c r="G841">
        <v>55</v>
      </c>
      <c r="H841">
        <v>8</v>
      </c>
      <c r="I841">
        <v>25</v>
      </c>
      <c r="J841">
        <v>8</v>
      </c>
      <c r="K841">
        <v>2.2999999999999998</v>
      </c>
      <c r="L841" s="3">
        <v>8.9</v>
      </c>
      <c r="M841" t="s">
        <v>1034</v>
      </c>
      <c r="N841">
        <v>73.63</v>
      </c>
    </row>
    <row r="842" spans="1:14" x14ac:dyDescent="0.3">
      <c r="A842" t="s">
        <v>419</v>
      </c>
      <c r="B842" t="s">
        <v>1017</v>
      </c>
      <c r="C842" t="s">
        <v>1030</v>
      </c>
      <c r="D842">
        <v>48</v>
      </c>
      <c r="E842">
        <v>5</v>
      </c>
      <c r="F842" s="3">
        <v>32409</v>
      </c>
      <c r="G842">
        <v>39</v>
      </c>
      <c r="H842">
        <v>12</v>
      </c>
      <c r="I842">
        <v>23</v>
      </c>
      <c r="J842">
        <v>3</v>
      </c>
      <c r="K842">
        <v>4.9000000000000004</v>
      </c>
      <c r="L842" s="3">
        <v>8.9</v>
      </c>
      <c r="M842" t="s">
        <v>1034</v>
      </c>
      <c r="N842">
        <v>88.1</v>
      </c>
    </row>
    <row r="843" spans="1:14" x14ac:dyDescent="0.3">
      <c r="A843" t="s">
        <v>458</v>
      </c>
      <c r="B843" t="s">
        <v>1014</v>
      </c>
      <c r="C843" t="s">
        <v>1031</v>
      </c>
      <c r="D843">
        <v>52</v>
      </c>
      <c r="E843">
        <v>5</v>
      </c>
      <c r="F843" s="3">
        <v>59961</v>
      </c>
      <c r="G843">
        <v>42</v>
      </c>
      <c r="H843">
        <v>3</v>
      </c>
      <c r="I843">
        <v>23</v>
      </c>
      <c r="J843">
        <v>25</v>
      </c>
      <c r="K843">
        <v>4.4000000000000004</v>
      </c>
      <c r="L843" s="3">
        <v>8.9</v>
      </c>
      <c r="M843" t="s">
        <v>1034</v>
      </c>
      <c r="N843">
        <v>71.599999999999994</v>
      </c>
    </row>
    <row r="844" spans="1:14" x14ac:dyDescent="0.3">
      <c r="A844" t="s">
        <v>521</v>
      </c>
      <c r="B844" t="s">
        <v>1017</v>
      </c>
      <c r="C844" t="s">
        <v>1030</v>
      </c>
      <c r="D844">
        <v>41</v>
      </c>
      <c r="E844">
        <v>7</v>
      </c>
      <c r="F844" s="3">
        <v>41213</v>
      </c>
      <c r="G844">
        <v>44</v>
      </c>
      <c r="H844">
        <v>8</v>
      </c>
      <c r="I844">
        <v>20</v>
      </c>
      <c r="J844">
        <v>8</v>
      </c>
      <c r="K844">
        <v>2.4</v>
      </c>
      <c r="L844" s="3">
        <v>8.9</v>
      </c>
      <c r="M844" t="s">
        <v>1034</v>
      </c>
      <c r="N844">
        <v>73.930000000000007</v>
      </c>
    </row>
    <row r="845" spans="1:14" x14ac:dyDescent="0.3">
      <c r="A845" t="s">
        <v>579</v>
      </c>
      <c r="B845" t="s">
        <v>1015</v>
      </c>
      <c r="C845" t="s">
        <v>1029</v>
      </c>
      <c r="D845">
        <v>32</v>
      </c>
      <c r="E845">
        <v>5</v>
      </c>
      <c r="F845" s="3">
        <v>29444</v>
      </c>
      <c r="G845">
        <v>52</v>
      </c>
      <c r="H845">
        <v>9</v>
      </c>
      <c r="I845">
        <v>23</v>
      </c>
      <c r="J845">
        <v>7</v>
      </c>
      <c r="K845">
        <v>2.6</v>
      </c>
      <c r="L845" s="3">
        <v>8.9</v>
      </c>
      <c r="M845" t="s">
        <v>1034</v>
      </c>
      <c r="N845">
        <v>76.2</v>
      </c>
    </row>
    <row r="846" spans="1:14" x14ac:dyDescent="0.3">
      <c r="A846" t="s">
        <v>635</v>
      </c>
      <c r="B846" t="s">
        <v>1017</v>
      </c>
      <c r="C846" t="s">
        <v>1026</v>
      </c>
      <c r="D846">
        <v>49</v>
      </c>
      <c r="E846">
        <v>6</v>
      </c>
      <c r="F846" s="3">
        <v>68416</v>
      </c>
      <c r="G846">
        <v>40</v>
      </c>
      <c r="H846">
        <v>8</v>
      </c>
      <c r="I846">
        <v>4</v>
      </c>
      <c r="J846">
        <v>12</v>
      </c>
      <c r="K846">
        <v>3.7</v>
      </c>
      <c r="L846" s="3">
        <v>8.9</v>
      </c>
      <c r="M846" t="s">
        <v>1034</v>
      </c>
      <c r="N846">
        <v>77.83</v>
      </c>
    </row>
    <row r="847" spans="1:14" x14ac:dyDescent="0.3">
      <c r="A847" t="s">
        <v>672</v>
      </c>
      <c r="B847" t="s">
        <v>1017</v>
      </c>
      <c r="C847" t="s">
        <v>1030</v>
      </c>
      <c r="D847">
        <v>43</v>
      </c>
      <c r="E847">
        <v>12</v>
      </c>
      <c r="F847" s="3">
        <v>46249</v>
      </c>
      <c r="G847">
        <v>38</v>
      </c>
      <c r="H847">
        <v>11</v>
      </c>
      <c r="I847">
        <v>18</v>
      </c>
      <c r="J847">
        <v>34</v>
      </c>
      <c r="K847">
        <v>2.4</v>
      </c>
      <c r="L847" s="3">
        <v>8.9</v>
      </c>
      <c r="M847" t="s">
        <v>1034</v>
      </c>
      <c r="N847">
        <v>78.930000000000007</v>
      </c>
    </row>
    <row r="848" spans="1:14" x14ac:dyDescent="0.3">
      <c r="A848" t="s">
        <v>814</v>
      </c>
      <c r="B848" t="s">
        <v>1014</v>
      </c>
      <c r="C848" t="s">
        <v>1025</v>
      </c>
      <c r="D848">
        <v>43</v>
      </c>
      <c r="E848">
        <v>0</v>
      </c>
      <c r="F848" s="3">
        <v>31728</v>
      </c>
      <c r="G848">
        <v>55</v>
      </c>
      <c r="H848">
        <v>14</v>
      </c>
      <c r="I848">
        <v>22</v>
      </c>
      <c r="J848">
        <v>27</v>
      </c>
      <c r="K848">
        <v>4.9000000000000004</v>
      </c>
      <c r="L848" s="3">
        <v>8.9</v>
      </c>
      <c r="M848" t="s">
        <v>1034</v>
      </c>
      <c r="N848">
        <v>91.43</v>
      </c>
    </row>
    <row r="849" spans="1:14" x14ac:dyDescent="0.3">
      <c r="A849" t="s">
        <v>868</v>
      </c>
      <c r="B849" t="s">
        <v>1017</v>
      </c>
      <c r="C849" t="s">
        <v>1024</v>
      </c>
      <c r="D849">
        <v>29</v>
      </c>
      <c r="E849">
        <v>5</v>
      </c>
      <c r="F849" s="3">
        <v>88703</v>
      </c>
      <c r="G849">
        <v>47</v>
      </c>
      <c r="H849">
        <v>14</v>
      </c>
      <c r="I849">
        <v>19</v>
      </c>
      <c r="J849">
        <v>22</v>
      </c>
      <c r="K849">
        <v>3.2</v>
      </c>
      <c r="L849" s="3">
        <v>8.9</v>
      </c>
      <c r="M849" t="s">
        <v>1034</v>
      </c>
      <c r="N849">
        <v>86.33</v>
      </c>
    </row>
    <row r="850" spans="1:14" x14ac:dyDescent="0.3">
      <c r="A850" t="s">
        <v>878</v>
      </c>
      <c r="B850" t="s">
        <v>1014</v>
      </c>
      <c r="C850" t="s">
        <v>1019</v>
      </c>
      <c r="D850">
        <v>23</v>
      </c>
      <c r="E850">
        <v>1</v>
      </c>
      <c r="F850" s="3">
        <v>53308</v>
      </c>
      <c r="G850">
        <v>35</v>
      </c>
      <c r="H850">
        <v>10</v>
      </c>
      <c r="I850">
        <v>25</v>
      </c>
      <c r="J850">
        <v>40</v>
      </c>
      <c r="K850">
        <v>4.8</v>
      </c>
      <c r="L850" s="3">
        <v>8.9</v>
      </c>
      <c r="M850" t="s">
        <v>1034</v>
      </c>
      <c r="N850">
        <v>84.47</v>
      </c>
    </row>
    <row r="851" spans="1:14" x14ac:dyDescent="0.3">
      <c r="A851" t="s">
        <v>19</v>
      </c>
      <c r="B851" t="s">
        <v>1016</v>
      </c>
      <c r="C851" t="s">
        <v>1023</v>
      </c>
      <c r="D851">
        <v>34</v>
      </c>
      <c r="E851">
        <v>11</v>
      </c>
      <c r="F851" s="3">
        <v>29558</v>
      </c>
      <c r="G851">
        <v>36</v>
      </c>
      <c r="H851">
        <v>11</v>
      </c>
      <c r="I851">
        <v>7</v>
      </c>
      <c r="J851">
        <v>18</v>
      </c>
      <c r="K851">
        <v>5</v>
      </c>
      <c r="L851" s="3">
        <v>9</v>
      </c>
      <c r="M851" t="s">
        <v>1034</v>
      </c>
      <c r="N851">
        <v>87.33</v>
      </c>
    </row>
    <row r="852" spans="1:14" x14ac:dyDescent="0.3">
      <c r="A852" t="s">
        <v>33</v>
      </c>
      <c r="B852" t="s">
        <v>1018</v>
      </c>
      <c r="C852" t="s">
        <v>1028</v>
      </c>
      <c r="D852">
        <v>22</v>
      </c>
      <c r="E852">
        <v>0</v>
      </c>
      <c r="F852" s="3">
        <v>71389</v>
      </c>
      <c r="G852">
        <v>55</v>
      </c>
      <c r="H852">
        <v>1</v>
      </c>
      <c r="I852">
        <v>7</v>
      </c>
      <c r="J852">
        <v>4</v>
      </c>
      <c r="K852">
        <v>4.7</v>
      </c>
      <c r="L852" s="3">
        <v>9</v>
      </c>
      <c r="M852" t="s">
        <v>1034</v>
      </c>
      <c r="N852">
        <v>69.77</v>
      </c>
    </row>
    <row r="853" spans="1:14" x14ac:dyDescent="0.3">
      <c r="A853" t="s">
        <v>37</v>
      </c>
      <c r="B853" t="s">
        <v>1018</v>
      </c>
      <c r="C853" t="s">
        <v>1028</v>
      </c>
      <c r="D853">
        <v>49</v>
      </c>
      <c r="E853">
        <v>5</v>
      </c>
      <c r="F853" s="3">
        <v>43254</v>
      </c>
      <c r="G853">
        <v>49</v>
      </c>
      <c r="H853">
        <v>4</v>
      </c>
      <c r="I853">
        <v>2</v>
      </c>
      <c r="J853">
        <v>28</v>
      </c>
      <c r="K853">
        <v>4.4000000000000004</v>
      </c>
      <c r="L853" s="3">
        <v>9</v>
      </c>
      <c r="M853" t="s">
        <v>1034</v>
      </c>
      <c r="N853">
        <v>73.87</v>
      </c>
    </row>
    <row r="854" spans="1:14" x14ac:dyDescent="0.3">
      <c r="A854" t="s">
        <v>70</v>
      </c>
      <c r="B854" t="s">
        <v>1017</v>
      </c>
      <c r="C854" t="s">
        <v>1026</v>
      </c>
      <c r="D854">
        <v>23</v>
      </c>
      <c r="E854">
        <v>2</v>
      </c>
      <c r="F854" s="3">
        <v>49928</v>
      </c>
      <c r="G854">
        <v>50</v>
      </c>
      <c r="H854">
        <v>1</v>
      </c>
      <c r="I854">
        <v>11</v>
      </c>
      <c r="J854">
        <v>19</v>
      </c>
      <c r="K854">
        <v>4.3</v>
      </c>
      <c r="L854" s="3">
        <v>9</v>
      </c>
      <c r="M854" t="s">
        <v>1034</v>
      </c>
      <c r="N854">
        <v>68.569999999999993</v>
      </c>
    </row>
    <row r="855" spans="1:14" x14ac:dyDescent="0.3">
      <c r="A855" t="s">
        <v>310</v>
      </c>
      <c r="B855" t="s">
        <v>1017</v>
      </c>
      <c r="C855" t="s">
        <v>1026</v>
      </c>
      <c r="D855">
        <v>39</v>
      </c>
      <c r="E855">
        <v>10</v>
      </c>
      <c r="F855" s="3">
        <v>79286</v>
      </c>
      <c r="G855">
        <v>44</v>
      </c>
      <c r="H855">
        <v>6</v>
      </c>
      <c r="I855">
        <v>17</v>
      </c>
      <c r="J855">
        <v>36</v>
      </c>
      <c r="K855">
        <v>2.4</v>
      </c>
      <c r="L855" s="3">
        <v>9</v>
      </c>
      <c r="M855" t="s">
        <v>1034</v>
      </c>
      <c r="N855">
        <v>71.2</v>
      </c>
    </row>
    <row r="856" spans="1:14" x14ac:dyDescent="0.3">
      <c r="A856" t="s">
        <v>344</v>
      </c>
      <c r="B856" t="s">
        <v>1017</v>
      </c>
      <c r="C856" t="s">
        <v>1024</v>
      </c>
      <c r="D856">
        <v>54</v>
      </c>
      <c r="E856">
        <v>1</v>
      </c>
      <c r="F856" s="3">
        <v>69379</v>
      </c>
      <c r="G856">
        <v>44</v>
      </c>
      <c r="H856">
        <v>5</v>
      </c>
      <c r="I856">
        <v>5</v>
      </c>
      <c r="J856">
        <v>1</v>
      </c>
      <c r="K856">
        <v>4.9000000000000004</v>
      </c>
      <c r="L856" s="3">
        <v>9</v>
      </c>
      <c r="M856" t="s">
        <v>1034</v>
      </c>
      <c r="N856">
        <v>77.03</v>
      </c>
    </row>
    <row r="857" spans="1:14" x14ac:dyDescent="0.3">
      <c r="A857" t="s">
        <v>400</v>
      </c>
      <c r="B857" t="s">
        <v>1017</v>
      </c>
      <c r="C857" t="s">
        <v>1030</v>
      </c>
      <c r="D857">
        <v>34</v>
      </c>
      <c r="E857">
        <v>8</v>
      </c>
      <c r="F857" s="3">
        <v>32852</v>
      </c>
      <c r="G857">
        <v>47</v>
      </c>
      <c r="H857">
        <v>9</v>
      </c>
      <c r="I857">
        <v>9</v>
      </c>
      <c r="J857">
        <v>26</v>
      </c>
      <c r="K857">
        <v>2.2000000000000002</v>
      </c>
      <c r="L857" s="3">
        <v>9</v>
      </c>
      <c r="M857" t="s">
        <v>1034</v>
      </c>
      <c r="N857">
        <v>75.599999999999994</v>
      </c>
    </row>
    <row r="858" spans="1:14" x14ac:dyDescent="0.3">
      <c r="A858" t="s">
        <v>420</v>
      </c>
      <c r="B858" t="s">
        <v>1017</v>
      </c>
      <c r="C858" t="s">
        <v>1024</v>
      </c>
      <c r="D858">
        <v>52</v>
      </c>
      <c r="E858">
        <v>14</v>
      </c>
      <c r="F858" s="3">
        <v>36879</v>
      </c>
      <c r="G858">
        <v>54</v>
      </c>
      <c r="H858">
        <v>7</v>
      </c>
      <c r="I858">
        <v>24</v>
      </c>
      <c r="J858">
        <v>22</v>
      </c>
      <c r="K858">
        <v>3.8</v>
      </c>
      <c r="L858" s="3">
        <v>9</v>
      </c>
      <c r="M858" t="s">
        <v>1034</v>
      </c>
      <c r="N858">
        <v>77.069999999999993</v>
      </c>
    </row>
    <row r="859" spans="1:14" x14ac:dyDescent="0.3">
      <c r="A859" t="s">
        <v>489</v>
      </c>
      <c r="B859" t="s">
        <v>1018</v>
      </c>
      <c r="C859" t="s">
        <v>1027</v>
      </c>
      <c r="D859">
        <v>45</v>
      </c>
      <c r="E859">
        <v>15</v>
      </c>
      <c r="F859" s="3">
        <v>41631</v>
      </c>
      <c r="G859">
        <v>44</v>
      </c>
      <c r="H859">
        <v>10</v>
      </c>
      <c r="I859">
        <v>11</v>
      </c>
      <c r="J859">
        <v>25</v>
      </c>
      <c r="K859">
        <v>4.2</v>
      </c>
      <c r="L859" s="3">
        <v>9</v>
      </c>
      <c r="M859" t="s">
        <v>1034</v>
      </c>
      <c r="N859">
        <v>83.27</v>
      </c>
    </row>
    <row r="860" spans="1:14" x14ac:dyDescent="0.3">
      <c r="A860" t="s">
        <v>512</v>
      </c>
      <c r="B860" t="s">
        <v>1017</v>
      </c>
      <c r="C860" t="s">
        <v>1030</v>
      </c>
      <c r="D860">
        <v>30</v>
      </c>
      <c r="E860">
        <v>8</v>
      </c>
      <c r="F860" s="3">
        <v>59995</v>
      </c>
      <c r="G860">
        <v>45</v>
      </c>
      <c r="H860">
        <v>13</v>
      </c>
      <c r="I860">
        <v>15</v>
      </c>
      <c r="J860">
        <v>19</v>
      </c>
      <c r="K860">
        <v>2.8</v>
      </c>
      <c r="L860" s="3">
        <v>9</v>
      </c>
      <c r="M860" t="s">
        <v>1034</v>
      </c>
      <c r="N860">
        <v>84.07</v>
      </c>
    </row>
    <row r="861" spans="1:14" x14ac:dyDescent="0.3">
      <c r="A861" t="s">
        <v>528</v>
      </c>
      <c r="B861" t="s">
        <v>1017</v>
      </c>
      <c r="C861" t="s">
        <v>1030</v>
      </c>
      <c r="D861">
        <v>37</v>
      </c>
      <c r="E861">
        <v>8</v>
      </c>
      <c r="F861" s="3">
        <v>43656</v>
      </c>
      <c r="G861">
        <v>55</v>
      </c>
      <c r="H861">
        <v>12</v>
      </c>
      <c r="I861">
        <v>17</v>
      </c>
      <c r="J861">
        <v>17</v>
      </c>
      <c r="K861">
        <v>3.2</v>
      </c>
      <c r="L861" s="3">
        <v>9</v>
      </c>
      <c r="M861" t="s">
        <v>1034</v>
      </c>
      <c r="N861">
        <v>83.6</v>
      </c>
    </row>
    <row r="862" spans="1:14" x14ac:dyDescent="0.3">
      <c r="A862" t="s">
        <v>597</v>
      </c>
      <c r="B862" t="s">
        <v>1015</v>
      </c>
      <c r="C862" t="s">
        <v>1020</v>
      </c>
      <c r="D862">
        <v>39</v>
      </c>
      <c r="E862">
        <v>6</v>
      </c>
      <c r="F862" s="3">
        <v>28205</v>
      </c>
      <c r="G862">
        <v>40</v>
      </c>
      <c r="H862">
        <v>3</v>
      </c>
      <c r="I862">
        <v>1</v>
      </c>
      <c r="J862">
        <v>22</v>
      </c>
      <c r="K862">
        <v>2.1</v>
      </c>
      <c r="L862" s="3">
        <v>9</v>
      </c>
      <c r="M862" t="s">
        <v>1034</v>
      </c>
      <c r="N862">
        <v>65.3</v>
      </c>
    </row>
    <row r="863" spans="1:14" x14ac:dyDescent="0.3">
      <c r="A863" t="s">
        <v>728</v>
      </c>
      <c r="B863" t="s">
        <v>1018</v>
      </c>
      <c r="C863" t="s">
        <v>1028</v>
      </c>
      <c r="D863">
        <v>50</v>
      </c>
      <c r="E863">
        <v>10</v>
      </c>
      <c r="F863" s="3">
        <v>36285</v>
      </c>
      <c r="G863">
        <v>44</v>
      </c>
      <c r="H863">
        <v>1</v>
      </c>
      <c r="I863">
        <v>23</v>
      </c>
      <c r="J863">
        <v>7</v>
      </c>
      <c r="K863">
        <v>2.7</v>
      </c>
      <c r="L863" s="3">
        <v>9</v>
      </c>
      <c r="M863" t="s">
        <v>1034</v>
      </c>
      <c r="N863">
        <v>63.77</v>
      </c>
    </row>
    <row r="864" spans="1:14" x14ac:dyDescent="0.3">
      <c r="A864" t="s">
        <v>746</v>
      </c>
      <c r="B864" t="s">
        <v>1015</v>
      </c>
      <c r="C864" t="s">
        <v>1021</v>
      </c>
      <c r="D864">
        <v>23</v>
      </c>
      <c r="E864">
        <v>0</v>
      </c>
      <c r="F864" s="3">
        <v>89927</v>
      </c>
      <c r="G864">
        <v>48</v>
      </c>
      <c r="H864">
        <v>15</v>
      </c>
      <c r="I864">
        <v>3</v>
      </c>
      <c r="J864">
        <v>24</v>
      </c>
      <c r="K864">
        <v>3.4</v>
      </c>
      <c r="L864" s="3">
        <v>9</v>
      </c>
      <c r="M864" t="s">
        <v>1034</v>
      </c>
      <c r="N864">
        <v>89.2</v>
      </c>
    </row>
    <row r="865" spans="1:14" x14ac:dyDescent="0.3">
      <c r="A865" t="s">
        <v>799</v>
      </c>
      <c r="B865" t="s">
        <v>1015</v>
      </c>
      <c r="C865" t="s">
        <v>1029</v>
      </c>
      <c r="D865">
        <v>46</v>
      </c>
      <c r="E865">
        <v>2</v>
      </c>
      <c r="F865" s="3">
        <v>51139</v>
      </c>
      <c r="G865">
        <v>43</v>
      </c>
      <c r="H865">
        <v>3</v>
      </c>
      <c r="I865">
        <v>7</v>
      </c>
      <c r="J865">
        <v>25</v>
      </c>
      <c r="K865">
        <v>2.2999999999999998</v>
      </c>
      <c r="L865" s="3">
        <v>9</v>
      </c>
      <c r="M865" t="s">
        <v>1034</v>
      </c>
      <c r="N865">
        <v>65.900000000000006</v>
      </c>
    </row>
    <row r="866" spans="1:14" x14ac:dyDescent="0.3">
      <c r="A866" t="s">
        <v>818</v>
      </c>
      <c r="B866" t="s">
        <v>1017</v>
      </c>
      <c r="C866" t="s">
        <v>1024</v>
      </c>
      <c r="D866">
        <v>44</v>
      </c>
      <c r="E866">
        <v>14</v>
      </c>
      <c r="F866" s="3">
        <v>40211</v>
      </c>
      <c r="G866">
        <v>51</v>
      </c>
      <c r="H866">
        <v>4</v>
      </c>
      <c r="I866">
        <v>18</v>
      </c>
      <c r="J866">
        <v>21</v>
      </c>
      <c r="K866">
        <v>4.8</v>
      </c>
      <c r="L866" s="3">
        <v>9</v>
      </c>
      <c r="M866" t="s">
        <v>1034</v>
      </c>
      <c r="N866">
        <v>75.069999999999993</v>
      </c>
    </row>
    <row r="867" spans="1:14" x14ac:dyDescent="0.3">
      <c r="A867" t="s">
        <v>853</v>
      </c>
      <c r="B867" t="s">
        <v>1017</v>
      </c>
      <c r="C867" t="s">
        <v>1030</v>
      </c>
      <c r="D867">
        <v>27</v>
      </c>
      <c r="E867">
        <v>6</v>
      </c>
      <c r="F867" s="3">
        <v>59966</v>
      </c>
      <c r="G867">
        <v>54</v>
      </c>
      <c r="H867">
        <v>6</v>
      </c>
      <c r="I867">
        <v>12</v>
      </c>
      <c r="J867">
        <v>37</v>
      </c>
      <c r="K867">
        <v>2.1</v>
      </c>
      <c r="L867" s="3">
        <v>9</v>
      </c>
      <c r="M867" t="s">
        <v>1034</v>
      </c>
      <c r="N867">
        <v>70.3</v>
      </c>
    </row>
    <row r="868" spans="1:14" x14ac:dyDescent="0.3">
      <c r="A868" t="s">
        <v>1007</v>
      </c>
      <c r="B868" t="s">
        <v>1015</v>
      </c>
      <c r="C868" t="s">
        <v>1021</v>
      </c>
      <c r="D868">
        <v>40</v>
      </c>
      <c r="E868">
        <v>8</v>
      </c>
      <c r="F868" s="3">
        <v>87430</v>
      </c>
      <c r="G868">
        <v>48</v>
      </c>
      <c r="H868">
        <v>9</v>
      </c>
      <c r="I868">
        <v>22</v>
      </c>
      <c r="J868">
        <v>14</v>
      </c>
      <c r="K868">
        <v>2.9</v>
      </c>
      <c r="L868" s="3">
        <v>9</v>
      </c>
      <c r="M868" t="s">
        <v>1034</v>
      </c>
      <c r="N868">
        <v>77.7</v>
      </c>
    </row>
    <row r="869" spans="1:14" x14ac:dyDescent="0.3">
      <c r="A869" t="s">
        <v>38</v>
      </c>
      <c r="B869" t="s">
        <v>1014</v>
      </c>
      <c r="C869" t="s">
        <v>1019</v>
      </c>
      <c r="D869">
        <v>22</v>
      </c>
      <c r="E869">
        <v>0</v>
      </c>
      <c r="F869" s="3">
        <v>85710</v>
      </c>
      <c r="G869">
        <v>42</v>
      </c>
      <c r="H869">
        <v>3</v>
      </c>
      <c r="I869">
        <v>13</v>
      </c>
      <c r="J869">
        <v>31</v>
      </c>
      <c r="K869">
        <v>3.4</v>
      </c>
      <c r="L869" s="3">
        <v>9.1</v>
      </c>
      <c r="M869" t="s">
        <v>1034</v>
      </c>
      <c r="N869">
        <v>69.8</v>
      </c>
    </row>
    <row r="870" spans="1:14" x14ac:dyDescent="0.3">
      <c r="A870" t="s">
        <v>54</v>
      </c>
      <c r="B870" t="s">
        <v>1016</v>
      </c>
      <c r="C870" t="s">
        <v>1033</v>
      </c>
      <c r="D870">
        <v>41</v>
      </c>
      <c r="E870">
        <v>7</v>
      </c>
      <c r="F870" s="3">
        <v>39609</v>
      </c>
      <c r="G870">
        <v>35</v>
      </c>
      <c r="H870">
        <v>11</v>
      </c>
      <c r="I870">
        <v>6</v>
      </c>
      <c r="J870">
        <v>25</v>
      </c>
      <c r="K870">
        <v>3</v>
      </c>
      <c r="L870" s="3">
        <v>9.1</v>
      </c>
      <c r="M870" t="s">
        <v>1034</v>
      </c>
      <c r="N870">
        <v>81.93</v>
      </c>
    </row>
    <row r="871" spans="1:14" x14ac:dyDescent="0.3">
      <c r="A871" t="s">
        <v>244</v>
      </c>
      <c r="B871" t="s">
        <v>1015</v>
      </c>
      <c r="C871" t="s">
        <v>1029</v>
      </c>
      <c r="D871">
        <v>46</v>
      </c>
      <c r="E871">
        <v>7</v>
      </c>
      <c r="F871" s="3">
        <v>41220</v>
      </c>
      <c r="G871">
        <v>49</v>
      </c>
      <c r="H871">
        <v>6</v>
      </c>
      <c r="I871">
        <v>4</v>
      </c>
      <c r="J871">
        <v>17</v>
      </c>
      <c r="K871">
        <v>2.6</v>
      </c>
      <c r="L871" s="3">
        <v>9.1</v>
      </c>
      <c r="M871" t="s">
        <v>1034</v>
      </c>
      <c r="N871">
        <v>72.400000000000006</v>
      </c>
    </row>
    <row r="872" spans="1:14" x14ac:dyDescent="0.3">
      <c r="A872" t="s">
        <v>308</v>
      </c>
      <c r="B872" t="s">
        <v>1014</v>
      </c>
      <c r="C872" t="s">
        <v>1025</v>
      </c>
      <c r="D872">
        <v>47</v>
      </c>
      <c r="E872">
        <v>8</v>
      </c>
      <c r="F872" s="3">
        <v>70528</v>
      </c>
      <c r="G872">
        <v>46</v>
      </c>
      <c r="H872">
        <v>8</v>
      </c>
      <c r="I872">
        <v>15</v>
      </c>
      <c r="J872">
        <v>20</v>
      </c>
      <c r="K872">
        <v>3.7</v>
      </c>
      <c r="L872" s="3">
        <v>9.1</v>
      </c>
      <c r="M872" t="s">
        <v>1034</v>
      </c>
      <c r="N872">
        <v>79.03</v>
      </c>
    </row>
    <row r="873" spans="1:14" x14ac:dyDescent="0.3">
      <c r="A873" t="s">
        <v>336</v>
      </c>
      <c r="B873" t="s">
        <v>1018</v>
      </c>
      <c r="C873" t="s">
        <v>1032</v>
      </c>
      <c r="D873">
        <v>22</v>
      </c>
      <c r="E873">
        <v>1</v>
      </c>
      <c r="F873" s="3">
        <v>26566</v>
      </c>
      <c r="G873">
        <v>42</v>
      </c>
      <c r="H873">
        <v>9</v>
      </c>
      <c r="I873">
        <v>11</v>
      </c>
      <c r="J873">
        <v>40</v>
      </c>
      <c r="K873">
        <v>4.5</v>
      </c>
      <c r="L873" s="3">
        <v>9.1</v>
      </c>
      <c r="M873" t="s">
        <v>1034</v>
      </c>
      <c r="N873">
        <v>83.1</v>
      </c>
    </row>
    <row r="874" spans="1:14" x14ac:dyDescent="0.3">
      <c r="A874" t="s">
        <v>378</v>
      </c>
      <c r="B874" t="s">
        <v>1014</v>
      </c>
      <c r="C874" t="s">
        <v>1025</v>
      </c>
      <c r="D874">
        <v>46</v>
      </c>
      <c r="E874">
        <v>12</v>
      </c>
      <c r="F874" s="3">
        <v>61179</v>
      </c>
      <c r="G874">
        <v>45</v>
      </c>
      <c r="H874">
        <v>14</v>
      </c>
      <c r="I874">
        <v>8</v>
      </c>
      <c r="J874">
        <v>33</v>
      </c>
      <c r="K874">
        <v>3.4</v>
      </c>
      <c r="L874" s="3">
        <v>9.1</v>
      </c>
      <c r="M874" t="s">
        <v>1034</v>
      </c>
      <c r="N874">
        <v>88.13</v>
      </c>
    </row>
    <row r="875" spans="1:14" x14ac:dyDescent="0.3">
      <c r="A875" t="s">
        <v>384</v>
      </c>
      <c r="B875" t="s">
        <v>1016</v>
      </c>
      <c r="C875" t="s">
        <v>1023</v>
      </c>
      <c r="D875">
        <v>48</v>
      </c>
      <c r="E875">
        <v>2</v>
      </c>
      <c r="F875" s="3">
        <v>37316</v>
      </c>
      <c r="G875">
        <v>49</v>
      </c>
      <c r="H875">
        <v>4</v>
      </c>
      <c r="I875">
        <v>13</v>
      </c>
      <c r="J875">
        <v>31</v>
      </c>
      <c r="K875">
        <v>4.3</v>
      </c>
      <c r="L875" s="3">
        <v>9.1</v>
      </c>
      <c r="M875" t="s">
        <v>1034</v>
      </c>
      <c r="N875">
        <v>74.17</v>
      </c>
    </row>
    <row r="876" spans="1:14" x14ac:dyDescent="0.3">
      <c r="A876" t="s">
        <v>387</v>
      </c>
      <c r="B876" t="s">
        <v>1017</v>
      </c>
      <c r="C876" t="s">
        <v>1024</v>
      </c>
      <c r="D876">
        <v>29</v>
      </c>
      <c r="E876">
        <v>0</v>
      </c>
      <c r="F876" s="3">
        <v>40855</v>
      </c>
      <c r="G876">
        <v>46</v>
      </c>
      <c r="H876">
        <v>8</v>
      </c>
      <c r="I876">
        <v>19</v>
      </c>
      <c r="J876">
        <v>28</v>
      </c>
      <c r="K876">
        <v>2.5</v>
      </c>
      <c r="L876" s="3">
        <v>9.1</v>
      </c>
      <c r="M876" t="s">
        <v>1034</v>
      </c>
      <c r="N876">
        <v>75.430000000000007</v>
      </c>
    </row>
    <row r="877" spans="1:14" x14ac:dyDescent="0.3">
      <c r="A877" t="s">
        <v>396</v>
      </c>
      <c r="B877" t="s">
        <v>1016</v>
      </c>
      <c r="C877" t="s">
        <v>1023</v>
      </c>
      <c r="D877">
        <v>36</v>
      </c>
      <c r="E877">
        <v>15</v>
      </c>
      <c r="F877" s="3">
        <v>84410</v>
      </c>
      <c r="G877">
        <v>46</v>
      </c>
      <c r="H877">
        <v>9</v>
      </c>
      <c r="I877">
        <v>9</v>
      </c>
      <c r="J877">
        <v>10</v>
      </c>
      <c r="K877">
        <v>4.5</v>
      </c>
      <c r="L877" s="3">
        <v>9.1</v>
      </c>
      <c r="M877" t="s">
        <v>1034</v>
      </c>
      <c r="N877">
        <v>83.1</v>
      </c>
    </row>
    <row r="878" spans="1:14" x14ac:dyDescent="0.3">
      <c r="A878" t="s">
        <v>692</v>
      </c>
      <c r="B878" t="s">
        <v>1015</v>
      </c>
      <c r="C878" t="s">
        <v>1020</v>
      </c>
      <c r="D878">
        <v>23</v>
      </c>
      <c r="E878">
        <v>1</v>
      </c>
      <c r="F878" s="3">
        <v>55393</v>
      </c>
      <c r="G878">
        <v>39</v>
      </c>
      <c r="H878">
        <v>14</v>
      </c>
      <c r="I878">
        <v>22</v>
      </c>
      <c r="J878">
        <v>25</v>
      </c>
      <c r="K878">
        <v>2.6</v>
      </c>
      <c r="L878" s="3">
        <v>9.1</v>
      </c>
      <c r="M878" t="s">
        <v>1034</v>
      </c>
      <c r="N878">
        <v>85.73</v>
      </c>
    </row>
    <row r="879" spans="1:14" x14ac:dyDescent="0.3">
      <c r="A879" t="s">
        <v>807</v>
      </c>
      <c r="B879" t="s">
        <v>1014</v>
      </c>
      <c r="C879" t="s">
        <v>1031</v>
      </c>
      <c r="D879">
        <v>29</v>
      </c>
      <c r="E879">
        <v>7</v>
      </c>
      <c r="F879" s="3">
        <v>36767</v>
      </c>
      <c r="G879">
        <v>40</v>
      </c>
      <c r="H879">
        <v>14</v>
      </c>
      <c r="I879">
        <v>12</v>
      </c>
      <c r="J879">
        <v>2</v>
      </c>
      <c r="K879">
        <v>2.2000000000000002</v>
      </c>
      <c r="L879" s="3">
        <v>9.1</v>
      </c>
      <c r="M879" t="s">
        <v>1034</v>
      </c>
      <c r="N879">
        <v>84.53</v>
      </c>
    </row>
    <row r="880" spans="1:14" x14ac:dyDescent="0.3">
      <c r="A880" t="s">
        <v>846</v>
      </c>
      <c r="B880" t="s">
        <v>1016</v>
      </c>
      <c r="C880" t="s">
        <v>1033</v>
      </c>
      <c r="D880">
        <v>35</v>
      </c>
      <c r="E880">
        <v>2</v>
      </c>
      <c r="F880" s="3">
        <v>78682</v>
      </c>
      <c r="G880">
        <v>50</v>
      </c>
      <c r="H880">
        <v>1</v>
      </c>
      <c r="I880">
        <v>3</v>
      </c>
      <c r="J880">
        <v>35</v>
      </c>
      <c r="K880">
        <v>3</v>
      </c>
      <c r="L880" s="3">
        <v>9.1</v>
      </c>
      <c r="M880" t="s">
        <v>1034</v>
      </c>
      <c r="N880">
        <v>65.27</v>
      </c>
    </row>
    <row r="881" spans="1:14" x14ac:dyDescent="0.3">
      <c r="A881" t="s">
        <v>965</v>
      </c>
      <c r="B881" t="s">
        <v>1016</v>
      </c>
      <c r="C881" t="s">
        <v>1033</v>
      </c>
      <c r="D881">
        <v>28</v>
      </c>
      <c r="E881">
        <v>0</v>
      </c>
      <c r="F881" s="3">
        <v>54944</v>
      </c>
      <c r="G881">
        <v>47</v>
      </c>
      <c r="H881">
        <v>12</v>
      </c>
      <c r="I881">
        <v>4</v>
      </c>
      <c r="J881">
        <v>1</v>
      </c>
      <c r="K881">
        <v>3.8</v>
      </c>
      <c r="L881" s="3">
        <v>9.1</v>
      </c>
      <c r="M881" t="s">
        <v>1034</v>
      </c>
      <c r="N881">
        <v>86</v>
      </c>
    </row>
    <row r="882" spans="1:14" x14ac:dyDescent="0.3">
      <c r="A882" t="s">
        <v>987</v>
      </c>
      <c r="B882" t="s">
        <v>1015</v>
      </c>
      <c r="C882" t="s">
        <v>1020</v>
      </c>
      <c r="D882">
        <v>33</v>
      </c>
      <c r="E882">
        <v>10</v>
      </c>
      <c r="F882" s="3">
        <v>73837</v>
      </c>
      <c r="G882">
        <v>47</v>
      </c>
      <c r="H882">
        <v>13</v>
      </c>
      <c r="I882">
        <v>22</v>
      </c>
      <c r="J882">
        <v>5</v>
      </c>
      <c r="K882">
        <v>4.3</v>
      </c>
      <c r="L882" s="3">
        <v>9.1</v>
      </c>
      <c r="M882" t="s">
        <v>1034</v>
      </c>
      <c r="N882">
        <v>89.17</v>
      </c>
    </row>
    <row r="883" spans="1:14" x14ac:dyDescent="0.3">
      <c r="A883" t="s">
        <v>14</v>
      </c>
      <c r="B883" t="s">
        <v>1014</v>
      </c>
      <c r="C883" t="s">
        <v>1019</v>
      </c>
      <c r="D883">
        <v>23</v>
      </c>
      <c r="E883">
        <v>2</v>
      </c>
      <c r="F883" s="3">
        <v>43024</v>
      </c>
      <c r="G883">
        <v>42</v>
      </c>
      <c r="H883">
        <v>4</v>
      </c>
      <c r="I883">
        <v>4</v>
      </c>
      <c r="J883">
        <v>6</v>
      </c>
      <c r="K883">
        <v>4</v>
      </c>
      <c r="L883" s="3">
        <v>9.1999999999999993</v>
      </c>
      <c r="M883" t="s">
        <v>1034</v>
      </c>
      <c r="N883">
        <v>73.87</v>
      </c>
    </row>
    <row r="884" spans="1:14" x14ac:dyDescent="0.3">
      <c r="A884" t="s">
        <v>34</v>
      </c>
      <c r="B884" t="s">
        <v>1015</v>
      </c>
      <c r="C884" t="s">
        <v>1020</v>
      </c>
      <c r="D884">
        <v>37</v>
      </c>
      <c r="E884">
        <v>8</v>
      </c>
      <c r="F884" s="3">
        <v>68842</v>
      </c>
      <c r="G884">
        <v>50</v>
      </c>
      <c r="H884">
        <v>4</v>
      </c>
      <c r="I884">
        <v>17</v>
      </c>
      <c r="J884">
        <v>8</v>
      </c>
      <c r="K884">
        <v>4.2</v>
      </c>
      <c r="L884" s="3">
        <v>9.1999999999999993</v>
      </c>
      <c r="M884" t="s">
        <v>1034</v>
      </c>
      <c r="N884">
        <v>74.47</v>
      </c>
    </row>
    <row r="885" spans="1:14" x14ac:dyDescent="0.3">
      <c r="A885" t="s">
        <v>241</v>
      </c>
      <c r="B885" t="s">
        <v>1017</v>
      </c>
      <c r="C885" t="s">
        <v>1026</v>
      </c>
      <c r="D885">
        <v>24</v>
      </c>
      <c r="E885">
        <v>2</v>
      </c>
      <c r="F885" s="3">
        <v>51795</v>
      </c>
      <c r="G885">
        <v>40</v>
      </c>
      <c r="H885">
        <v>13</v>
      </c>
      <c r="I885">
        <v>4</v>
      </c>
      <c r="J885">
        <v>26</v>
      </c>
      <c r="K885">
        <v>3.1</v>
      </c>
      <c r="L885" s="3">
        <v>9.1999999999999993</v>
      </c>
      <c r="M885" t="s">
        <v>1034</v>
      </c>
      <c r="N885">
        <v>86.17</v>
      </c>
    </row>
    <row r="886" spans="1:14" x14ac:dyDescent="0.3">
      <c r="A886" t="s">
        <v>349</v>
      </c>
      <c r="B886" t="s">
        <v>1017</v>
      </c>
      <c r="C886" t="s">
        <v>1030</v>
      </c>
      <c r="D886">
        <v>49</v>
      </c>
      <c r="E886">
        <v>5</v>
      </c>
      <c r="F886" s="3">
        <v>48196</v>
      </c>
      <c r="G886">
        <v>41</v>
      </c>
      <c r="H886">
        <v>15</v>
      </c>
      <c r="I886">
        <v>5</v>
      </c>
      <c r="J886">
        <v>17</v>
      </c>
      <c r="K886">
        <v>2.8</v>
      </c>
      <c r="L886" s="3">
        <v>9.1999999999999993</v>
      </c>
      <c r="M886" t="s">
        <v>1034</v>
      </c>
      <c r="N886">
        <v>88.6</v>
      </c>
    </row>
    <row r="887" spans="1:14" x14ac:dyDescent="0.3">
      <c r="A887" t="s">
        <v>432</v>
      </c>
      <c r="B887" t="s">
        <v>1016</v>
      </c>
      <c r="C887" t="s">
        <v>1033</v>
      </c>
      <c r="D887">
        <v>28</v>
      </c>
      <c r="E887">
        <v>6</v>
      </c>
      <c r="F887" s="3">
        <v>28047</v>
      </c>
      <c r="G887">
        <v>55</v>
      </c>
      <c r="H887">
        <v>14</v>
      </c>
      <c r="I887">
        <v>21</v>
      </c>
      <c r="J887">
        <v>37</v>
      </c>
      <c r="K887">
        <v>2.4</v>
      </c>
      <c r="L887" s="3">
        <v>9.1999999999999993</v>
      </c>
      <c r="M887" t="s">
        <v>1034</v>
      </c>
      <c r="N887">
        <v>85.73</v>
      </c>
    </row>
    <row r="888" spans="1:14" x14ac:dyDescent="0.3">
      <c r="A888" t="s">
        <v>587</v>
      </c>
      <c r="B888" t="s">
        <v>1017</v>
      </c>
      <c r="C888" t="s">
        <v>1026</v>
      </c>
      <c r="D888">
        <v>24</v>
      </c>
      <c r="E888">
        <v>3</v>
      </c>
      <c r="F888" s="3">
        <v>58824</v>
      </c>
      <c r="G888">
        <v>55</v>
      </c>
      <c r="H888">
        <v>1</v>
      </c>
      <c r="I888">
        <v>6</v>
      </c>
      <c r="J888">
        <v>18</v>
      </c>
      <c r="K888">
        <v>3.3</v>
      </c>
      <c r="L888" s="3">
        <v>9.1999999999999993</v>
      </c>
      <c r="M888" t="s">
        <v>1034</v>
      </c>
      <c r="N888">
        <v>66.77</v>
      </c>
    </row>
    <row r="889" spans="1:14" x14ac:dyDescent="0.3">
      <c r="A889" t="s">
        <v>623</v>
      </c>
      <c r="B889" t="s">
        <v>1015</v>
      </c>
      <c r="C889" t="s">
        <v>1021</v>
      </c>
      <c r="D889">
        <v>38</v>
      </c>
      <c r="E889">
        <v>11</v>
      </c>
      <c r="F889" s="3">
        <v>50695</v>
      </c>
      <c r="G889">
        <v>40</v>
      </c>
      <c r="H889">
        <v>12</v>
      </c>
      <c r="I889">
        <v>21</v>
      </c>
      <c r="J889">
        <v>21</v>
      </c>
      <c r="K889">
        <v>4.4000000000000004</v>
      </c>
      <c r="L889" s="3">
        <v>9.1999999999999993</v>
      </c>
      <c r="M889" t="s">
        <v>1034</v>
      </c>
      <c r="N889">
        <v>88.4</v>
      </c>
    </row>
    <row r="890" spans="1:14" x14ac:dyDescent="0.3">
      <c r="A890" t="s">
        <v>683</v>
      </c>
      <c r="B890" t="s">
        <v>1017</v>
      </c>
      <c r="C890" t="s">
        <v>1030</v>
      </c>
      <c r="D890">
        <v>34</v>
      </c>
      <c r="E890">
        <v>6</v>
      </c>
      <c r="F890" s="3">
        <v>83416</v>
      </c>
      <c r="G890">
        <v>42</v>
      </c>
      <c r="H890">
        <v>2</v>
      </c>
      <c r="I890">
        <v>15</v>
      </c>
      <c r="J890">
        <v>37</v>
      </c>
      <c r="K890">
        <v>3.5</v>
      </c>
      <c r="L890" s="3">
        <v>9.1999999999999993</v>
      </c>
      <c r="M890" t="s">
        <v>1034</v>
      </c>
      <c r="N890">
        <v>69.03</v>
      </c>
    </row>
    <row r="891" spans="1:14" x14ac:dyDescent="0.3">
      <c r="A891" t="s">
        <v>713</v>
      </c>
      <c r="B891" t="s">
        <v>1016</v>
      </c>
      <c r="C891" t="s">
        <v>1022</v>
      </c>
      <c r="D891">
        <v>44</v>
      </c>
      <c r="E891">
        <v>9</v>
      </c>
      <c r="F891" s="3">
        <v>89062</v>
      </c>
      <c r="G891">
        <v>49</v>
      </c>
      <c r="H891">
        <v>14</v>
      </c>
      <c r="I891">
        <v>17</v>
      </c>
      <c r="J891">
        <v>5</v>
      </c>
      <c r="K891">
        <v>2.6</v>
      </c>
      <c r="L891" s="3">
        <v>9.1999999999999993</v>
      </c>
      <c r="M891" t="s">
        <v>1034</v>
      </c>
      <c r="N891">
        <v>86.33</v>
      </c>
    </row>
    <row r="892" spans="1:14" x14ac:dyDescent="0.3">
      <c r="A892" t="s">
        <v>779</v>
      </c>
      <c r="B892" t="s">
        <v>1016</v>
      </c>
      <c r="C892" t="s">
        <v>1023</v>
      </c>
      <c r="D892">
        <v>34</v>
      </c>
      <c r="E892">
        <v>1</v>
      </c>
      <c r="F892" s="3">
        <v>52164</v>
      </c>
      <c r="G892">
        <v>46</v>
      </c>
      <c r="H892">
        <v>3</v>
      </c>
      <c r="I892">
        <v>12</v>
      </c>
      <c r="J892">
        <v>24</v>
      </c>
      <c r="K892">
        <v>4.8</v>
      </c>
      <c r="L892" s="3">
        <v>9.1999999999999993</v>
      </c>
      <c r="M892" t="s">
        <v>1034</v>
      </c>
      <c r="N892">
        <v>74.599999999999994</v>
      </c>
    </row>
    <row r="893" spans="1:14" x14ac:dyDescent="0.3">
      <c r="A893" t="s">
        <v>795</v>
      </c>
      <c r="B893" t="s">
        <v>1015</v>
      </c>
      <c r="C893" t="s">
        <v>1029</v>
      </c>
      <c r="D893">
        <v>33</v>
      </c>
      <c r="E893">
        <v>6</v>
      </c>
      <c r="F893" s="3">
        <v>85320</v>
      </c>
      <c r="G893">
        <v>37</v>
      </c>
      <c r="H893">
        <v>4</v>
      </c>
      <c r="I893">
        <v>24</v>
      </c>
      <c r="J893">
        <v>31</v>
      </c>
      <c r="K893">
        <v>4</v>
      </c>
      <c r="L893" s="3">
        <v>9.1999999999999993</v>
      </c>
      <c r="M893" t="s">
        <v>1034</v>
      </c>
      <c r="N893">
        <v>73.87</v>
      </c>
    </row>
    <row r="894" spans="1:14" x14ac:dyDescent="0.3">
      <c r="A894" t="s">
        <v>849</v>
      </c>
      <c r="B894" t="s">
        <v>1015</v>
      </c>
      <c r="C894" t="s">
        <v>1020</v>
      </c>
      <c r="D894">
        <v>48</v>
      </c>
      <c r="E894">
        <v>12</v>
      </c>
      <c r="F894" s="3">
        <v>40258</v>
      </c>
      <c r="G894">
        <v>47</v>
      </c>
      <c r="H894">
        <v>6</v>
      </c>
      <c r="I894">
        <v>17</v>
      </c>
      <c r="J894">
        <v>2</v>
      </c>
      <c r="K894">
        <v>4.9000000000000004</v>
      </c>
      <c r="L894" s="3">
        <v>9.1999999999999993</v>
      </c>
      <c r="M894" t="s">
        <v>1034</v>
      </c>
      <c r="N894">
        <v>79.900000000000006</v>
      </c>
    </row>
    <row r="895" spans="1:14" x14ac:dyDescent="0.3">
      <c r="A895" t="s">
        <v>886</v>
      </c>
      <c r="B895" t="s">
        <v>1014</v>
      </c>
      <c r="C895" t="s">
        <v>1019</v>
      </c>
      <c r="D895">
        <v>30</v>
      </c>
      <c r="E895">
        <v>4</v>
      </c>
      <c r="F895" s="3">
        <v>63307</v>
      </c>
      <c r="G895">
        <v>48</v>
      </c>
      <c r="H895">
        <v>9</v>
      </c>
      <c r="I895">
        <v>20</v>
      </c>
      <c r="J895">
        <v>22</v>
      </c>
      <c r="K895">
        <v>2.9</v>
      </c>
      <c r="L895" s="3">
        <v>9.1999999999999993</v>
      </c>
      <c r="M895" t="s">
        <v>1034</v>
      </c>
      <c r="N895">
        <v>78.900000000000006</v>
      </c>
    </row>
    <row r="896" spans="1:14" x14ac:dyDescent="0.3">
      <c r="A896" t="s">
        <v>898</v>
      </c>
      <c r="B896" t="s">
        <v>1016</v>
      </c>
      <c r="C896" t="s">
        <v>1023</v>
      </c>
      <c r="D896">
        <v>37</v>
      </c>
      <c r="E896">
        <v>1</v>
      </c>
      <c r="F896" s="3">
        <v>66252</v>
      </c>
      <c r="G896">
        <v>43</v>
      </c>
      <c r="H896">
        <v>14</v>
      </c>
      <c r="I896">
        <v>4</v>
      </c>
      <c r="J896">
        <v>32</v>
      </c>
      <c r="K896">
        <v>4.9000000000000004</v>
      </c>
      <c r="L896" s="3">
        <v>9.1999999999999993</v>
      </c>
      <c r="M896" t="s">
        <v>1034</v>
      </c>
      <c r="N896">
        <v>93.23</v>
      </c>
    </row>
    <row r="897" spans="1:14" x14ac:dyDescent="0.3">
      <c r="A897" t="s">
        <v>950</v>
      </c>
      <c r="B897" t="s">
        <v>1017</v>
      </c>
      <c r="C897" t="s">
        <v>1030</v>
      </c>
      <c r="D897">
        <v>47</v>
      </c>
      <c r="E897">
        <v>11</v>
      </c>
      <c r="F897" s="3">
        <v>50168</v>
      </c>
      <c r="G897">
        <v>50</v>
      </c>
      <c r="H897">
        <v>5</v>
      </c>
      <c r="I897">
        <v>20</v>
      </c>
      <c r="J897">
        <v>37</v>
      </c>
      <c r="K897">
        <v>2.2000000000000002</v>
      </c>
      <c r="L897" s="3">
        <v>9.1999999999999993</v>
      </c>
      <c r="M897" t="s">
        <v>1034</v>
      </c>
      <c r="N897">
        <v>70.13</v>
      </c>
    </row>
    <row r="898" spans="1:14" x14ac:dyDescent="0.3">
      <c r="A898" t="s">
        <v>1004</v>
      </c>
      <c r="B898" t="s">
        <v>1018</v>
      </c>
      <c r="C898" t="s">
        <v>1032</v>
      </c>
      <c r="D898">
        <v>42</v>
      </c>
      <c r="E898">
        <v>12</v>
      </c>
      <c r="F898" s="3">
        <v>36840</v>
      </c>
      <c r="G898">
        <v>46</v>
      </c>
      <c r="H898">
        <v>13</v>
      </c>
      <c r="I898">
        <v>23</v>
      </c>
      <c r="J898">
        <v>34</v>
      </c>
      <c r="K898">
        <v>3.7</v>
      </c>
      <c r="L898" s="3">
        <v>9.1999999999999993</v>
      </c>
      <c r="M898" t="s">
        <v>1034</v>
      </c>
      <c r="N898">
        <v>87.97</v>
      </c>
    </row>
    <row r="899" spans="1:14" x14ac:dyDescent="0.3">
      <c r="A899" t="s">
        <v>367</v>
      </c>
      <c r="B899" t="s">
        <v>1014</v>
      </c>
      <c r="C899" t="s">
        <v>1019</v>
      </c>
      <c r="D899">
        <v>43</v>
      </c>
      <c r="E899">
        <v>5</v>
      </c>
      <c r="F899" s="3">
        <v>83191</v>
      </c>
      <c r="G899">
        <v>47</v>
      </c>
      <c r="H899">
        <v>3</v>
      </c>
      <c r="I899">
        <v>23</v>
      </c>
      <c r="J899">
        <v>4</v>
      </c>
      <c r="K899">
        <v>3.6</v>
      </c>
      <c r="L899" s="3">
        <v>9.3000000000000007</v>
      </c>
      <c r="M899" t="s">
        <v>1034</v>
      </c>
      <c r="N899">
        <v>71.599999999999994</v>
      </c>
    </row>
    <row r="900" spans="1:14" x14ac:dyDescent="0.3">
      <c r="A900" t="s">
        <v>375</v>
      </c>
      <c r="B900" t="s">
        <v>1015</v>
      </c>
      <c r="C900" t="s">
        <v>1020</v>
      </c>
      <c r="D900">
        <v>37</v>
      </c>
      <c r="E900">
        <v>15</v>
      </c>
      <c r="F900" s="3">
        <v>44585</v>
      </c>
      <c r="G900">
        <v>37</v>
      </c>
      <c r="H900">
        <v>7</v>
      </c>
      <c r="I900">
        <v>22</v>
      </c>
      <c r="J900">
        <v>2</v>
      </c>
      <c r="K900">
        <v>3.5</v>
      </c>
      <c r="L900" s="3">
        <v>9.3000000000000007</v>
      </c>
      <c r="M900" t="s">
        <v>1034</v>
      </c>
      <c r="N900">
        <v>77.97</v>
      </c>
    </row>
    <row r="901" spans="1:14" x14ac:dyDescent="0.3">
      <c r="A901" t="s">
        <v>417</v>
      </c>
      <c r="B901" t="s">
        <v>1014</v>
      </c>
      <c r="C901" t="s">
        <v>1025</v>
      </c>
      <c r="D901">
        <v>28</v>
      </c>
      <c r="E901">
        <v>0</v>
      </c>
      <c r="F901" s="3">
        <v>25633</v>
      </c>
      <c r="G901">
        <v>39</v>
      </c>
      <c r="H901">
        <v>11</v>
      </c>
      <c r="I901">
        <v>20</v>
      </c>
      <c r="J901">
        <v>10</v>
      </c>
      <c r="K901">
        <v>3</v>
      </c>
      <c r="L901" s="3">
        <v>9.3000000000000007</v>
      </c>
      <c r="M901" t="s">
        <v>1034</v>
      </c>
      <c r="N901">
        <v>83.13</v>
      </c>
    </row>
    <row r="902" spans="1:14" x14ac:dyDescent="0.3">
      <c r="A902" t="s">
        <v>483</v>
      </c>
      <c r="B902" t="s">
        <v>1014</v>
      </c>
      <c r="C902" t="s">
        <v>1025</v>
      </c>
      <c r="D902">
        <v>27</v>
      </c>
      <c r="E902">
        <v>3</v>
      </c>
      <c r="F902" s="3">
        <v>68213</v>
      </c>
      <c r="G902">
        <v>39</v>
      </c>
      <c r="H902">
        <v>15</v>
      </c>
      <c r="I902">
        <v>19</v>
      </c>
      <c r="J902">
        <v>34</v>
      </c>
      <c r="K902">
        <v>4.5</v>
      </c>
      <c r="L902" s="3">
        <v>9.3000000000000007</v>
      </c>
      <c r="M902" t="s">
        <v>1034</v>
      </c>
      <c r="N902">
        <v>94.3</v>
      </c>
    </row>
    <row r="903" spans="1:14" x14ac:dyDescent="0.3">
      <c r="A903" t="s">
        <v>590</v>
      </c>
      <c r="B903" t="s">
        <v>1017</v>
      </c>
      <c r="C903" t="s">
        <v>1026</v>
      </c>
      <c r="D903">
        <v>48</v>
      </c>
      <c r="E903">
        <v>10</v>
      </c>
      <c r="F903" s="3">
        <v>54549</v>
      </c>
      <c r="G903">
        <v>35</v>
      </c>
      <c r="H903">
        <v>3</v>
      </c>
      <c r="I903">
        <v>14</v>
      </c>
      <c r="J903">
        <v>37</v>
      </c>
      <c r="K903">
        <v>4.7</v>
      </c>
      <c r="L903" s="3">
        <v>9.3000000000000007</v>
      </c>
      <c r="M903" t="s">
        <v>1034</v>
      </c>
      <c r="N903">
        <v>74.900000000000006</v>
      </c>
    </row>
    <row r="904" spans="1:14" x14ac:dyDescent="0.3">
      <c r="A904" t="s">
        <v>630</v>
      </c>
      <c r="B904" t="s">
        <v>1017</v>
      </c>
      <c r="C904" t="s">
        <v>1024</v>
      </c>
      <c r="D904">
        <v>42</v>
      </c>
      <c r="E904">
        <v>15</v>
      </c>
      <c r="F904" s="3">
        <v>67270</v>
      </c>
      <c r="G904">
        <v>36</v>
      </c>
      <c r="H904">
        <v>2</v>
      </c>
      <c r="I904">
        <v>6</v>
      </c>
      <c r="J904">
        <v>8</v>
      </c>
      <c r="K904">
        <v>4.7</v>
      </c>
      <c r="L904" s="3">
        <v>9.3000000000000007</v>
      </c>
      <c r="M904" t="s">
        <v>1034</v>
      </c>
      <c r="N904">
        <v>73.23</v>
      </c>
    </row>
    <row r="905" spans="1:14" x14ac:dyDescent="0.3">
      <c r="A905" t="s">
        <v>670</v>
      </c>
      <c r="B905" t="s">
        <v>1017</v>
      </c>
      <c r="C905" t="s">
        <v>1030</v>
      </c>
      <c r="D905">
        <v>24</v>
      </c>
      <c r="E905">
        <v>1</v>
      </c>
      <c r="F905" s="3">
        <v>70960</v>
      </c>
      <c r="G905">
        <v>55</v>
      </c>
      <c r="H905">
        <v>3</v>
      </c>
      <c r="I905">
        <v>0</v>
      </c>
      <c r="J905">
        <v>11</v>
      </c>
      <c r="K905">
        <v>3.9</v>
      </c>
      <c r="L905" s="3">
        <v>9.3000000000000007</v>
      </c>
      <c r="M905" t="s">
        <v>1034</v>
      </c>
      <c r="N905">
        <v>72.5</v>
      </c>
    </row>
    <row r="906" spans="1:14" x14ac:dyDescent="0.3">
      <c r="A906" t="s">
        <v>686</v>
      </c>
      <c r="B906" t="s">
        <v>1018</v>
      </c>
      <c r="C906" t="s">
        <v>1027</v>
      </c>
      <c r="D906">
        <v>43</v>
      </c>
      <c r="E906">
        <v>7</v>
      </c>
      <c r="F906" s="3">
        <v>83091</v>
      </c>
      <c r="G906">
        <v>44</v>
      </c>
      <c r="H906">
        <v>10</v>
      </c>
      <c r="I906">
        <v>5</v>
      </c>
      <c r="J906">
        <v>40</v>
      </c>
      <c r="K906">
        <v>4.9000000000000004</v>
      </c>
      <c r="L906" s="3">
        <v>9.3000000000000007</v>
      </c>
      <c r="M906" t="s">
        <v>1034</v>
      </c>
      <c r="N906">
        <v>87.17</v>
      </c>
    </row>
    <row r="907" spans="1:14" x14ac:dyDescent="0.3">
      <c r="A907" t="s">
        <v>765</v>
      </c>
      <c r="B907" t="s">
        <v>1017</v>
      </c>
      <c r="C907" t="s">
        <v>1026</v>
      </c>
      <c r="D907">
        <v>23</v>
      </c>
      <c r="E907">
        <v>0</v>
      </c>
      <c r="F907" s="3">
        <v>81333</v>
      </c>
      <c r="G907">
        <v>37</v>
      </c>
      <c r="H907">
        <v>6</v>
      </c>
      <c r="I907">
        <v>19</v>
      </c>
      <c r="J907">
        <v>19</v>
      </c>
      <c r="K907">
        <v>4.5999999999999996</v>
      </c>
      <c r="L907" s="3">
        <v>9.3000000000000007</v>
      </c>
      <c r="M907" t="s">
        <v>1034</v>
      </c>
      <c r="N907">
        <v>79.599999999999994</v>
      </c>
    </row>
    <row r="908" spans="1:14" x14ac:dyDescent="0.3">
      <c r="A908" t="s">
        <v>770</v>
      </c>
      <c r="B908" t="s">
        <v>1016</v>
      </c>
      <c r="C908" t="s">
        <v>1023</v>
      </c>
      <c r="D908">
        <v>31</v>
      </c>
      <c r="E908">
        <v>5</v>
      </c>
      <c r="F908" s="3">
        <v>56144</v>
      </c>
      <c r="G908">
        <v>46</v>
      </c>
      <c r="H908">
        <v>14</v>
      </c>
      <c r="I908">
        <v>9</v>
      </c>
      <c r="J908">
        <v>1</v>
      </c>
      <c r="K908">
        <v>3.9</v>
      </c>
      <c r="L908" s="3">
        <v>9.3000000000000007</v>
      </c>
      <c r="M908" t="s">
        <v>1034</v>
      </c>
      <c r="N908">
        <v>90.83</v>
      </c>
    </row>
    <row r="909" spans="1:14" x14ac:dyDescent="0.3">
      <c r="A909" t="s">
        <v>816</v>
      </c>
      <c r="B909" t="s">
        <v>1018</v>
      </c>
      <c r="C909" t="s">
        <v>1032</v>
      </c>
      <c r="D909">
        <v>25</v>
      </c>
      <c r="E909">
        <v>4</v>
      </c>
      <c r="F909" s="3">
        <v>26246</v>
      </c>
      <c r="G909">
        <v>48</v>
      </c>
      <c r="H909">
        <v>10</v>
      </c>
      <c r="I909">
        <v>10</v>
      </c>
      <c r="J909">
        <v>35</v>
      </c>
      <c r="K909">
        <v>2.2000000000000002</v>
      </c>
      <c r="L909" s="3">
        <v>9.3000000000000007</v>
      </c>
      <c r="M909" t="s">
        <v>1034</v>
      </c>
      <c r="N909">
        <v>79.069999999999993</v>
      </c>
    </row>
    <row r="910" spans="1:14" x14ac:dyDescent="0.3">
      <c r="A910" t="s">
        <v>866</v>
      </c>
      <c r="B910" t="s">
        <v>1014</v>
      </c>
      <c r="C910" t="s">
        <v>1025</v>
      </c>
      <c r="D910">
        <v>30</v>
      </c>
      <c r="E910">
        <v>0</v>
      </c>
      <c r="F910" s="3">
        <v>64897</v>
      </c>
      <c r="G910">
        <v>50</v>
      </c>
      <c r="H910">
        <v>1</v>
      </c>
      <c r="I910">
        <v>0</v>
      </c>
      <c r="J910">
        <v>11</v>
      </c>
      <c r="K910">
        <v>3.2</v>
      </c>
      <c r="L910" s="3">
        <v>9.3000000000000007</v>
      </c>
      <c r="M910" t="s">
        <v>1034</v>
      </c>
      <c r="N910">
        <v>67.069999999999993</v>
      </c>
    </row>
    <row r="911" spans="1:14" x14ac:dyDescent="0.3">
      <c r="A911" t="s">
        <v>122</v>
      </c>
      <c r="B911" t="s">
        <v>1016</v>
      </c>
      <c r="C911" t="s">
        <v>1023</v>
      </c>
      <c r="D911">
        <v>48</v>
      </c>
      <c r="E911">
        <v>5</v>
      </c>
      <c r="F911" s="3">
        <v>38159</v>
      </c>
      <c r="G911">
        <v>39</v>
      </c>
      <c r="H911">
        <v>13</v>
      </c>
      <c r="I911">
        <v>17</v>
      </c>
      <c r="J911">
        <v>23</v>
      </c>
      <c r="K911">
        <v>3.6</v>
      </c>
      <c r="L911" s="3">
        <v>9.4</v>
      </c>
      <c r="M911" t="s">
        <v>1034</v>
      </c>
      <c r="N911">
        <v>88.87</v>
      </c>
    </row>
    <row r="912" spans="1:14" x14ac:dyDescent="0.3">
      <c r="A912" t="s">
        <v>135</v>
      </c>
      <c r="B912" t="s">
        <v>1017</v>
      </c>
      <c r="C912" t="s">
        <v>1024</v>
      </c>
      <c r="D912">
        <v>45</v>
      </c>
      <c r="E912">
        <v>3</v>
      </c>
      <c r="F912" s="3">
        <v>54622</v>
      </c>
      <c r="G912">
        <v>51</v>
      </c>
      <c r="H912">
        <v>4</v>
      </c>
      <c r="I912">
        <v>19</v>
      </c>
      <c r="J912">
        <v>2</v>
      </c>
      <c r="K912">
        <v>4.2</v>
      </c>
      <c r="L912" s="3">
        <v>9.4</v>
      </c>
      <c r="M912" t="s">
        <v>1034</v>
      </c>
      <c r="N912">
        <v>75.67</v>
      </c>
    </row>
    <row r="913" spans="1:14" x14ac:dyDescent="0.3">
      <c r="A913" t="s">
        <v>317</v>
      </c>
      <c r="B913" t="s">
        <v>1015</v>
      </c>
      <c r="C913" t="s">
        <v>1020</v>
      </c>
      <c r="D913">
        <v>22</v>
      </c>
      <c r="E913">
        <v>0</v>
      </c>
      <c r="F913" s="3">
        <v>53842</v>
      </c>
      <c r="G913">
        <v>46</v>
      </c>
      <c r="H913">
        <v>12</v>
      </c>
      <c r="I913">
        <v>6</v>
      </c>
      <c r="J913">
        <v>40</v>
      </c>
      <c r="K913">
        <v>4.2</v>
      </c>
      <c r="L913" s="3">
        <v>9.4</v>
      </c>
      <c r="M913" t="s">
        <v>1034</v>
      </c>
      <c r="N913">
        <v>89</v>
      </c>
    </row>
    <row r="914" spans="1:14" x14ac:dyDescent="0.3">
      <c r="A914" t="s">
        <v>331</v>
      </c>
      <c r="B914" t="s">
        <v>1014</v>
      </c>
      <c r="C914" t="s">
        <v>1019</v>
      </c>
      <c r="D914">
        <v>36</v>
      </c>
      <c r="E914">
        <v>0</v>
      </c>
      <c r="F914" s="3">
        <v>27886</v>
      </c>
      <c r="G914">
        <v>35</v>
      </c>
      <c r="H914">
        <v>4</v>
      </c>
      <c r="I914">
        <v>1</v>
      </c>
      <c r="J914">
        <v>30</v>
      </c>
      <c r="K914">
        <v>3.1</v>
      </c>
      <c r="L914" s="3">
        <v>9.4</v>
      </c>
      <c r="M914" t="s">
        <v>1034</v>
      </c>
      <c r="N914">
        <v>72.37</v>
      </c>
    </row>
    <row r="915" spans="1:14" x14ac:dyDescent="0.3">
      <c r="A915" t="s">
        <v>357</v>
      </c>
      <c r="B915" t="s">
        <v>1014</v>
      </c>
      <c r="C915" t="s">
        <v>1019</v>
      </c>
      <c r="D915">
        <v>25</v>
      </c>
      <c r="E915">
        <v>1</v>
      </c>
      <c r="F915" s="3">
        <v>64430</v>
      </c>
      <c r="G915">
        <v>42</v>
      </c>
      <c r="H915">
        <v>1</v>
      </c>
      <c r="I915">
        <v>16</v>
      </c>
      <c r="J915">
        <v>30</v>
      </c>
      <c r="K915">
        <v>2</v>
      </c>
      <c r="L915" s="3">
        <v>9.4</v>
      </c>
      <c r="M915" t="s">
        <v>1034</v>
      </c>
      <c r="N915">
        <v>64.069999999999993</v>
      </c>
    </row>
    <row r="916" spans="1:14" x14ac:dyDescent="0.3">
      <c r="A916" t="s">
        <v>358</v>
      </c>
      <c r="B916" t="s">
        <v>1018</v>
      </c>
      <c r="C916" t="s">
        <v>1028</v>
      </c>
      <c r="D916">
        <v>43</v>
      </c>
      <c r="E916">
        <v>5</v>
      </c>
      <c r="F916" s="3">
        <v>85213</v>
      </c>
      <c r="G916">
        <v>45</v>
      </c>
      <c r="H916">
        <v>1</v>
      </c>
      <c r="I916">
        <v>0</v>
      </c>
      <c r="J916">
        <v>9</v>
      </c>
      <c r="K916">
        <v>3.8</v>
      </c>
      <c r="L916" s="3">
        <v>9.4</v>
      </c>
      <c r="M916" t="s">
        <v>1034</v>
      </c>
      <c r="N916">
        <v>69.47</v>
      </c>
    </row>
    <row r="917" spans="1:14" x14ac:dyDescent="0.3">
      <c r="A917" t="s">
        <v>413</v>
      </c>
      <c r="B917" t="s">
        <v>1015</v>
      </c>
      <c r="C917" t="s">
        <v>1020</v>
      </c>
      <c r="D917">
        <v>34</v>
      </c>
      <c r="E917">
        <v>5</v>
      </c>
      <c r="F917" s="3">
        <v>71100</v>
      </c>
      <c r="G917">
        <v>48</v>
      </c>
      <c r="H917">
        <v>5</v>
      </c>
      <c r="I917">
        <v>5</v>
      </c>
      <c r="J917">
        <v>2</v>
      </c>
      <c r="K917">
        <v>3.6</v>
      </c>
      <c r="L917" s="3">
        <v>9.4</v>
      </c>
      <c r="M917" t="s">
        <v>1034</v>
      </c>
      <c r="N917">
        <v>75.53</v>
      </c>
    </row>
    <row r="918" spans="1:14" x14ac:dyDescent="0.3">
      <c r="A918" t="s">
        <v>443</v>
      </c>
      <c r="B918" t="s">
        <v>1016</v>
      </c>
      <c r="C918" t="s">
        <v>1022</v>
      </c>
      <c r="D918">
        <v>25</v>
      </c>
      <c r="E918">
        <v>0</v>
      </c>
      <c r="F918" s="3">
        <v>73737</v>
      </c>
      <c r="G918">
        <v>43</v>
      </c>
      <c r="H918">
        <v>4</v>
      </c>
      <c r="I918">
        <v>19</v>
      </c>
      <c r="J918">
        <v>28</v>
      </c>
      <c r="K918">
        <v>4.5</v>
      </c>
      <c r="L918" s="3">
        <v>9.4</v>
      </c>
      <c r="M918" t="s">
        <v>1034</v>
      </c>
      <c r="N918">
        <v>76.569999999999993</v>
      </c>
    </row>
    <row r="919" spans="1:14" x14ac:dyDescent="0.3">
      <c r="A919" t="s">
        <v>621</v>
      </c>
      <c r="B919" t="s">
        <v>1015</v>
      </c>
      <c r="C919" t="s">
        <v>1021</v>
      </c>
      <c r="D919">
        <v>27</v>
      </c>
      <c r="E919">
        <v>6</v>
      </c>
      <c r="F919" s="3">
        <v>75097</v>
      </c>
      <c r="G919">
        <v>49</v>
      </c>
      <c r="H919">
        <v>10</v>
      </c>
      <c r="I919">
        <v>4</v>
      </c>
      <c r="J919">
        <v>5</v>
      </c>
      <c r="K919">
        <v>4.4000000000000004</v>
      </c>
      <c r="L919" s="3">
        <v>9.4</v>
      </c>
      <c r="M919" t="s">
        <v>1034</v>
      </c>
      <c r="N919">
        <v>86.27</v>
      </c>
    </row>
    <row r="920" spans="1:14" x14ac:dyDescent="0.3">
      <c r="A920" t="s">
        <v>646</v>
      </c>
      <c r="B920" t="s">
        <v>1015</v>
      </c>
      <c r="C920" t="s">
        <v>1020</v>
      </c>
      <c r="D920">
        <v>39</v>
      </c>
      <c r="E920">
        <v>8</v>
      </c>
      <c r="F920" s="3">
        <v>81220</v>
      </c>
      <c r="G920">
        <v>43</v>
      </c>
      <c r="H920">
        <v>1</v>
      </c>
      <c r="I920">
        <v>23</v>
      </c>
      <c r="J920">
        <v>7</v>
      </c>
      <c r="K920">
        <v>3.8</v>
      </c>
      <c r="L920" s="3">
        <v>9.4</v>
      </c>
      <c r="M920" t="s">
        <v>1034</v>
      </c>
      <c r="N920">
        <v>69.47</v>
      </c>
    </row>
    <row r="921" spans="1:14" x14ac:dyDescent="0.3">
      <c r="A921" t="s">
        <v>688</v>
      </c>
      <c r="B921" t="s">
        <v>1017</v>
      </c>
      <c r="C921" t="s">
        <v>1030</v>
      </c>
      <c r="D921">
        <v>37</v>
      </c>
      <c r="E921">
        <v>7</v>
      </c>
      <c r="F921" s="3">
        <v>46449</v>
      </c>
      <c r="G921">
        <v>48</v>
      </c>
      <c r="H921">
        <v>10</v>
      </c>
      <c r="I921">
        <v>7</v>
      </c>
      <c r="J921">
        <v>37</v>
      </c>
      <c r="K921">
        <v>4.8</v>
      </c>
      <c r="L921" s="3">
        <v>9.4</v>
      </c>
      <c r="M921" t="s">
        <v>1034</v>
      </c>
      <c r="N921">
        <v>87.47</v>
      </c>
    </row>
    <row r="922" spans="1:14" x14ac:dyDescent="0.3">
      <c r="A922" t="s">
        <v>694</v>
      </c>
      <c r="B922" t="s">
        <v>1015</v>
      </c>
      <c r="C922" t="s">
        <v>1021</v>
      </c>
      <c r="D922">
        <v>35</v>
      </c>
      <c r="E922">
        <v>12</v>
      </c>
      <c r="F922" s="3">
        <v>69870</v>
      </c>
      <c r="G922">
        <v>37</v>
      </c>
      <c r="H922">
        <v>10</v>
      </c>
      <c r="I922">
        <v>10</v>
      </c>
      <c r="J922">
        <v>3</v>
      </c>
      <c r="K922">
        <v>3.5</v>
      </c>
      <c r="L922" s="3">
        <v>9.4</v>
      </c>
      <c r="M922" t="s">
        <v>1034</v>
      </c>
      <c r="N922">
        <v>83.57</v>
      </c>
    </row>
    <row r="923" spans="1:14" x14ac:dyDescent="0.3">
      <c r="A923" t="s">
        <v>725</v>
      </c>
      <c r="B923" t="s">
        <v>1014</v>
      </c>
      <c r="C923" t="s">
        <v>1019</v>
      </c>
      <c r="D923">
        <v>30</v>
      </c>
      <c r="E923">
        <v>8</v>
      </c>
      <c r="F923" s="3">
        <v>43442</v>
      </c>
      <c r="G923">
        <v>46</v>
      </c>
      <c r="H923">
        <v>13</v>
      </c>
      <c r="I923">
        <v>15</v>
      </c>
      <c r="J923">
        <v>26</v>
      </c>
      <c r="K923">
        <v>3</v>
      </c>
      <c r="L923" s="3">
        <v>9.4</v>
      </c>
      <c r="M923" t="s">
        <v>1034</v>
      </c>
      <c r="N923">
        <v>87.07</v>
      </c>
    </row>
    <row r="924" spans="1:14" x14ac:dyDescent="0.3">
      <c r="A924" t="s">
        <v>880</v>
      </c>
      <c r="B924" t="s">
        <v>1015</v>
      </c>
      <c r="C924" t="s">
        <v>1021</v>
      </c>
      <c r="D924">
        <v>50</v>
      </c>
      <c r="E924">
        <v>3</v>
      </c>
      <c r="F924" s="3">
        <v>65982</v>
      </c>
      <c r="G924">
        <v>49</v>
      </c>
      <c r="H924">
        <v>10</v>
      </c>
      <c r="I924">
        <v>3</v>
      </c>
      <c r="J924">
        <v>5</v>
      </c>
      <c r="K924">
        <v>4.9000000000000004</v>
      </c>
      <c r="L924" s="3">
        <v>9.4</v>
      </c>
      <c r="M924" t="s">
        <v>1034</v>
      </c>
      <c r="N924">
        <v>87.77</v>
      </c>
    </row>
    <row r="925" spans="1:14" x14ac:dyDescent="0.3">
      <c r="A925" t="s">
        <v>900</v>
      </c>
      <c r="B925" t="s">
        <v>1016</v>
      </c>
      <c r="C925" t="s">
        <v>1022</v>
      </c>
      <c r="D925">
        <v>45</v>
      </c>
      <c r="E925">
        <v>15</v>
      </c>
      <c r="F925" s="3">
        <v>71900</v>
      </c>
      <c r="G925">
        <v>50</v>
      </c>
      <c r="H925">
        <v>8</v>
      </c>
      <c r="I925">
        <v>8</v>
      </c>
      <c r="J925">
        <v>37</v>
      </c>
      <c r="K925">
        <v>3.2</v>
      </c>
      <c r="L925" s="3">
        <v>9.4</v>
      </c>
      <c r="M925" t="s">
        <v>1034</v>
      </c>
      <c r="N925">
        <v>79.33</v>
      </c>
    </row>
    <row r="926" spans="1:14" x14ac:dyDescent="0.3">
      <c r="A926" t="s">
        <v>21</v>
      </c>
      <c r="B926" t="s">
        <v>1014</v>
      </c>
      <c r="C926" t="s">
        <v>1025</v>
      </c>
      <c r="D926">
        <v>32</v>
      </c>
      <c r="E926">
        <v>8</v>
      </c>
      <c r="F926" s="3">
        <v>72784</v>
      </c>
      <c r="G926">
        <v>42</v>
      </c>
      <c r="H926">
        <v>3</v>
      </c>
      <c r="I926">
        <v>14</v>
      </c>
      <c r="J926">
        <v>24</v>
      </c>
      <c r="K926">
        <v>2.8</v>
      </c>
      <c r="L926" s="3">
        <v>9.5</v>
      </c>
      <c r="M926" t="s">
        <v>1034</v>
      </c>
      <c r="N926">
        <v>70.400000000000006</v>
      </c>
    </row>
    <row r="927" spans="1:14" x14ac:dyDescent="0.3">
      <c r="A927" t="s">
        <v>28</v>
      </c>
      <c r="B927" t="s">
        <v>1014</v>
      </c>
      <c r="C927" t="s">
        <v>1019</v>
      </c>
      <c r="D927">
        <v>41</v>
      </c>
      <c r="E927">
        <v>6</v>
      </c>
      <c r="F927" s="3">
        <v>35016</v>
      </c>
      <c r="G927">
        <v>46</v>
      </c>
      <c r="H927">
        <v>13</v>
      </c>
      <c r="I927">
        <v>5</v>
      </c>
      <c r="J927">
        <v>34</v>
      </c>
      <c r="K927">
        <v>4.9000000000000004</v>
      </c>
      <c r="L927" s="3">
        <v>9.5</v>
      </c>
      <c r="M927" t="s">
        <v>1034</v>
      </c>
      <c r="N927">
        <v>93.37</v>
      </c>
    </row>
    <row r="928" spans="1:14" x14ac:dyDescent="0.3">
      <c r="A928" t="s">
        <v>52</v>
      </c>
      <c r="B928" t="s">
        <v>1018</v>
      </c>
      <c r="C928" t="s">
        <v>1032</v>
      </c>
      <c r="D928">
        <v>37</v>
      </c>
      <c r="E928">
        <v>5</v>
      </c>
      <c r="F928" s="3">
        <v>88976</v>
      </c>
      <c r="G928">
        <v>40</v>
      </c>
      <c r="H928">
        <v>15</v>
      </c>
      <c r="I928">
        <v>13</v>
      </c>
      <c r="J928">
        <v>1</v>
      </c>
      <c r="K928">
        <v>2.5</v>
      </c>
      <c r="L928" s="3">
        <v>9.5</v>
      </c>
      <c r="M928" t="s">
        <v>1034</v>
      </c>
      <c r="N928">
        <v>89.5</v>
      </c>
    </row>
    <row r="929" spans="1:14" x14ac:dyDescent="0.3">
      <c r="A929" t="s">
        <v>173</v>
      </c>
      <c r="B929" t="s">
        <v>1017</v>
      </c>
      <c r="C929" t="s">
        <v>1026</v>
      </c>
      <c r="D929">
        <v>54</v>
      </c>
      <c r="E929">
        <v>4</v>
      </c>
      <c r="F929" s="3">
        <v>79463</v>
      </c>
      <c r="G929">
        <v>48</v>
      </c>
      <c r="H929">
        <v>2</v>
      </c>
      <c r="I929">
        <v>7</v>
      </c>
      <c r="J929">
        <v>28</v>
      </c>
      <c r="K929">
        <v>4.7</v>
      </c>
      <c r="L929" s="3">
        <v>9.5</v>
      </c>
      <c r="M929" t="s">
        <v>1034</v>
      </c>
      <c r="N929">
        <v>74.430000000000007</v>
      </c>
    </row>
    <row r="930" spans="1:14" x14ac:dyDescent="0.3">
      <c r="A930" t="s">
        <v>174</v>
      </c>
      <c r="B930" t="s">
        <v>1014</v>
      </c>
      <c r="C930" t="s">
        <v>1025</v>
      </c>
      <c r="D930">
        <v>47</v>
      </c>
      <c r="E930">
        <v>11</v>
      </c>
      <c r="F930" s="3">
        <v>40451</v>
      </c>
      <c r="G930">
        <v>47</v>
      </c>
      <c r="H930">
        <v>2</v>
      </c>
      <c r="I930">
        <v>11</v>
      </c>
      <c r="J930">
        <v>14</v>
      </c>
      <c r="K930">
        <v>2.1</v>
      </c>
      <c r="L930" s="3">
        <v>9.5</v>
      </c>
      <c r="M930" t="s">
        <v>1034</v>
      </c>
      <c r="N930">
        <v>66.63</v>
      </c>
    </row>
    <row r="931" spans="1:14" x14ac:dyDescent="0.3">
      <c r="A931" t="s">
        <v>194</v>
      </c>
      <c r="B931" t="s">
        <v>1016</v>
      </c>
      <c r="C931" t="s">
        <v>1022</v>
      </c>
      <c r="D931">
        <v>44</v>
      </c>
      <c r="E931">
        <v>2</v>
      </c>
      <c r="F931" s="3">
        <v>61044</v>
      </c>
      <c r="G931">
        <v>52</v>
      </c>
      <c r="H931">
        <v>5</v>
      </c>
      <c r="I931">
        <v>9</v>
      </c>
      <c r="J931">
        <v>10</v>
      </c>
      <c r="K931">
        <v>4.0999999999999996</v>
      </c>
      <c r="L931" s="3">
        <v>9.5</v>
      </c>
      <c r="M931" t="s">
        <v>1034</v>
      </c>
      <c r="N931">
        <v>77.63</v>
      </c>
    </row>
    <row r="932" spans="1:14" x14ac:dyDescent="0.3">
      <c r="A932" t="s">
        <v>240</v>
      </c>
      <c r="B932" t="s">
        <v>1015</v>
      </c>
      <c r="C932" t="s">
        <v>1029</v>
      </c>
      <c r="D932">
        <v>26</v>
      </c>
      <c r="E932">
        <v>0</v>
      </c>
      <c r="F932" s="3">
        <v>52767</v>
      </c>
      <c r="G932">
        <v>46</v>
      </c>
      <c r="H932">
        <v>12</v>
      </c>
      <c r="I932">
        <v>2</v>
      </c>
      <c r="J932">
        <v>34</v>
      </c>
      <c r="K932">
        <v>5</v>
      </c>
      <c r="L932" s="3">
        <v>9.5</v>
      </c>
      <c r="M932" t="s">
        <v>1034</v>
      </c>
      <c r="N932">
        <v>92</v>
      </c>
    </row>
    <row r="933" spans="1:14" x14ac:dyDescent="0.3">
      <c r="A933" t="s">
        <v>281</v>
      </c>
      <c r="B933" t="s">
        <v>1016</v>
      </c>
      <c r="C933" t="s">
        <v>1023</v>
      </c>
      <c r="D933">
        <v>53</v>
      </c>
      <c r="E933">
        <v>7</v>
      </c>
      <c r="F933" s="3">
        <v>46357</v>
      </c>
      <c r="G933">
        <v>47</v>
      </c>
      <c r="H933">
        <v>5</v>
      </c>
      <c r="I933">
        <v>25</v>
      </c>
      <c r="J933">
        <v>25</v>
      </c>
      <c r="K933">
        <v>3.1</v>
      </c>
      <c r="L933" s="3">
        <v>9.5</v>
      </c>
      <c r="M933" t="s">
        <v>1034</v>
      </c>
      <c r="N933">
        <v>74.63</v>
      </c>
    </row>
    <row r="934" spans="1:14" x14ac:dyDescent="0.3">
      <c r="A934" t="s">
        <v>423</v>
      </c>
      <c r="B934" t="s">
        <v>1017</v>
      </c>
      <c r="C934" t="s">
        <v>1024</v>
      </c>
      <c r="D934">
        <v>44</v>
      </c>
      <c r="E934">
        <v>12</v>
      </c>
      <c r="F934" s="3">
        <v>34742</v>
      </c>
      <c r="G934">
        <v>52</v>
      </c>
      <c r="H934">
        <v>15</v>
      </c>
      <c r="I934">
        <v>19</v>
      </c>
      <c r="J934">
        <v>3</v>
      </c>
      <c r="K934">
        <v>2</v>
      </c>
      <c r="L934" s="3">
        <v>9.5</v>
      </c>
      <c r="M934" t="s">
        <v>1034</v>
      </c>
      <c r="N934">
        <v>88</v>
      </c>
    </row>
    <row r="935" spans="1:14" x14ac:dyDescent="0.3">
      <c r="A935" t="s">
        <v>766</v>
      </c>
      <c r="B935" t="s">
        <v>1016</v>
      </c>
      <c r="C935" t="s">
        <v>1022</v>
      </c>
      <c r="D935">
        <v>27</v>
      </c>
      <c r="E935">
        <v>3</v>
      </c>
      <c r="F935" s="3">
        <v>86811</v>
      </c>
      <c r="G935">
        <v>39</v>
      </c>
      <c r="H935">
        <v>4</v>
      </c>
      <c r="I935">
        <v>3</v>
      </c>
      <c r="J935">
        <v>36</v>
      </c>
      <c r="K935">
        <v>4.2</v>
      </c>
      <c r="L935" s="3">
        <v>9.5</v>
      </c>
      <c r="M935" t="s">
        <v>1034</v>
      </c>
      <c r="N935">
        <v>76.27</v>
      </c>
    </row>
    <row r="936" spans="1:14" x14ac:dyDescent="0.3">
      <c r="A936" t="s">
        <v>815</v>
      </c>
      <c r="B936" t="s">
        <v>1015</v>
      </c>
      <c r="C936" t="s">
        <v>1021</v>
      </c>
      <c r="D936">
        <v>40</v>
      </c>
      <c r="E936">
        <v>1</v>
      </c>
      <c r="F936" s="3">
        <v>56948</v>
      </c>
      <c r="G936">
        <v>47</v>
      </c>
      <c r="H936">
        <v>8</v>
      </c>
      <c r="I936">
        <v>16</v>
      </c>
      <c r="J936">
        <v>37</v>
      </c>
      <c r="K936">
        <v>4.2</v>
      </c>
      <c r="L936" s="3">
        <v>9.5</v>
      </c>
      <c r="M936" t="s">
        <v>1034</v>
      </c>
      <c r="N936">
        <v>82.93</v>
      </c>
    </row>
    <row r="937" spans="1:14" x14ac:dyDescent="0.3">
      <c r="A937" t="s">
        <v>943</v>
      </c>
      <c r="B937" t="s">
        <v>1014</v>
      </c>
      <c r="C937" t="s">
        <v>1019</v>
      </c>
      <c r="D937">
        <v>31</v>
      </c>
      <c r="E937">
        <v>3</v>
      </c>
      <c r="F937" s="3">
        <v>33228</v>
      </c>
      <c r="G937">
        <v>37</v>
      </c>
      <c r="H937">
        <v>3</v>
      </c>
      <c r="I937">
        <v>18</v>
      </c>
      <c r="J937">
        <v>35</v>
      </c>
      <c r="K937">
        <v>4.5</v>
      </c>
      <c r="L937" s="3">
        <v>9.5</v>
      </c>
      <c r="M937" t="s">
        <v>1034</v>
      </c>
      <c r="N937">
        <v>75.5</v>
      </c>
    </row>
    <row r="938" spans="1:14" x14ac:dyDescent="0.3">
      <c r="A938" t="s">
        <v>952</v>
      </c>
      <c r="B938" t="s">
        <v>1016</v>
      </c>
      <c r="C938" t="s">
        <v>1033</v>
      </c>
      <c r="D938">
        <v>25</v>
      </c>
      <c r="E938">
        <v>3</v>
      </c>
      <c r="F938" s="3">
        <v>85720</v>
      </c>
      <c r="G938">
        <v>48</v>
      </c>
      <c r="H938">
        <v>12</v>
      </c>
      <c r="I938">
        <v>7</v>
      </c>
      <c r="J938">
        <v>15</v>
      </c>
      <c r="K938">
        <v>3.4</v>
      </c>
      <c r="L938" s="3">
        <v>9.5</v>
      </c>
      <c r="M938" t="s">
        <v>1034</v>
      </c>
      <c r="N938">
        <v>87.2</v>
      </c>
    </row>
    <row r="939" spans="1:14" x14ac:dyDescent="0.3">
      <c r="A939" t="s">
        <v>57</v>
      </c>
      <c r="B939" t="s">
        <v>1017</v>
      </c>
      <c r="C939" t="s">
        <v>1024</v>
      </c>
      <c r="D939">
        <v>34</v>
      </c>
      <c r="E939">
        <v>4</v>
      </c>
      <c r="F939" s="3">
        <v>27908</v>
      </c>
      <c r="G939">
        <v>48</v>
      </c>
      <c r="H939">
        <v>1</v>
      </c>
      <c r="I939">
        <v>16</v>
      </c>
      <c r="J939">
        <v>34</v>
      </c>
      <c r="K939">
        <v>4.0999999999999996</v>
      </c>
      <c r="L939" s="3">
        <v>9.6</v>
      </c>
      <c r="M939" t="s">
        <v>1034</v>
      </c>
      <c r="N939">
        <v>71.569999999999993</v>
      </c>
    </row>
    <row r="940" spans="1:14" x14ac:dyDescent="0.3">
      <c r="A940" t="s">
        <v>59</v>
      </c>
      <c r="B940" t="s">
        <v>1017</v>
      </c>
      <c r="C940" t="s">
        <v>1024</v>
      </c>
      <c r="D940">
        <v>42</v>
      </c>
      <c r="E940">
        <v>12</v>
      </c>
      <c r="F940" s="3">
        <v>70692</v>
      </c>
      <c r="G940">
        <v>44</v>
      </c>
      <c r="H940">
        <v>9</v>
      </c>
      <c r="I940">
        <v>4</v>
      </c>
      <c r="J940">
        <v>12</v>
      </c>
      <c r="K940">
        <v>3.3</v>
      </c>
      <c r="L940" s="3">
        <v>9.6</v>
      </c>
      <c r="M940" t="s">
        <v>1034</v>
      </c>
      <c r="N940">
        <v>82.5</v>
      </c>
    </row>
    <row r="941" spans="1:14" x14ac:dyDescent="0.3">
      <c r="A941" t="s">
        <v>128</v>
      </c>
      <c r="B941" t="s">
        <v>1015</v>
      </c>
      <c r="C941" t="s">
        <v>1021</v>
      </c>
      <c r="D941">
        <v>48</v>
      </c>
      <c r="E941">
        <v>4</v>
      </c>
      <c r="F941" s="3">
        <v>83026</v>
      </c>
      <c r="G941">
        <v>48</v>
      </c>
      <c r="H941">
        <v>11</v>
      </c>
      <c r="I941">
        <v>3</v>
      </c>
      <c r="J941">
        <v>31</v>
      </c>
      <c r="K941">
        <v>3.8</v>
      </c>
      <c r="L941" s="3">
        <v>9.6</v>
      </c>
      <c r="M941" t="s">
        <v>1034</v>
      </c>
      <c r="N941">
        <v>87.33</v>
      </c>
    </row>
    <row r="942" spans="1:14" x14ac:dyDescent="0.3">
      <c r="A942" t="s">
        <v>248</v>
      </c>
      <c r="B942" t="s">
        <v>1016</v>
      </c>
      <c r="C942" t="s">
        <v>1022</v>
      </c>
      <c r="D942">
        <v>31</v>
      </c>
      <c r="E942">
        <v>10</v>
      </c>
      <c r="F942" s="3">
        <v>59160</v>
      </c>
      <c r="G942">
        <v>42</v>
      </c>
      <c r="H942">
        <v>7</v>
      </c>
      <c r="I942">
        <v>9</v>
      </c>
      <c r="J942">
        <v>17</v>
      </c>
      <c r="K942">
        <v>2.2000000000000002</v>
      </c>
      <c r="L942" s="3">
        <v>9.6</v>
      </c>
      <c r="M942" t="s">
        <v>1034</v>
      </c>
      <c r="N942">
        <v>75.87</v>
      </c>
    </row>
    <row r="943" spans="1:14" x14ac:dyDescent="0.3">
      <c r="A943" t="s">
        <v>399</v>
      </c>
      <c r="B943" t="s">
        <v>1015</v>
      </c>
      <c r="C943" t="s">
        <v>1029</v>
      </c>
      <c r="D943">
        <v>40</v>
      </c>
      <c r="E943">
        <v>14</v>
      </c>
      <c r="F943" s="3">
        <v>80785</v>
      </c>
      <c r="G943">
        <v>38</v>
      </c>
      <c r="H943">
        <v>8</v>
      </c>
      <c r="I943">
        <v>1</v>
      </c>
      <c r="J943">
        <v>40</v>
      </c>
      <c r="K943">
        <v>3.8</v>
      </c>
      <c r="L943" s="3">
        <v>9.6</v>
      </c>
      <c r="M943" t="s">
        <v>1034</v>
      </c>
      <c r="N943">
        <v>82.33</v>
      </c>
    </row>
    <row r="944" spans="1:14" x14ac:dyDescent="0.3">
      <c r="A944" t="s">
        <v>555</v>
      </c>
      <c r="B944" t="s">
        <v>1018</v>
      </c>
      <c r="C944" t="s">
        <v>1032</v>
      </c>
      <c r="D944">
        <v>41</v>
      </c>
      <c r="E944">
        <v>0</v>
      </c>
      <c r="F944" s="3">
        <v>44682</v>
      </c>
      <c r="G944">
        <v>42</v>
      </c>
      <c r="H944">
        <v>4</v>
      </c>
      <c r="I944">
        <v>10</v>
      </c>
      <c r="J944">
        <v>1</v>
      </c>
      <c r="K944">
        <v>4.3</v>
      </c>
      <c r="L944" s="3">
        <v>9.6</v>
      </c>
      <c r="M944" t="s">
        <v>1034</v>
      </c>
      <c r="N944">
        <v>77.17</v>
      </c>
    </row>
    <row r="945" spans="1:14" x14ac:dyDescent="0.3">
      <c r="A945" t="s">
        <v>622</v>
      </c>
      <c r="B945" t="s">
        <v>1014</v>
      </c>
      <c r="C945" t="s">
        <v>1019</v>
      </c>
      <c r="D945">
        <v>51</v>
      </c>
      <c r="E945">
        <v>9</v>
      </c>
      <c r="F945" s="3">
        <v>69857</v>
      </c>
      <c r="G945">
        <v>55</v>
      </c>
      <c r="H945">
        <v>12</v>
      </c>
      <c r="I945">
        <v>24</v>
      </c>
      <c r="J945">
        <v>29</v>
      </c>
      <c r="K945">
        <v>3.4</v>
      </c>
      <c r="L945" s="3">
        <v>9.6</v>
      </c>
      <c r="M945" t="s">
        <v>1034</v>
      </c>
      <c r="N945">
        <v>87.8</v>
      </c>
    </row>
    <row r="946" spans="1:14" x14ac:dyDescent="0.3">
      <c r="A946" t="s">
        <v>845</v>
      </c>
      <c r="B946" t="s">
        <v>1016</v>
      </c>
      <c r="C946" t="s">
        <v>1033</v>
      </c>
      <c r="D946">
        <v>40</v>
      </c>
      <c r="E946">
        <v>15</v>
      </c>
      <c r="F946" s="3">
        <v>26833</v>
      </c>
      <c r="G946">
        <v>39</v>
      </c>
      <c r="H946">
        <v>3</v>
      </c>
      <c r="I946">
        <v>25</v>
      </c>
      <c r="J946">
        <v>37</v>
      </c>
      <c r="K946">
        <v>3.3</v>
      </c>
      <c r="L946" s="3">
        <v>9.6</v>
      </c>
      <c r="M946" t="s">
        <v>1034</v>
      </c>
      <c r="N946">
        <v>72.5</v>
      </c>
    </row>
    <row r="947" spans="1:14" x14ac:dyDescent="0.3">
      <c r="A947" t="s">
        <v>895</v>
      </c>
      <c r="B947" t="s">
        <v>1014</v>
      </c>
      <c r="C947" t="s">
        <v>1025</v>
      </c>
      <c r="D947">
        <v>43</v>
      </c>
      <c r="E947">
        <v>6</v>
      </c>
      <c r="F947" s="3">
        <v>44993</v>
      </c>
      <c r="G947">
        <v>49</v>
      </c>
      <c r="H947">
        <v>4</v>
      </c>
      <c r="I947">
        <v>11</v>
      </c>
      <c r="J947">
        <v>23</v>
      </c>
      <c r="K947">
        <v>4</v>
      </c>
      <c r="L947" s="3">
        <v>9.6</v>
      </c>
      <c r="M947" t="s">
        <v>1034</v>
      </c>
      <c r="N947">
        <v>76.27</v>
      </c>
    </row>
    <row r="948" spans="1:14" x14ac:dyDescent="0.3">
      <c r="A948" t="s">
        <v>921</v>
      </c>
      <c r="B948" t="s">
        <v>1017</v>
      </c>
      <c r="C948" t="s">
        <v>1030</v>
      </c>
      <c r="D948">
        <v>51</v>
      </c>
      <c r="E948">
        <v>12</v>
      </c>
      <c r="F948" s="3">
        <v>84692</v>
      </c>
      <c r="G948">
        <v>40</v>
      </c>
      <c r="H948">
        <v>12</v>
      </c>
      <c r="I948">
        <v>18</v>
      </c>
      <c r="J948">
        <v>6</v>
      </c>
      <c r="K948">
        <v>3.2</v>
      </c>
      <c r="L948" s="3">
        <v>9.6</v>
      </c>
      <c r="M948" t="s">
        <v>1034</v>
      </c>
      <c r="N948">
        <v>87.2</v>
      </c>
    </row>
    <row r="949" spans="1:14" x14ac:dyDescent="0.3">
      <c r="A949" t="s">
        <v>970</v>
      </c>
      <c r="B949" t="s">
        <v>1018</v>
      </c>
      <c r="C949" t="s">
        <v>1027</v>
      </c>
      <c r="D949">
        <v>50</v>
      </c>
      <c r="E949">
        <v>3</v>
      </c>
      <c r="F949" s="3">
        <v>56599</v>
      </c>
      <c r="G949">
        <v>52</v>
      </c>
      <c r="H949">
        <v>4</v>
      </c>
      <c r="I949">
        <v>7</v>
      </c>
      <c r="J949">
        <v>13</v>
      </c>
      <c r="K949">
        <v>2.5</v>
      </c>
      <c r="L949" s="3">
        <v>9.6</v>
      </c>
      <c r="M949" t="s">
        <v>1034</v>
      </c>
      <c r="N949">
        <v>71.77</v>
      </c>
    </row>
    <row r="950" spans="1:14" x14ac:dyDescent="0.3">
      <c r="A950" t="s">
        <v>74</v>
      </c>
      <c r="B950" t="s">
        <v>1016</v>
      </c>
      <c r="C950" t="s">
        <v>1023</v>
      </c>
      <c r="D950">
        <v>48</v>
      </c>
      <c r="E950">
        <v>8</v>
      </c>
      <c r="F950" s="3">
        <v>79716</v>
      </c>
      <c r="G950">
        <v>37</v>
      </c>
      <c r="H950">
        <v>8</v>
      </c>
      <c r="I950">
        <v>0</v>
      </c>
      <c r="J950">
        <v>34</v>
      </c>
      <c r="K950">
        <v>2.2000000000000002</v>
      </c>
      <c r="L950" s="3">
        <v>9.6999999999999993</v>
      </c>
      <c r="M950" t="s">
        <v>1034</v>
      </c>
      <c r="N950">
        <v>78.13</v>
      </c>
    </row>
    <row r="951" spans="1:14" x14ac:dyDescent="0.3">
      <c r="A951" t="s">
        <v>76</v>
      </c>
      <c r="B951" t="s">
        <v>1014</v>
      </c>
      <c r="C951" t="s">
        <v>1025</v>
      </c>
      <c r="D951">
        <v>35</v>
      </c>
      <c r="E951">
        <v>7</v>
      </c>
      <c r="F951" s="3">
        <v>70840</v>
      </c>
      <c r="G951">
        <v>43</v>
      </c>
      <c r="H951">
        <v>13</v>
      </c>
      <c r="I951">
        <v>11</v>
      </c>
      <c r="J951">
        <v>10</v>
      </c>
      <c r="K951">
        <v>3.8</v>
      </c>
      <c r="L951" s="3">
        <v>9.6999999999999993</v>
      </c>
      <c r="M951" t="s">
        <v>1034</v>
      </c>
      <c r="N951">
        <v>91.27</v>
      </c>
    </row>
    <row r="952" spans="1:14" x14ac:dyDescent="0.3">
      <c r="A952" t="s">
        <v>77</v>
      </c>
      <c r="B952" t="s">
        <v>1014</v>
      </c>
      <c r="C952" t="s">
        <v>1031</v>
      </c>
      <c r="D952">
        <v>32</v>
      </c>
      <c r="E952">
        <v>4</v>
      </c>
      <c r="F952" s="3">
        <v>32084</v>
      </c>
      <c r="G952">
        <v>53</v>
      </c>
      <c r="H952">
        <v>1</v>
      </c>
      <c r="I952">
        <v>9</v>
      </c>
      <c r="J952">
        <v>36</v>
      </c>
      <c r="K952">
        <v>4</v>
      </c>
      <c r="L952" s="3">
        <v>9.6999999999999993</v>
      </c>
      <c r="M952" t="s">
        <v>1034</v>
      </c>
      <c r="N952">
        <v>71.87</v>
      </c>
    </row>
    <row r="953" spans="1:14" x14ac:dyDescent="0.3">
      <c r="A953" t="s">
        <v>264</v>
      </c>
      <c r="B953" t="s">
        <v>1018</v>
      </c>
      <c r="C953" t="s">
        <v>1032</v>
      </c>
      <c r="D953">
        <v>55</v>
      </c>
      <c r="E953">
        <v>8</v>
      </c>
      <c r="F953" s="3">
        <v>78425</v>
      </c>
      <c r="G953">
        <v>46</v>
      </c>
      <c r="H953">
        <v>5</v>
      </c>
      <c r="I953">
        <v>25</v>
      </c>
      <c r="J953">
        <v>25</v>
      </c>
      <c r="K953">
        <v>2.2000000000000002</v>
      </c>
      <c r="L953" s="3">
        <v>9.6999999999999993</v>
      </c>
      <c r="M953" t="s">
        <v>1034</v>
      </c>
      <c r="N953">
        <v>73.13</v>
      </c>
    </row>
    <row r="954" spans="1:14" x14ac:dyDescent="0.3">
      <c r="A954" t="s">
        <v>435</v>
      </c>
      <c r="B954" t="s">
        <v>1016</v>
      </c>
      <c r="C954" t="s">
        <v>1033</v>
      </c>
      <c r="D954">
        <v>54</v>
      </c>
      <c r="E954">
        <v>12</v>
      </c>
      <c r="F954" s="3">
        <v>52437</v>
      </c>
      <c r="G954">
        <v>54</v>
      </c>
      <c r="H954">
        <v>15</v>
      </c>
      <c r="I954">
        <v>22</v>
      </c>
      <c r="J954">
        <v>15</v>
      </c>
      <c r="K954">
        <v>2.8</v>
      </c>
      <c r="L954" s="3">
        <v>9.6999999999999993</v>
      </c>
      <c r="M954" t="s">
        <v>1034</v>
      </c>
      <c r="N954">
        <v>91.6</v>
      </c>
    </row>
    <row r="955" spans="1:14" x14ac:dyDescent="0.3">
      <c r="A955" t="s">
        <v>516</v>
      </c>
      <c r="B955" t="s">
        <v>1015</v>
      </c>
      <c r="C955" t="s">
        <v>1029</v>
      </c>
      <c r="D955">
        <v>53</v>
      </c>
      <c r="E955">
        <v>14</v>
      </c>
      <c r="F955" s="3">
        <v>83302</v>
      </c>
      <c r="G955">
        <v>37</v>
      </c>
      <c r="H955">
        <v>7</v>
      </c>
      <c r="I955">
        <v>19</v>
      </c>
      <c r="J955">
        <v>18</v>
      </c>
      <c r="K955">
        <v>3.4</v>
      </c>
      <c r="L955" s="3">
        <v>9.6999999999999993</v>
      </c>
      <c r="M955" t="s">
        <v>1034</v>
      </c>
      <c r="N955">
        <v>80.069999999999993</v>
      </c>
    </row>
    <row r="956" spans="1:14" x14ac:dyDescent="0.3">
      <c r="A956" t="s">
        <v>611</v>
      </c>
      <c r="B956" t="s">
        <v>1016</v>
      </c>
      <c r="C956" t="s">
        <v>1023</v>
      </c>
      <c r="D956">
        <v>24</v>
      </c>
      <c r="E956">
        <v>2</v>
      </c>
      <c r="F956" s="3">
        <v>52123</v>
      </c>
      <c r="G956">
        <v>37</v>
      </c>
      <c r="H956">
        <v>8</v>
      </c>
      <c r="I956">
        <v>7</v>
      </c>
      <c r="J956">
        <v>23</v>
      </c>
      <c r="K956">
        <v>3.4</v>
      </c>
      <c r="L956" s="3">
        <v>9.6999999999999993</v>
      </c>
      <c r="M956" t="s">
        <v>1034</v>
      </c>
      <c r="N956">
        <v>81.73</v>
      </c>
    </row>
    <row r="957" spans="1:14" x14ac:dyDescent="0.3">
      <c r="A957" t="s">
        <v>664</v>
      </c>
      <c r="B957" t="s">
        <v>1016</v>
      </c>
      <c r="C957" t="s">
        <v>1023</v>
      </c>
      <c r="D957">
        <v>41</v>
      </c>
      <c r="E957">
        <v>12</v>
      </c>
      <c r="F957" s="3">
        <v>28617</v>
      </c>
      <c r="G957">
        <v>55</v>
      </c>
      <c r="H957">
        <v>11</v>
      </c>
      <c r="I957">
        <v>2</v>
      </c>
      <c r="J957">
        <v>23</v>
      </c>
      <c r="K957">
        <v>3.6</v>
      </c>
      <c r="L957" s="3">
        <v>9.6999999999999993</v>
      </c>
      <c r="M957" t="s">
        <v>1034</v>
      </c>
      <c r="N957">
        <v>87.33</v>
      </c>
    </row>
    <row r="958" spans="1:14" x14ac:dyDescent="0.3">
      <c r="A958" t="s">
        <v>726</v>
      </c>
      <c r="B958" t="s">
        <v>1018</v>
      </c>
      <c r="C958" t="s">
        <v>1027</v>
      </c>
      <c r="D958">
        <v>31</v>
      </c>
      <c r="E958">
        <v>8</v>
      </c>
      <c r="F958" s="3">
        <v>39490</v>
      </c>
      <c r="G958">
        <v>41</v>
      </c>
      <c r="H958">
        <v>13</v>
      </c>
      <c r="I958">
        <v>17</v>
      </c>
      <c r="J958">
        <v>39</v>
      </c>
      <c r="K958">
        <v>4.0999999999999996</v>
      </c>
      <c r="L958" s="3">
        <v>9.6999999999999993</v>
      </c>
      <c r="M958" t="s">
        <v>1034</v>
      </c>
      <c r="N958">
        <v>92.17</v>
      </c>
    </row>
    <row r="959" spans="1:14" x14ac:dyDescent="0.3">
      <c r="A959" t="s">
        <v>843</v>
      </c>
      <c r="B959" t="s">
        <v>1014</v>
      </c>
      <c r="C959" t="s">
        <v>1025</v>
      </c>
      <c r="D959">
        <v>35</v>
      </c>
      <c r="E959">
        <v>7</v>
      </c>
      <c r="F959" s="3">
        <v>56021</v>
      </c>
      <c r="G959">
        <v>36</v>
      </c>
      <c r="H959">
        <v>12</v>
      </c>
      <c r="I959">
        <v>5</v>
      </c>
      <c r="J959">
        <v>35</v>
      </c>
      <c r="K959">
        <v>3.1</v>
      </c>
      <c r="L959" s="3">
        <v>9.6999999999999993</v>
      </c>
      <c r="M959" t="s">
        <v>1034</v>
      </c>
      <c r="N959">
        <v>87.5</v>
      </c>
    </row>
    <row r="960" spans="1:14" x14ac:dyDescent="0.3">
      <c r="A960" t="s">
        <v>855</v>
      </c>
      <c r="B960" t="s">
        <v>1015</v>
      </c>
      <c r="C960" t="s">
        <v>1020</v>
      </c>
      <c r="D960">
        <v>32</v>
      </c>
      <c r="E960">
        <v>4</v>
      </c>
      <c r="F960" s="3">
        <v>34439</v>
      </c>
      <c r="G960">
        <v>40</v>
      </c>
      <c r="H960">
        <v>5</v>
      </c>
      <c r="I960">
        <v>24</v>
      </c>
      <c r="J960">
        <v>5</v>
      </c>
      <c r="K960">
        <v>2.5</v>
      </c>
      <c r="L960" s="3">
        <v>9.6999999999999993</v>
      </c>
      <c r="M960" t="s">
        <v>1034</v>
      </c>
      <c r="N960">
        <v>74.03</v>
      </c>
    </row>
    <row r="961" spans="1:14" x14ac:dyDescent="0.3">
      <c r="A961" t="s">
        <v>865</v>
      </c>
      <c r="B961" t="s">
        <v>1016</v>
      </c>
      <c r="C961" t="s">
        <v>1033</v>
      </c>
      <c r="D961">
        <v>38</v>
      </c>
      <c r="E961">
        <v>14</v>
      </c>
      <c r="F961" s="3">
        <v>42892</v>
      </c>
      <c r="G961">
        <v>42</v>
      </c>
      <c r="H961">
        <v>11</v>
      </c>
      <c r="I961">
        <v>10</v>
      </c>
      <c r="J961">
        <v>21</v>
      </c>
      <c r="K961">
        <v>2.6</v>
      </c>
      <c r="L961" s="3">
        <v>9.6999999999999993</v>
      </c>
      <c r="M961" t="s">
        <v>1034</v>
      </c>
      <c r="N961">
        <v>84.33</v>
      </c>
    </row>
    <row r="962" spans="1:14" x14ac:dyDescent="0.3">
      <c r="A962" t="s">
        <v>152</v>
      </c>
      <c r="B962" t="s">
        <v>1016</v>
      </c>
      <c r="C962" t="s">
        <v>1023</v>
      </c>
      <c r="D962">
        <v>49</v>
      </c>
      <c r="E962">
        <v>12</v>
      </c>
      <c r="F962" s="3">
        <v>71497</v>
      </c>
      <c r="G962">
        <v>55</v>
      </c>
      <c r="H962">
        <v>7</v>
      </c>
      <c r="I962">
        <v>9</v>
      </c>
      <c r="J962">
        <v>7</v>
      </c>
      <c r="K962">
        <v>3.2</v>
      </c>
      <c r="L962" s="3">
        <v>9.8000000000000007</v>
      </c>
      <c r="M962" t="s">
        <v>1034</v>
      </c>
      <c r="N962">
        <v>80.069999999999993</v>
      </c>
    </row>
    <row r="963" spans="1:14" x14ac:dyDescent="0.3">
      <c r="A963" t="s">
        <v>280</v>
      </c>
      <c r="B963" t="s">
        <v>1017</v>
      </c>
      <c r="C963" t="s">
        <v>1026</v>
      </c>
      <c r="D963">
        <v>30</v>
      </c>
      <c r="E963">
        <v>4</v>
      </c>
      <c r="F963" s="3">
        <v>46015</v>
      </c>
      <c r="G963">
        <v>54</v>
      </c>
      <c r="H963">
        <v>12</v>
      </c>
      <c r="I963">
        <v>6</v>
      </c>
      <c r="J963">
        <v>30</v>
      </c>
      <c r="K963">
        <v>2.9</v>
      </c>
      <c r="L963" s="3">
        <v>9.8000000000000007</v>
      </c>
      <c r="M963" t="s">
        <v>1034</v>
      </c>
      <c r="N963">
        <v>87.5</v>
      </c>
    </row>
    <row r="964" spans="1:14" x14ac:dyDescent="0.3">
      <c r="A964" t="s">
        <v>321</v>
      </c>
      <c r="B964" t="s">
        <v>1017</v>
      </c>
      <c r="C964" t="s">
        <v>1026</v>
      </c>
      <c r="D964">
        <v>46</v>
      </c>
      <c r="E964">
        <v>3</v>
      </c>
      <c r="F964" s="3">
        <v>40799</v>
      </c>
      <c r="G964">
        <v>50</v>
      </c>
      <c r="H964">
        <v>11</v>
      </c>
      <c r="I964">
        <v>19</v>
      </c>
      <c r="J964">
        <v>4</v>
      </c>
      <c r="K964">
        <v>3.6</v>
      </c>
      <c r="L964" s="3">
        <v>9.8000000000000007</v>
      </c>
      <c r="M964" t="s">
        <v>1034</v>
      </c>
      <c r="N964">
        <v>87.93</v>
      </c>
    </row>
    <row r="965" spans="1:14" x14ac:dyDescent="0.3">
      <c r="A965" t="s">
        <v>353</v>
      </c>
      <c r="B965" t="s">
        <v>1018</v>
      </c>
      <c r="C965" t="s">
        <v>1028</v>
      </c>
      <c r="D965">
        <v>23</v>
      </c>
      <c r="E965">
        <v>1</v>
      </c>
      <c r="F965" s="3">
        <v>28839</v>
      </c>
      <c r="G965">
        <v>50</v>
      </c>
      <c r="H965">
        <v>9</v>
      </c>
      <c r="I965">
        <v>11</v>
      </c>
      <c r="J965">
        <v>37</v>
      </c>
      <c r="K965">
        <v>5</v>
      </c>
      <c r="L965" s="3">
        <v>9.8000000000000007</v>
      </c>
      <c r="M965" t="s">
        <v>1034</v>
      </c>
      <c r="N965">
        <v>88.8</v>
      </c>
    </row>
    <row r="966" spans="1:14" x14ac:dyDescent="0.3">
      <c r="A966" t="s">
        <v>415</v>
      </c>
      <c r="B966" t="s">
        <v>1014</v>
      </c>
      <c r="C966" t="s">
        <v>1031</v>
      </c>
      <c r="D966">
        <v>54</v>
      </c>
      <c r="E966">
        <v>2</v>
      </c>
      <c r="F966" s="3">
        <v>72419</v>
      </c>
      <c r="G966">
        <v>38</v>
      </c>
      <c r="H966">
        <v>15</v>
      </c>
      <c r="I966">
        <v>8</v>
      </c>
      <c r="J966">
        <v>14</v>
      </c>
      <c r="K966">
        <v>3.4</v>
      </c>
      <c r="L966" s="3">
        <v>9.8000000000000007</v>
      </c>
      <c r="M966" t="s">
        <v>1034</v>
      </c>
      <c r="N966">
        <v>94</v>
      </c>
    </row>
    <row r="967" spans="1:14" x14ac:dyDescent="0.3">
      <c r="A967" t="s">
        <v>470</v>
      </c>
      <c r="B967" t="s">
        <v>1018</v>
      </c>
      <c r="C967" t="s">
        <v>1027</v>
      </c>
      <c r="D967">
        <v>54</v>
      </c>
      <c r="E967">
        <v>4</v>
      </c>
      <c r="F967" s="3">
        <v>54243</v>
      </c>
      <c r="G967">
        <v>40</v>
      </c>
      <c r="H967">
        <v>3</v>
      </c>
      <c r="I967">
        <v>18</v>
      </c>
      <c r="J967">
        <v>36</v>
      </c>
      <c r="K967">
        <v>4</v>
      </c>
      <c r="L967" s="3">
        <v>9.8000000000000007</v>
      </c>
      <c r="M967" t="s">
        <v>1034</v>
      </c>
      <c r="N967">
        <v>75.8</v>
      </c>
    </row>
    <row r="968" spans="1:14" x14ac:dyDescent="0.3">
      <c r="A968" t="s">
        <v>574</v>
      </c>
      <c r="B968" t="s">
        <v>1018</v>
      </c>
      <c r="C968" t="s">
        <v>1027</v>
      </c>
      <c r="D968">
        <v>23</v>
      </c>
      <c r="E968">
        <v>1</v>
      </c>
      <c r="F968" s="3">
        <v>69847</v>
      </c>
      <c r="G968">
        <v>46</v>
      </c>
      <c r="H968">
        <v>6</v>
      </c>
      <c r="I968">
        <v>20</v>
      </c>
      <c r="J968">
        <v>19</v>
      </c>
      <c r="K968">
        <v>2.7</v>
      </c>
      <c r="L968" s="3">
        <v>9.8000000000000007</v>
      </c>
      <c r="M968" t="s">
        <v>1034</v>
      </c>
      <c r="N968">
        <v>76.900000000000006</v>
      </c>
    </row>
    <row r="969" spans="1:14" x14ac:dyDescent="0.3">
      <c r="A969" t="s">
        <v>583</v>
      </c>
      <c r="B969" t="s">
        <v>1017</v>
      </c>
      <c r="C969" t="s">
        <v>1026</v>
      </c>
      <c r="D969">
        <v>53</v>
      </c>
      <c r="E969">
        <v>15</v>
      </c>
      <c r="F969" s="3">
        <v>34012</v>
      </c>
      <c r="G969">
        <v>40</v>
      </c>
      <c r="H969">
        <v>4</v>
      </c>
      <c r="I969">
        <v>7</v>
      </c>
      <c r="J969">
        <v>2</v>
      </c>
      <c r="K969">
        <v>3.2</v>
      </c>
      <c r="L969" s="3">
        <v>9.8000000000000007</v>
      </c>
      <c r="M969" t="s">
        <v>1034</v>
      </c>
      <c r="N969">
        <v>75.069999999999993</v>
      </c>
    </row>
    <row r="970" spans="1:14" x14ac:dyDescent="0.3">
      <c r="A970" t="s">
        <v>626</v>
      </c>
      <c r="B970" t="s">
        <v>1015</v>
      </c>
      <c r="C970" t="s">
        <v>1021</v>
      </c>
      <c r="D970">
        <v>51</v>
      </c>
      <c r="E970">
        <v>12</v>
      </c>
      <c r="F970" s="3">
        <v>63701</v>
      </c>
      <c r="G970">
        <v>48</v>
      </c>
      <c r="H970">
        <v>4</v>
      </c>
      <c r="I970">
        <v>19</v>
      </c>
      <c r="J970">
        <v>15</v>
      </c>
      <c r="K970">
        <v>3.6</v>
      </c>
      <c r="L970" s="3">
        <v>9.8000000000000007</v>
      </c>
      <c r="M970" t="s">
        <v>1034</v>
      </c>
      <c r="N970">
        <v>76.27</v>
      </c>
    </row>
    <row r="971" spans="1:14" x14ac:dyDescent="0.3">
      <c r="A971" t="s">
        <v>667</v>
      </c>
      <c r="B971" t="s">
        <v>1015</v>
      </c>
      <c r="C971" t="s">
        <v>1021</v>
      </c>
      <c r="D971">
        <v>37</v>
      </c>
      <c r="E971">
        <v>15</v>
      </c>
      <c r="F971" s="3">
        <v>50478</v>
      </c>
      <c r="G971">
        <v>37</v>
      </c>
      <c r="H971">
        <v>13</v>
      </c>
      <c r="I971">
        <v>17</v>
      </c>
      <c r="J971">
        <v>19</v>
      </c>
      <c r="K971">
        <v>3.5</v>
      </c>
      <c r="L971" s="3">
        <v>9.8000000000000007</v>
      </c>
      <c r="M971" t="s">
        <v>1034</v>
      </c>
      <c r="N971">
        <v>90.97</v>
      </c>
    </row>
    <row r="972" spans="1:14" x14ac:dyDescent="0.3">
      <c r="A972" t="s">
        <v>684</v>
      </c>
      <c r="B972" t="s">
        <v>1018</v>
      </c>
      <c r="C972" t="s">
        <v>1028</v>
      </c>
      <c r="D972">
        <v>51</v>
      </c>
      <c r="E972">
        <v>5</v>
      </c>
      <c r="F972" s="3">
        <v>50384</v>
      </c>
      <c r="G972">
        <v>46</v>
      </c>
      <c r="H972">
        <v>3</v>
      </c>
      <c r="I972">
        <v>14</v>
      </c>
      <c r="J972">
        <v>12</v>
      </c>
      <c r="K972">
        <v>3.9</v>
      </c>
      <c r="L972" s="3">
        <v>9.8000000000000007</v>
      </c>
      <c r="M972" t="s">
        <v>1034</v>
      </c>
      <c r="N972">
        <v>75.5</v>
      </c>
    </row>
    <row r="973" spans="1:14" x14ac:dyDescent="0.3">
      <c r="A973" t="s">
        <v>706</v>
      </c>
      <c r="B973" t="s">
        <v>1017</v>
      </c>
      <c r="C973" t="s">
        <v>1030</v>
      </c>
      <c r="D973">
        <v>38</v>
      </c>
      <c r="E973">
        <v>11</v>
      </c>
      <c r="F973" s="3">
        <v>37091</v>
      </c>
      <c r="G973">
        <v>41</v>
      </c>
      <c r="H973">
        <v>9</v>
      </c>
      <c r="I973">
        <v>22</v>
      </c>
      <c r="J973">
        <v>2</v>
      </c>
      <c r="K973">
        <v>4</v>
      </c>
      <c r="L973" s="3">
        <v>9.8000000000000007</v>
      </c>
      <c r="M973" t="s">
        <v>1034</v>
      </c>
      <c r="N973">
        <v>85.8</v>
      </c>
    </row>
    <row r="974" spans="1:14" x14ac:dyDescent="0.3">
      <c r="A974" t="s">
        <v>720</v>
      </c>
      <c r="B974" t="s">
        <v>1015</v>
      </c>
      <c r="C974" t="s">
        <v>1029</v>
      </c>
      <c r="D974">
        <v>45</v>
      </c>
      <c r="E974">
        <v>15</v>
      </c>
      <c r="F974" s="3">
        <v>62065</v>
      </c>
      <c r="G974">
        <v>48</v>
      </c>
      <c r="H974">
        <v>14</v>
      </c>
      <c r="I974">
        <v>8</v>
      </c>
      <c r="J974">
        <v>40</v>
      </c>
      <c r="K974">
        <v>4.0999999999999996</v>
      </c>
      <c r="L974" s="3">
        <v>9.8000000000000007</v>
      </c>
      <c r="M974" t="s">
        <v>1034</v>
      </c>
      <c r="N974">
        <v>94.43</v>
      </c>
    </row>
    <row r="975" spans="1:14" x14ac:dyDescent="0.3">
      <c r="A975" t="s">
        <v>789</v>
      </c>
      <c r="B975" t="s">
        <v>1015</v>
      </c>
      <c r="C975" t="s">
        <v>1021</v>
      </c>
      <c r="D975">
        <v>49</v>
      </c>
      <c r="E975">
        <v>4</v>
      </c>
      <c r="F975" s="3">
        <v>42065</v>
      </c>
      <c r="G975">
        <v>38</v>
      </c>
      <c r="H975">
        <v>6</v>
      </c>
      <c r="I975">
        <v>1</v>
      </c>
      <c r="J975">
        <v>8</v>
      </c>
      <c r="K975">
        <v>3.5</v>
      </c>
      <c r="L975" s="3">
        <v>9.8000000000000007</v>
      </c>
      <c r="M975" t="s">
        <v>1034</v>
      </c>
      <c r="N975">
        <v>79.3</v>
      </c>
    </row>
    <row r="976" spans="1:14" x14ac:dyDescent="0.3">
      <c r="A976" t="s">
        <v>860</v>
      </c>
      <c r="B976" t="s">
        <v>1018</v>
      </c>
      <c r="C976" t="s">
        <v>1032</v>
      </c>
      <c r="D976">
        <v>41</v>
      </c>
      <c r="E976">
        <v>13</v>
      </c>
      <c r="F976" s="3">
        <v>54227</v>
      </c>
      <c r="G976">
        <v>37</v>
      </c>
      <c r="H976">
        <v>14</v>
      </c>
      <c r="I976">
        <v>20</v>
      </c>
      <c r="J976">
        <v>32</v>
      </c>
      <c r="K976">
        <v>2.6</v>
      </c>
      <c r="L976" s="3">
        <v>9.8000000000000007</v>
      </c>
      <c r="M976" t="s">
        <v>1034</v>
      </c>
      <c r="N976">
        <v>89.93</v>
      </c>
    </row>
    <row r="977" spans="1:14" x14ac:dyDescent="0.3">
      <c r="A977" t="s">
        <v>945</v>
      </c>
      <c r="B977" t="s">
        <v>1016</v>
      </c>
      <c r="C977" t="s">
        <v>1033</v>
      </c>
      <c r="D977">
        <v>40</v>
      </c>
      <c r="E977">
        <v>14</v>
      </c>
      <c r="F977" s="3">
        <v>88420</v>
      </c>
      <c r="G977">
        <v>55</v>
      </c>
      <c r="H977">
        <v>4</v>
      </c>
      <c r="I977">
        <v>8</v>
      </c>
      <c r="J977">
        <v>30</v>
      </c>
      <c r="K977">
        <v>2.2000000000000002</v>
      </c>
      <c r="L977" s="3">
        <v>9.8000000000000007</v>
      </c>
      <c r="M977" t="s">
        <v>1034</v>
      </c>
      <c r="N977">
        <v>72.069999999999993</v>
      </c>
    </row>
    <row r="978" spans="1:14" x14ac:dyDescent="0.3">
      <c r="A978" t="s">
        <v>1012</v>
      </c>
      <c r="B978" t="s">
        <v>1018</v>
      </c>
      <c r="C978" t="s">
        <v>1032</v>
      </c>
      <c r="D978">
        <v>54</v>
      </c>
      <c r="E978">
        <v>11</v>
      </c>
      <c r="F978" s="3">
        <v>87421</v>
      </c>
      <c r="G978">
        <v>36</v>
      </c>
      <c r="H978">
        <v>7</v>
      </c>
      <c r="I978">
        <v>15</v>
      </c>
      <c r="J978">
        <v>24</v>
      </c>
      <c r="K978">
        <v>2.5</v>
      </c>
      <c r="L978" s="3">
        <v>9.8000000000000007</v>
      </c>
      <c r="M978" t="s">
        <v>1034</v>
      </c>
      <c r="N978">
        <v>77.97</v>
      </c>
    </row>
    <row r="979" spans="1:14" x14ac:dyDescent="0.3">
      <c r="A979" t="s">
        <v>56</v>
      </c>
      <c r="B979" t="s">
        <v>1016</v>
      </c>
      <c r="C979" t="s">
        <v>1023</v>
      </c>
      <c r="D979">
        <v>24</v>
      </c>
      <c r="E979">
        <v>0</v>
      </c>
      <c r="F979" s="3">
        <v>64096</v>
      </c>
      <c r="G979">
        <v>48</v>
      </c>
      <c r="H979">
        <v>6</v>
      </c>
      <c r="I979">
        <v>23</v>
      </c>
      <c r="J979">
        <v>20</v>
      </c>
      <c r="K979">
        <v>3.3</v>
      </c>
      <c r="L979" s="3">
        <v>9.9</v>
      </c>
      <c r="M979" t="s">
        <v>1034</v>
      </c>
      <c r="N979">
        <v>79.3</v>
      </c>
    </row>
    <row r="980" spans="1:14" x14ac:dyDescent="0.3">
      <c r="A980" t="s">
        <v>117</v>
      </c>
      <c r="B980" t="s">
        <v>1014</v>
      </c>
      <c r="C980" t="s">
        <v>1031</v>
      </c>
      <c r="D980">
        <v>51</v>
      </c>
      <c r="E980">
        <v>9</v>
      </c>
      <c r="F980" s="3">
        <v>69407</v>
      </c>
      <c r="G980">
        <v>52</v>
      </c>
      <c r="H980">
        <v>3</v>
      </c>
      <c r="I980">
        <v>2</v>
      </c>
      <c r="J980">
        <v>28</v>
      </c>
      <c r="K980">
        <v>4.8</v>
      </c>
      <c r="L980" s="3">
        <v>9.9</v>
      </c>
      <c r="M980" t="s">
        <v>1034</v>
      </c>
      <c r="N980">
        <v>78.8</v>
      </c>
    </row>
    <row r="981" spans="1:14" x14ac:dyDescent="0.3">
      <c r="A981" t="s">
        <v>211</v>
      </c>
      <c r="B981" t="s">
        <v>1018</v>
      </c>
      <c r="C981" t="s">
        <v>1027</v>
      </c>
      <c r="D981">
        <v>45</v>
      </c>
      <c r="E981">
        <v>9</v>
      </c>
      <c r="F981" s="3">
        <v>29818</v>
      </c>
      <c r="G981">
        <v>47</v>
      </c>
      <c r="H981">
        <v>9</v>
      </c>
      <c r="I981">
        <v>14</v>
      </c>
      <c r="J981">
        <v>35</v>
      </c>
      <c r="K981">
        <v>2.8</v>
      </c>
      <c r="L981" s="3">
        <v>9.9</v>
      </c>
      <c r="M981" t="s">
        <v>1034</v>
      </c>
      <c r="N981">
        <v>82.8</v>
      </c>
    </row>
    <row r="982" spans="1:14" x14ac:dyDescent="0.3">
      <c r="A982" t="s">
        <v>242</v>
      </c>
      <c r="B982" t="s">
        <v>1017</v>
      </c>
      <c r="C982" t="s">
        <v>1026</v>
      </c>
      <c r="D982">
        <v>46</v>
      </c>
      <c r="E982">
        <v>2</v>
      </c>
      <c r="F982" s="3">
        <v>69743</v>
      </c>
      <c r="G982">
        <v>52</v>
      </c>
      <c r="H982">
        <v>3</v>
      </c>
      <c r="I982">
        <v>20</v>
      </c>
      <c r="J982">
        <v>22</v>
      </c>
      <c r="K982">
        <v>2.4</v>
      </c>
      <c r="L982" s="3">
        <v>9.9</v>
      </c>
      <c r="M982" t="s">
        <v>1034</v>
      </c>
      <c r="N982">
        <v>71.599999999999994</v>
      </c>
    </row>
    <row r="983" spans="1:14" x14ac:dyDescent="0.3">
      <c r="A983" t="s">
        <v>351</v>
      </c>
      <c r="B983" t="s">
        <v>1017</v>
      </c>
      <c r="C983" t="s">
        <v>1024</v>
      </c>
      <c r="D983">
        <v>34</v>
      </c>
      <c r="E983">
        <v>10</v>
      </c>
      <c r="F983" s="3">
        <v>82976</v>
      </c>
      <c r="G983">
        <v>51</v>
      </c>
      <c r="H983">
        <v>4</v>
      </c>
      <c r="I983">
        <v>20</v>
      </c>
      <c r="J983">
        <v>34</v>
      </c>
      <c r="K983">
        <v>4.4000000000000004</v>
      </c>
      <c r="L983" s="3">
        <v>9.9</v>
      </c>
      <c r="M983" t="s">
        <v>1034</v>
      </c>
      <c r="N983">
        <v>79.27</v>
      </c>
    </row>
    <row r="984" spans="1:14" x14ac:dyDescent="0.3">
      <c r="A984" t="s">
        <v>505</v>
      </c>
      <c r="B984" t="s">
        <v>1017</v>
      </c>
      <c r="C984" t="s">
        <v>1024</v>
      </c>
      <c r="D984">
        <v>22</v>
      </c>
      <c r="E984">
        <v>0</v>
      </c>
      <c r="F984" s="3">
        <v>80575</v>
      </c>
      <c r="G984">
        <v>50</v>
      </c>
      <c r="H984">
        <v>6</v>
      </c>
      <c r="I984">
        <v>19</v>
      </c>
      <c r="J984">
        <v>20</v>
      </c>
      <c r="K984">
        <v>3.5</v>
      </c>
      <c r="L984" s="3">
        <v>9.9</v>
      </c>
      <c r="M984" t="s">
        <v>1034</v>
      </c>
      <c r="N984">
        <v>79.900000000000006</v>
      </c>
    </row>
    <row r="985" spans="1:14" x14ac:dyDescent="0.3">
      <c r="A985" t="s">
        <v>534</v>
      </c>
      <c r="B985" t="s">
        <v>1017</v>
      </c>
      <c r="C985" t="s">
        <v>1026</v>
      </c>
      <c r="D985">
        <v>50</v>
      </c>
      <c r="E985">
        <v>7</v>
      </c>
      <c r="F985" s="3">
        <v>73340</v>
      </c>
      <c r="G985">
        <v>36</v>
      </c>
      <c r="H985">
        <v>4</v>
      </c>
      <c r="I985">
        <v>14</v>
      </c>
      <c r="J985">
        <v>6</v>
      </c>
      <c r="K985">
        <v>3.6</v>
      </c>
      <c r="L985" s="3">
        <v>9.9</v>
      </c>
      <c r="M985" t="s">
        <v>1034</v>
      </c>
      <c r="N985">
        <v>76.87</v>
      </c>
    </row>
    <row r="986" spans="1:14" x14ac:dyDescent="0.3">
      <c r="A986" t="s">
        <v>603</v>
      </c>
      <c r="B986" t="s">
        <v>1015</v>
      </c>
      <c r="C986" t="s">
        <v>1029</v>
      </c>
      <c r="D986">
        <v>53</v>
      </c>
      <c r="E986">
        <v>15</v>
      </c>
      <c r="F986" s="3">
        <v>77951</v>
      </c>
      <c r="G986">
        <v>40</v>
      </c>
      <c r="H986">
        <v>15</v>
      </c>
      <c r="I986">
        <v>19</v>
      </c>
      <c r="J986">
        <v>14</v>
      </c>
      <c r="K986">
        <v>4.0999999999999996</v>
      </c>
      <c r="L986" s="3">
        <v>9.9</v>
      </c>
      <c r="M986" t="s">
        <v>1034</v>
      </c>
      <c r="N986">
        <v>96.7</v>
      </c>
    </row>
    <row r="987" spans="1:14" x14ac:dyDescent="0.3">
      <c r="A987" t="s">
        <v>644</v>
      </c>
      <c r="B987" t="s">
        <v>1015</v>
      </c>
      <c r="C987" t="s">
        <v>1020</v>
      </c>
      <c r="D987">
        <v>38</v>
      </c>
      <c r="E987">
        <v>1</v>
      </c>
      <c r="F987" s="3">
        <v>66241</v>
      </c>
      <c r="G987">
        <v>50</v>
      </c>
      <c r="H987">
        <v>10</v>
      </c>
      <c r="I987">
        <v>5</v>
      </c>
      <c r="J987">
        <v>36</v>
      </c>
      <c r="K987">
        <v>2.2000000000000002</v>
      </c>
      <c r="L987" s="3">
        <v>9.9</v>
      </c>
      <c r="M987" t="s">
        <v>1034</v>
      </c>
      <c r="N987">
        <v>82.67</v>
      </c>
    </row>
    <row r="988" spans="1:14" x14ac:dyDescent="0.3">
      <c r="A988" t="s">
        <v>740</v>
      </c>
      <c r="B988" t="s">
        <v>1015</v>
      </c>
      <c r="C988" t="s">
        <v>1029</v>
      </c>
      <c r="D988">
        <v>28</v>
      </c>
      <c r="E988">
        <v>2</v>
      </c>
      <c r="F988" s="3">
        <v>29240</v>
      </c>
      <c r="G988">
        <v>46</v>
      </c>
      <c r="H988">
        <v>4</v>
      </c>
      <c r="I988">
        <v>10</v>
      </c>
      <c r="J988">
        <v>12</v>
      </c>
      <c r="K988">
        <v>3.8</v>
      </c>
      <c r="L988" s="3">
        <v>9.9</v>
      </c>
      <c r="M988" t="s">
        <v>1034</v>
      </c>
      <c r="N988">
        <v>77.47</v>
      </c>
    </row>
    <row r="989" spans="1:14" x14ac:dyDescent="0.3">
      <c r="A989" t="s">
        <v>763</v>
      </c>
      <c r="B989" t="s">
        <v>1014</v>
      </c>
      <c r="C989" t="s">
        <v>1031</v>
      </c>
      <c r="D989">
        <v>31</v>
      </c>
      <c r="E989">
        <v>3</v>
      </c>
      <c r="F989" s="3">
        <v>26815</v>
      </c>
      <c r="G989">
        <v>42</v>
      </c>
      <c r="H989">
        <v>13</v>
      </c>
      <c r="I989">
        <v>9</v>
      </c>
      <c r="J989">
        <v>29</v>
      </c>
      <c r="K989">
        <v>3.5</v>
      </c>
      <c r="L989" s="3">
        <v>9.9</v>
      </c>
      <c r="M989" t="s">
        <v>1034</v>
      </c>
      <c r="N989">
        <v>91.57</v>
      </c>
    </row>
    <row r="990" spans="1:14" x14ac:dyDescent="0.3">
      <c r="A990" t="s">
        <v>804</v>
      </c>
      <c r="B990" t="s">
        <v>1015</v>
      </c>
      <c r="C990" t="s">
        <v>1020</v>
      </c>
      <c r="D990">
        <v>27</v>
      </c>
      <c r="E990">
        <v>2</v>
      </c>
      <c r="F990" s="3">
        <v>55685</v>
      </c>
      <c r="G990">
        <v>48</v>
      </c>
      <c r="H990">
        <v>2</v>
      </c>
      <c r="I990">
        <v>25</v>
      </c>
      <c r="J990">
        <v>30</v>
      </c>
      <c r="K990">
        <v>2.9</v>
      </c>
      <c r="L990" s="3">
        <v>9.9</v>
      </c>
      <c r="M990" t="s">
        <v>1034</v>
      </c>
      <c r="N990">
        <v>71.430000000000007</v>
      </c>
    </row>
    <row r="991" spans="1:14" x14ac:dyDescent="0.3">
      <c r="A991" t="s">
        <v>837</v>
      </c>
      <c r="B991" t="s">
        <v>1014</v>
      </c>
      <c r="C991" t="s">
        <v>1025</v>
      </c>
      <c r="D991">
        <v>50</v>
      </c>
      <c r="E991">
        <v>9</v>
      </c>
      <c r="F991" s="3">
        <v>62515</v>
      </c>
      <c r="G991">
        <v>35</v>
      </c>
      <c r="H991">
        <v>8</v>
      </c>
      <c r="I991">
        <v>10</v>
      </c>
      <c r="J991">
        <v>15</v>
      </c>
      <c r="K991">
        <v>4.4000000000000004</v>
      </c>
      <c r="L991" s="3">
        <v>9.9</v>
      </c>
      <c r="M991" t="s">
        <v>1034</v>
      </c>
      <c r="N991">
        <v>85.93</v>
      </c>
    </row>
    <row r="992" spans="1:14" x14ac:dyDescent="0.3">
      <c r="A992" t="s">
        <v>934</v>
      </c>
      <c r="B992" t="s">
        <v>1015</v>
      </c>
      <c r="C992" t="s">
        <v>1020</v>
      </c>
      <c r="D992">
        <v>45</v>
      </c>
      <c r="E992">
        <v>1</v>
      </c>
      <c r="F992" s="3">
        <v>29412</v>
      </c>
      <c r="G992">
        <v>41</v>
      </c>
      <c r="H992">
        <v>7</v>
      </c>
      <c r="I992">
        <v>9</v>
      </c>
      <c r="J992">
        <v>38</v>
      </c>
      <c r="K992">
        <v>3.5</v>
      </c>
      <c r="L992" s="3">
        <v>9.9</v>
      </c>
      <c r="M992" t="s">
        <v>1034</v>
      </c>
      <c r="N992">
        <v>81.569999999999993</v>
      </c>
    </row>
    <row r="993" spans="1:14" x14ac:dyDescent="0.3">
      <c r="A993" t="s">
        <v>984</v>
      </c>
      <c r="B993" t="s">
        <v>1018</v>
      </c>
      <c r="C993" t="s">
        <v>1027</v>
      </c>
      <c r="D993">
        <v>22</v>
      </c>
      <c r="E993">
        <v>1</v>
      </c>
      <c r="F993" s="3">
        <v>72576</v>
      </c>
      <c r="G993">
        <v>53</v>
      </c>
      <c r="H993">
        <v>2</v>
      </c>
      <c r="I993">
        <v>21</v>
      </c>
      <c r="J993">
        <v>9</v>
      </c>
      <c r="K993">
        <v>3.1</v>
      </c>
      <c r="L993" s="3">
        <v>9.9</v>
      </c>
      <c r="M993" t="s">
        <v>1034</v>
      </c>
      <c r="N993">
        <v>72.03</v>
      </c>
    </row>
    <row r="994" spans="1:14" x14ac:dyDescent="0.3">
      <c r="A994" t="s">
        <v>1006</v>
      </c>
      <c r="B994" t="s">
        <v>1014</v>
      </c>
      <c r="C994" t="s">
        <v>1031</v>
      </c>
      <c r="D994">
        <v>45</v>
      </c>
      <c r="E994">
        <v>7</v>
      </c>
      <c r="F994" s="3">
        <v>69447</v>
      </c>
      <c r="G994">
        <v>54</v>
      </c>
      <c r="H994">
        <v>7</v>
      </c>
      <c r="I994">
        <v>22</v>
      </c>
      <c r="J994">
        <v>29</v>
      </c>
      <c r="K994">
        <v>2.5</v>
      </c>
      <c r="L994" s="3">
        <v>9.9</v>
      </c>
      <c r="M994" t="s">
        <v>1034</v>
      </c>
      <c r="N994">
        <v>78.569999999999993</v>
      </c>
    </row>
    <row r="995" spans="1:14" x14ac:dyDescent="0.3">
      <c r="A995" t="s">
        <v>44</v>
      </c>
      <c r="B995" t="s">
        <v>1016</v>
      </c>
      <c r="C995" t="s">
        <v>1023</v>
      </c>
      <c r="D995">
        <v>51</v>
      </c>
      <c r="E995">
        <v>10</v>
      </c>
      <c r="F995" s="3">
        <v>85884</v>
      </c>
      <c r="G995">
        <v>37</v>
      </c>
      <c r="H995">
        <v>1</v>
      </c>
      <c r="I995">
        <v>14</v>
      </c>
      <c r="J995">
        <v>39</v>
      </c>
      <c r="K995">
        <v>5</v>
      </c>
      <c r="L995" s="3">
        <v>10</v>
      </c>
      <c r="M995" t="s">
        <v>1034</v>
      </c>
      <c r="N995">
        <v>76.67</v>
      </c>
    </row>
    <row r="996" spans="1:14" x14ac:dyDescent="0.3">
      <c r="A996" t="s">
        <v>166</v>
      </c>
      <c r="B996" t="s">
        <v>1016</v>
      </c>
      <c r="C996" t="s">
        <v>1023</v>
      </c>
      <c r="D996">
        <v>23</v>
      </c>
      <c r="E996">
        <v>1</v>
      </c>
      <c r="F996" s="3">
        <v>45241</v>
      </c>
      <c r="G996">
        <v>40</v>
      </c>
      <c r="H996">
        <v>4</v>
      </c>
      <c r="I996">
        <v>10</v>
      </c>
      <c r="J996">
        <v>31</v>
      </c>
      <c r="K996">
        <v>2.6</v>
      </c>
      <c r="L996" s="3">
        <v>10</v>
      </c>
      <c r="M996" t="s">
        <v>1034</v>
      </c>
      <c r="N996">
        <v>74.47</v>
      </c>
    </row>
    <row r="997" spans="1:14" x14ac:dyDescent="0.3">
      <c r="A997" t="s">
        <v>361</v>
      </c>
      <c r="B997" t="s">
        <v>1017</v>
      </c>
      <c r="C997" t="s">
        <v>1024</v>
      </c>
      <c r="D997">
        <v>41</v>
      </c>
      <c r="E997">
        <v>9</v>
      </c>
      <c r="F997" s="3">
        <v>33345</v>
      </c>
      <c r="G997">
        <v>40</v>
      </c>
      <c r="H997">
        <v>12</v>
      </c>
      <c r="I997">
        <v>0</v>
      </c>
      <c r="J997">
        <v>36</v>
      </c>
      <c r="K997">
        <v>3.2</v>
      </c>
      <c r="L997" s="3">
        <v>10</v>
      </c>
      <c r="M997" t="s">
        <v>1034</v>
      </c>
      <c r="N997">
        <v>89.6</v>
      </c>
    </row>
    <row r="998" spans="1:14" x14ac:dyDescent="0.3">
      <c r="A998" t="s">
        <v>395</v>
      </c>
      <c r="B998" t="s">
        <v>1014</v>
      </c>
      <c r="C998" t="s">
        <v>1019</v>
      </c>
      <c r="D998">
        <v>53</v>
      </c>
      <c r="E998">
        <v>9</v>
      </c>
      <c r="F998" s="3">
        <v>42001</v>
      </c>
      <c r="G998">
        <v>48</v>
      </c>
      <c r="H998">
        <v>7</v>
      </c>
      <c r="I998">
        <v>12</v>
      </c>
      <c r="J998">
        <v>2</v>
      </c>
      <c r="K998">
        <v>3.7</v>
      </c>
      <c r="L998" s="3">
        <v>10</v>
      </c>
      <c r="M998" t="s">
        <v>1034</v>
      </c>
      <c r="N998">
        <v>82.77</v>
      </c>
    </row>
    <row r="999" spans="1:14" x14ac:dyDescent="0.3">
      <c r="A999" t="s">
        <v>449</v>
      </c>
      <c r="B999" t="s">
        <v>1018</v>
      </c>
      <c r="C999" t="s">
        <v>1027</v>
      </c>
      <c r="D999">
        <v>43</v>
      </c>
      <c r="E999">
        <v>10</v>
      </c>
      <c r="F999" s="3">
        <v>48645</v>
      </c>
      <c r="G999">
        <v>44</v>
      </c>
      <c r="H999">
        <v>4</v>
      </c>
      <c r="I999">
        <v>24</v>
      </c>
      <c r="J999">
        <v>39</v>
      </c>
      <c r="K999">
        <v>3.6</v>
      </c>
      <c r="L999" s="3">
        <v>10</v>
      </c>
      <c r="M999" t="s">
        <v>1034</v>
      </c>
      <c r="N999">
        <v>77.47</v>
      </c>
    </row>
    <row r="1000" spans="1:14" x14ac:dyDescent="0.3">
      <c r="A1000" t="s">
        <v>552</v>
      </c>
      <c r="B1000" t="s">
        <v>1016</v>
      </c>
      <c r="C1000" t="s">
        <v>1033</v>
      </c>
      <c r="D1000">
        <v>32</v>
      </c>
      <c r="E1000">
        <v>8</v>
      </c>
      <c r="F1000" s="3">
        <v>64316</v>
      </c>
      <c r="G1000">
        <v>49</v>
      </c>
      <c r="H1000">
        <v>15</v>
      </c>
      <c r="I1000">
        <v>11</v>
      </c>
      <c r="J1000">
        <v>20</v>
      </c>
      <c r="K1000">
        <v>3.7</v>
      </c>
      <c r="L1000" s="3">
        <v>10</v>
      </c>
      <c r="M1000" t="s">
        <v>1034</v>
      </c>
      <c r="N1000">
        <v>96.1</v>
      </c>
    </row>
    <row r="1001" spans="1:14" x14ac:dyDescent="0.3">
      <c r="A1001" t="s">
        <v>794</v>
      </c>
      <c r="B1001" t="s">
        <v>1018</v>
      </c>
      <c r="C1001" t="s">
        <v>1028</v>
      </c>
      <c r="D1001">
        <v>32</v>
      </c>
      <c r="E1001">
        <v>11</v>
      </c>
      <c r="F1001" s="3">
        <v>58340</v>
      </c>
      <c r="G1001">
        <v>43</v>
      </c>
      <c r="H1001">
        <v>10</v>
      </c>
      <c r="I1001">
        <v>21</v>
      </c>
      <c r="J1001">
        <v>37</v>
      </c>
      <c r="K1001">
        <v>2.6</v>
      </c>
      <c r="L1001" s="3">
        <v>10</v>
      </c>
      <c r="M1001" t="s">
        <v>1034</v>
      </c>
      <c r="N1001">
        <v>84.47</v>
      </c>
    </row>
    <row r="1002" spans="1:14" x14ac:dyDescent="0.3">
      <c r="A1002" t="s">
        <v>912</v>
      </c>
      <c r="B1002" t="s">
        <v>1016</v>
      </c>
      <c r="C1002" t="s">
        <v>1022</v>
      </c>
      <c r="D1002">
        <v>23</v>
      </c>
      <c r="E1002">
        <v>2</v>
      </c>
      <c r="F1002" s="3">
        <v>76469</v>
      </c>
      <c r="G1002">
        <v>36</v>
      </c>
      <c r="H1002">
        <v>15</v>
      </c>
      <c r="I1002">
        <v>4</v>
      </c>
      <c r="J1002">
        <v>9</v>
      </c>
      <c r="K1002">
        <v>4.9000000000000004</v>
      </c>
      <c r="L1002" s="3">
        <v>10</v>
      </c>
      <c r="M1002" t="s">
        <v>1034</v>
      </c>
      <c r="N1002">
        <v>99.7</v>
      </c>
    </row>
    <row r="1003" spans="1:14" x14ac:dyDescent="0.3">
      <c r="A1003" t="s">
        <v>969</v>
      </c>
      <c r="B1003" t="s">
        <v>1018</v>
      </c>
      <c r="C1003" t="s">
        <v>1032</v>
      </c>
      <c r="D1003">
        <v>55</v>
      </c>
      <c r="E1003">
        <v>1</v>
      </c>
      <c r="F1003" s="3">
        <v>33379</v>
      </c>
      <c r="G1003">
        <v>50</v>
      </c>
      <c r="H1003">
        <v>13</v>
      </c>
      <c r="I1003">
        <v>2</v>
      </c>
      <c r="J1003">
        <v>19</v>
      </c>
      <c r="K1003">
        <v>4.5</v>
      </c>
      <c r="L1003" s="3">
        <v>10</v>
      </c>
      <c r="M1003" t="s">
        <v>1034</v>
      </c>
      <c r="N1003">
        <v>95.17</v>
      </c>
    </row>
    <row r="1004" spans="1:14" x14ac:dyDescent="0.3">
      <c r="A1004" t="s">
        <v>995</v>
      </c>
      <c r="B1004" t="s">
        <v>1016</v>
      </c>
      <c r="C1004" t="s">
        <v>1022</v>
      </c>
      <c r="D1004">
        <v>50</v>
      </c>
      <c r="E1004">
        <v>4</v>
      </c>
      <c r="F1004" s="3">
        <v>62818</v>
      </c>
      <c r="G1004">
        <v>50</v>
      </c>
      <c r="H1004">
        <v>12</v>
      </c>
      <c r="I1004">
        <v>10</v>
      </c>
      <c r="J1004">
        <v>33</v>
      </c>
      <c r="K1004">
        <v>4.7</v>
      </c>
      <c r="L1004" s="3">
        <v>10</v>
      </c>
      <c r="M1004" t="s">
        <v>1034</v>
      </c>
      <c r="N1004">
        <v>94.1</v>
      </c>
    </row>
  </sheetData>
  <autoFilter ref="A4:N1004" xr:uid="{558BBE2A-A6B0-4445-AD42-0D60517D8A35}">
    <sortState xmlns:xlrd2="http://schemas.microsoft.com/office/spreadsheetml/2017/richdata2" ref="A5:N1004">
      <sortCondition ref="L4:L100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83C9-9C26-43A9-9755-32FA35F62F77}">
  <sheetPr filterMode="1"/>
  <dimension ref="A1:Q1005"/>
  <sheetViews>
    <sheetView tabSelected="1" topLeftCell="G1" workbookViewId="0">
      <selection activeCell="H2" sqref="H2"/>
    </sheetView>
  </sheetViews>
  <sheetFormatPr defaultRowHeight="14.4" x14ac:dyDescent="0.3"/>
  <cols>
    <col min="1" max="1" width="17.33203125" customWidth="1"/>
    <col min="2" max="2" width="24.44140625" customWidth="1"/>
    <col min="3" max="3" width="18.88671875" customWidth="1"/>
    <col min="4" max="4" width="17.21875" customWidth="1"/>
    <col min="5" max="5" width="24.5546875" customWidth="1"/>
    <col min="6" max="6" width="29.21875" customWidth="1"/>
    <col min="7" max="7" width="30.33203125" customWidth="1"/>
    <col min="8" max="8" width="20" customWidth="1"/>
    <col min="9" max="9" width="23" customWidth="1"/>
    <col min="10" max="10" width="23.6640625" customWidth="1"/>
    <col min="11" max="11" width="16.6640625" customWidth="1"/>
    <col min="12" max="12" width="17.33203125" customWidth="1"/>
    <col min="13" max="13" width="14.88671875" customWidth="1"/>
    <col min="14" max="14" width="18" customWidth="1"/>
    <col min="16" max="16" width="22.109375" customWidth="1"/>
    <col min="17" max="17" width="17.21875" customWidth="1"/>
  </cols>
  <sheetData>
    <row r="1" spans="1:17" ht="16.2" x14ac:dyDescent="0.4">
      <c r="A1" s="17" t="s">
        <v>1085</v>
      </c>
      <c r="B1" s="17"/>
    </row>
    <row r="2" spans="1:17" x14ac:dyDescent="0.3">
      <c r="P2" t="s">
        <v>6</v>
      </c>
      <c r="Q2" t="s">
        <v>4</v>
      </c>
    </row>
    <row r="3" spans="1:17" x14ac:dyDescent="0.3">
      <c r="P3" t="s">
        <v>1079</v>
      </c>
      <c r="Q3" t="s">
        <v>1078</v>
      </c>
    </row>
    <row r="5" spans="1:17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2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2" t="s">
        <v>11</v>
      </c>
      <c r="M5" s="1" t="s">
        <v>12</v>
      </c>
      <c r="N5" s="1" t="s">
        <v>13</v>
      </c>
    </row>
    <row r="6" spans="1:17" hidden="1" x14ac:dyDescent="0.3">
      <c r="A6" t="s">
        <v>14</v>
      </c>
      <c r="B6" t="s">
        <v>1014</v>
      </c>
      <c r="C6" t="s">
        <v>1019</v>
      </c>
      <c r="D6">
        <v>23</v>
      </c>
      <c r="E6">
        <v>2</v>
      </c>
      <c r="F6" s="3">
        <v>43024</v>
      </c>
      <c r="G6">
        <v>42</v>
      </c>
      <c r="H6">
        <v>4</v>
      </c>
      <c r="I6">
        <v>4</v>
      </c>
      <c r="J6">
        <v>6</v>
      </c>
      <c r="K6">
        <v>4</v>
      </c>
      <c r="L6" s="3">
        <v>9.1999999999999993</v>
      </c>
      <c r="M6" t="s">
        <v>1034</v>
      </c>
      <c r="N6">
        <v>73.87</v>
      </c>
    </row>
    <row r="7" spans="1:17" hidden="1" x14ac:dyDescent="0.3">
      <c r="A7" t="s">
        <v>15</v>
      </c>
      <c r="B7" t="s">
        <v>1015</v>
      </c>
      <c r="C7" t="s">
        <v>1020</v>
      </c>
      <c r="D7">
        <v>49</v>
      </c>
      <c r="E7">
        <v>1</v>
      </c>
      <c r="F7" s="3">
        <v>26952</v>
      </c>
      <c r="G7">
        <v>37</v>
      </c>
      <c r="H7">
        <v>4</v>
      </c>
      <c r="I7">
        <v>7</v>
      </c>
      <c r="J7">
        <v>32</v>
      </c>
      <c r="K7">
        <v>3.8</v>
      </c>
      <c r="L7" s="3">
        <v>6.9</v>
      </c>
      <c r="M7" t="s">
        <v>1035</v>
      </c>
      <c r="N7">
        <v>59.47</v>
      </c>
    </row>
    <row r="8" spans="1:17" x14ac:dyDescent="0.3">
      <c r="A8" t="s">
        <v>16</v>
      </c>
      <c r="B8" t="s">
        <v>1015</v>
      </c>
      <c r="C8" t="s">
        <v>1021</v>
      </c>
      <c r="D8">
        <v>48</v>
      </c>
      <c r="E8">
        <v>7</v>
      </c>
      <c r="F8" s="3">
        <v>54439</v>
      </c>
      <c r="G8">
        <v>53</v>
      </c>
      <c r="H8">
        <v>5</v>
      </c>
      <c r="I8">
        <v>25</v>
      </c>
      <c r="J8">
        <v>0</v>
      </c>
      <c r="K8">
        <v>4.3</v>
      </c>
      <c r="L8" s="3">
        <v>4.0999999999999996</v>
      </c>
      <c r="M8" t="s">
        <v>1036</v>
      </c>
      <c r="N8">
        <v>45.83</v>
      </c>
    </row>
    <row r="9" spans="1:17" hidden="1" x14ac:dyDescent="0.3">
      <c r="A9" t="s">
        <v>17</v>
      </c>
      <c r="B9" t="s">
        <v>1016</v>
      </c>
      <c r="C9" t="s">
        <v>1022</v>
      </c>
      <c r="D9">
        <v>39</v>
      </c>
      <c r="E9">
        <v>4</v>
      </c>
      <c r="F9" s="3">
        <v>39110</v>
      </c>
      <c r="G9">
        <v>45</v>
      </c>
      <c r="H9">
        <v>2</v>
      </c>
      <c r="I9">
        <v>2</v>
      </c>
      <c r="J9">
        <v>24</v>
      </c>
      <c r="K9">
        <v>2.2999999999999998</v>
      </c>
      <c r="L9" s="3">
        <v>8.9</v>
      </c>
      <c r="M9" t="s">
        <v>1034</v>
      </c>
      <c r="N9">
        <v>63.63</v>
      </c>
    </row>
    <row r="10" spans="1:17" hidden="1" x14ac:dyDescent="0.3">
      <c r="A10" t="s">
        <v>18</v>
      </c>
      <c r="B10" t="s">
        <v>1016</v>
      </c>
      <c r="C10" t="s">
        <v>1022</v>
      </c>
      <c r="D10">
        <v>24</v>
      </c>
      <c r="E10">
        <v>3</v>
      </c>
      <c r="F10" s="3">
        <v>60142</v>
      </c>
      <c r="G10">
        <v>38</v>
      </c>
      <c r="H10">
        <v>15</v>
      </c>
      <c r="I10">
        <v>12</v>
      </c>
      <c r="J10">
        <v>5</v>
      </c>
      <c r="K10">
        <v>3.7</v>
      </c>
      <c r="L10" s="3">
        <v>8.8000000000000007</v>
      </c>
      <c r="M10" t="s">
        <v>1034</v>
      </c>
      <c r="N10">
        <v>88.9</v>
      </c>
    </row>
    <row r="11" spans="1:17" hidden="1" x14ac:dyDescent="0.3">
      <c r="A11" t="s">
        <v>19</v>
      </c>
      <c r="B11" t="s">
        <v>1016</v>
      </c>
      <c r="C11" t="s">
        <v>1023</v>
      </c>
      <c r="D11">
        <v>34</v>
      </c>
      <c r="E11">
        <v>11</v>
      </c>
      <c r="F11" s="3">
        <v>29558</v>
      </c>
      <c r="G11">
        <v>36</v>
      </c>
      <c r="H11">
        <v>11</v>
      </c>
      <c r="I11">
        <v>7</v>
      </c>
      <c r="J11">
        <v>18</v>
      </c>
      <c r="K11">
        <v>5</v>
      </c>
      <c r="L11" s="3">
        <v>9</v>
      </c>
      <c r="M11" t="s">
        <v>1034</v>
      </c>
      <c r="N11">
        <v>87.33</v>
      </c>
    </row>
    <row r="12" spans="1:17" x14ac:dyDescent="0.3">
      <c r="A12" t="s">
        <v>20</v>
      </c>
      <c r="B12" t="s">
        <v>1017</v>
      </c>
      <c r="C12" t="s">
        <v>1024</v>
      </c>
      <c r="D12">
        <v>39</v>
      </c>
      <c r="E12">
        <v>14</v>
      </c>
      <c r="F12" s="3">
        <v>66660</v>
      </c>
      <c r="G12">
        <v>46</v>
      </c>
      <c r="H12">
        <v>3</v>
      </c>
      <c r="I12">
        <v>11</v>
      </c>
      <c r="J12">
        <v>22</v>
      </c>
      <c r="K12">
        <v>2.6</v>
      </c>
      <c r="L12" s="3">
        <v>4.9000000000000004</v>
      </c>
      <c r="M12" t="s">
        <v>1036</v>
      </c>
      <c r="N12">
        <v>42.2</v>
      </c>
    </row>
    <row r="13" spans="1:17" x14ac:dyDescent="0.3">
      <c r="A13" t="s">
        <v>21</v>
      </c>
      <c r="B13" t="s">
        <v>1014</v>
      </c>
      <c r="C13" t="s">
        <v>1025</v>
      </c>
      <c r="D13">
        <v>32</v>
      </c>
      <c r="E13">
        <v>8</v>
      </c>
      <c r="F13" s="3">
        <v>72784</v>
      </c>
      <c r="G13">
        <v>42</v>
      </c>
      <c r="H13">
        <v>3</v>
      </c>
      <c r="I13">
        <v>14</v>
      </c>
      <c r="J13">
        <v>24</v>
      </c>
      <c r="K13">
        <v>2.8</v>
      </c>
      <c r="L13" s="3">
        <v>9.5</v>
      </c>
      <c r="M13" t="s">
        <v>1034</v>
      </c>
      <c r="N13">
        <v>70.400000000000006</v>
      </c>
    </row>
    <row r="14" spans="1:17" hidden="1" x14ac:dyDescent="0.3">
      <c r="A14" t="s">
        <v>22</v>
      </c>
      <c r="B14" t="s">
        <v>1015</v>
      </c>
      <c r="C14" t="s">
        <v>1020</v>
      </c>
      <c r="D14">
        <v>36</v>
      </c>
      <c r="E14">
        <v>10</v>
      </c>
      <c r="F14" s="3">
        <v>80237</v>
      </c>
      <c r="G14">
        <v>36</v>
      </c>
      <c r="H14">
        <v>4</v>
      </c>
      <c r="I14">
        <v>1</v>
      </c>
      <c r="J14">
        <v>20</v>
      </c>
      <c r="K14">
        <v>3.2</v>
      </c>
      <c r="L14" s="3">
        <v>3.5</v>
      </c>
      <c r="M14" t="s">
        <v>1036</v>
      </c>
      <c r="N14">
        <v>37.270000000000003</v>
      </c>
    </row>
    <row r="15" spans="1:17" x14ac:dyDescent="0.3">
      <c r="A15" t="s">
        <v>23</v>
      </c>
      <c r="B15" t="s">
        <v>1016</v>
      </c>
      <c r="C15" t="s">
        <v>1022</v>
      </c>
      <c r="D15">
        <v>35</v>
      </c>
      <c r="E15">
        <v>10</v>
      </c>
      <c r="F15" s="3">
        <v>57717</v>
      </c>
      <c r="G15">
        <v>47</v>
      </c>
      <c r="H15">
        <v>15</v>
      </c>
      <c r="I15">
        <v>20</v>
      </c>
      <c r="J15">
        <v>29</v>
      </c>
      <c r="K15">
        <v>2.4</v>
      </c>
      <c r="L15" s="3">
        <v>4</v>
      </c>
      <c r="M15" t="s">
        <v>1036</v>
      </c>
      <c r="N15">
        <v>56.2</v>
      </c>
    </row>
    <row r="16" spans="1:17" x14ac:dyDescent="0.3">
      <c r="A16" t="s">
        <v>24</v>
      </c>
      <c r="B16" t="s">
        <v>1015</v>
      </c>
      <c r="C16" t="s">
        <v>1021</v>
      </c>
      <c r="D16">
        <v>38</v>
      </c>
      <c r="E16">
        <v>13</v>
      </c>
      <c r="F16" s="3">
        <v>83839</v>
      </c>
      <c r="G16">
        <v>53</v>
      </c>
      <c r="H16">
        <v>7</v>
      </c>
      <c r="I16">
        <v>11</v>
      </c>
      <c r="J16">
        <v>14</v>
      </c>
      <c r="K16">
        <v>5</v>
      </c>
      <c r="L16" s="3">
        <v>4</v>
      </c>
      <c r="M16" t="s">
        <v>1036</v>
      </c>
      <c r="N16">
        <v>50.67</v>
      </c>
    </row>
    <row r="17" spans="1:14" hidden="1" x14ac:dyDescent="0.3">
      <c r="A17" t="s">
        <v>25</v>
      </c>
      <c r="B17" t="s">
        <v>1014</v>
      </c>
      <c r="C17" t="s">
        <v>1025</v>
      </c>
      <c r="D17">
        <v>25</v>
      </c>
      <c r="E17">
        <v>0</v>
      </c>
      <c r="F17" s="3">
        <v>35016</v>
      </c>
      <c r="G17">
        <v>55</v>
      </c>
      <c r="H17">
        <v>3</v>
      </c>
      <c r="I17">
        <v>25</v>
      </c>
      <c r="J17">
        <v>27</v>
      </c>
      <c r="K17">
        <v>3.8</v>
      </c>
      <c r="L17" s="3">
        <v>5.7</v>
      </c>
      <c r="M17" t="s">
        <v>1036</v>
      </c>
      <c r="N17">
        <v>50.6</v>
      </c>
    </row>
    <row r="18" spans="1:14" x14ac:dyDescent="0.3">
      <c r="A18" t="s">
        <v>26</v>
      </c>
      <c r="B18" t="s">
        <v>1017</v>
      </c>
      <c r="C18" t="s">
        <v>1026</v>
      </c>
      <c r="D18">
        <v>55</v>
      </c>
      <c r="E18">
        <v>8</v>
      </c>
      <c r="F18" s="3">
        <v>88640</v>
      </c>
      <c r="G18">
        <v>52</v>
      </c>
      <c r="H18">
        <v>14</v>
      </c>
      <c r="I18">
        <v>0</v>
      </c>
      <c r="J18">
        <v>7</v>
      </c>
      <c r="K18">
        <v>4</v>
      </c>
      <c r="L18" s="3">
        <v>6.8</v>
      </c>
      <c r="M18" t="s">
        <v>1035</v>
      </c>
      <c r="N18">
        <v>76.13</v>
      </c>
    </row>
    <row r="19" spans="1:14" hidden="1" x14ac:dyDescent="0.3">
      <c r="A19" t="s">
        <v>27</v>
      </c>
      <c r="B19" t="s">
        <v>1016</v>
      </c>
      <c r="C19" t="s">
        <v>1022</v>
      </c>
      <c r="D19">
        <v>29</v>
      </c>
      <c r="E19">
        <v>4</v>
      </c>
      <c r="F19" s="3">
        <v>53492</v>
      </c>
      <c r="G19">
        <v>40</v>
      </c>
      <c r="H19">
        <v>8</v>
      </c>
      <c r="I19">
        <v>0</v>
      </c>
      <c r="J19">
        <v>16</v>
      </c>
      <c r="K19">
        <v>4.9000000000000004</v>
      </c>
      <c r="L19" s="3">
        <v>8.3000000000000007</v>
      </c>
      <c r="M19" t="s">
        <v>1034</v>
      </c>
      <c r="N19">
        <v>77.83</v>
      </c>
    </row>
    <row r="20" spans="1:14" x14ac:dyDescent="0.3">
      <c r="A20" t="s">
        <v>28</v>
      </c>
      <c r="B20" t="s">
        <v>1014</v>
      </c>
      <c r="C20" t="s">
        <v>1019</v>
      </c>
      <c r="D20">
        <v>41</v>
      </c>
      <c r="E20">
        <v>6</v>
      </c>
      <c r="F20" s="3">
        <v>35016</v>
      </c>
      <c r="G20">
        <v>46</v>
      </c>
      <c r="H20">
        <v>13</v>
      </c>
      <c r="I20">
        <v>5</v>
      </c>
      <c r="J20">
        <v>34</v>
      </c>
      <c r="K20">
        <v>4.9000000000000004</v>
      </c>
      <c r="L20" s="3">
        <v>9.5</v>
      </c>
      <c r="M20" t="s">
        <v>1034</v>
      </c>
      <c r="N20">
        <v>93.37</v>
      </c>
    </row>
    <row r="21" spans="1:14" hidden="1" x14ac:dyDescent="0.3">
      <c r="A21" t="s">
        <v>29</v>
      </c>
      <c r="B21" t="s">
        <v>1015</v>
      </c>
      <c r="C21" t="s">
        <v>1020</v>
      </c>
      <c r="D21">
        <v>42</v>
      </c>
      <c r="E21">
        <v>15</v>
      </c>
      <c r="F21" s="3">
        <v>26276</v>
      </c>
      <c r="G21">
        <v>38</v>
      </c>
      <c r="H21">
        <v>15</v>
      </c>
      <c r="I21">
        <v>11</v>
      </c>
      <c r="J21">
        <v>19</v>
      </c>
      <c r="K21">
        <v>2.7</v>
      </c>
      <c r="L21" s="3">
        <v>4.7</v>
      </c>
      <c r="M21" t="s">
        <v>1036</v>
      </c>
      <c r="N21">
        <v>61.3</v>
      </c>
    </row>
    <row r="22" spans="1:14" hidden="1" x14ac:dyDescent="0.3">
      <c r="A22" t="s">
        <v>30</v>
      </c>
      <c r="B22" t="s">
        <v>1014</v>
      </c>
      <c r="C22" t="s">
        <v>1025</v>
      </c>
      <c r="D22">
        <v>27</v>
      </c>
      <c r="E22">
        <v>5</v>
      </c>
      <c r="F22" s="3">
        <v>56849</v>
      </c>
      <c r="G22">
        <v>37</v>
      </c>
      <c r="H22">
        <v>13</v>
      </c>
      <c r="I22">
        <v>17</v>
      </c>
      <c r="J22">
        <v>8</v>
      </c>
      <c r="K22">
        <v>2.4</v>
      </c>
      <c r="L22" s="3">
        <v>6.3</v>
      </c>
      <c r="M22" t="s">
        <v>1035</v>
      </c>
      <c r="N22">
        <v>66.67</v>
      </c>
    </row>
    <row r="23" spans="1:14" x14ac:dyDescent="0.3">
      <c r="A23" t="s">
        <v>31</v>
      </c>
      <c r="B23" t="s">
        <v>1018</v>
      </c>
      <c r="C23" t="s">
        <v>1027</v>
      </c>
      <c r="D23">
        <v>38</v>
      </c>
      <c r="E23">
        <v>13</v>
      </c>
      <c r="F23" s="3">
        <v>88200</v>
      </c>
      <c r="G23">
        <v>41</v>
      </c>
      <c r="H23">
        <v>15</v>
      </c>
      <c r="I23">
        <v>17</v>
      </c>
      <c r="J23">
        <v>12</v>
      </c>
      <c r="K23">
        <v>4.0999999999999996</v>
      </c>
      <c r="L23" s="3">
        <v>5.8</v>
      </c>
      <c r="M23" t="s">
        <v>1036</v>
      </c>
      <c r="N23">
        <v>72.099999999999994</v>
      </c>
    </row>
    <row r="24" spans="1:14" x14ac:dyDescent="0.3">
      <c r="A24" t="s">
        <v>32</v>
      </c>
      <c r="B24" t="s">
        <v>1016</v>
      </c>
      <c r="C24" t="s">
        <v>1022</v>
      </c>
      <c r="D24">
        <v>50</v>
      </c>
      <c r="E24">
        <v>14</v>
      </c>
      <c r="F24" s="3">
        <v>32930</v>
      </c>
      <c r="G24">
        <v>42</v>
      </c>
      <c r="H24">
        <v>4</v>
      </c>
      <c r="I24">
        <v>2</v>
      </c>
      <c r="J24">
        <v>21</v>
      </c>
      <c r="K24">
        <v>2.1</v>
      </c>
      <c r="L24" s="3">
        <v>6.9</v>
      </c>
      <c r="M24" t="s">
        <v>1035</v>
      </c>
      <c r="N24">
        <v>54.37</v>
      </c>
    </row>
    <row r="25" spans="1:14" hidden="1" x14ac:dyDescent="0.3">
      <c r="A25" t="s">
        <v>33</v>
      </c>
      <c r="B25" t="s">
        <v>1018</v>
      </c>
      <c r="C25" t="s">
        <v>1028</v>
      </c>
      <c r="D25">
        <v>22</v>
      </c>
      <c r="E25">
        <v>0</v>
      </c>
      <c r="F25" s="3">
        <v>71389</v>
      </c>
      <c r="G25">
        <v>55</v>
      </c>
      <c r="H25">
        <v>1</v>
      </c>
      <c r="I25">
        <v>7</v>
      </c>
      <c r="J25">
        <v>4</v>
      </c>
      <c r="K25">
        <v>4.7</v>
      </c>
      <c r="L25" s="3">
        <v>9</v>
      </c>
      <c r="M25" t="s">
        <v>1034</v>
      </c>
      <c r="N25">
        <v>69.77</v>
      </c>
    </row>
    <row r="26" spans="1:14" x14ac:dyDescent="0.3">
      <c r="A26" t="s">
        <v>34</v>
      </c>
      <c r="B26" t="s">
        <v>1015</v>
      </c>
      <c r="C26" t="s">
        <v>1020</v>
      </c>
      <c r="D26">
        <v>37</v>
      </c>
      <c r="E26">
        <v>8</v>
      </c>
      <c r="F26" s="3">
        <v>68842</v>
      </c>
      <c r="G26">
        <v>50</v>
      </c>
      <c r="H26">
        <v>4</v>
      </c>
      <c r="I26">
        <v>17</v>
      </c>
      <c r="J26">
        <v>8</v>
      </c>
      <c r="K26">
        <v>4.2</v>
      </c>
      <c r="L26" s="3">
        <v>9.1999999999999993</v>
      </c>
      <c r="M26" t="s">
        <v>1034</v>
      </c>
      <c r="N26">
        <v>74.47</v>
      </c>
    </row>
    <row r="27" spans="1:14" x14ac:dyDescent="0.3">
      <c r="A27" t="s">
        <v>35</v>
      </c>
      <c r="B27" t="s">
        <v>1017</v>
      </c>
      <c r="C27" t="s">
        <v>1026</v>
      </c>
      <c r="D27">
        <v>37</v>
      </c>
      <c r="E27">
        <v>15</v>
      </c>
      <c r="F27" s="3">
        <v>77920</v>
      </c>
      <c r="G27">
        <v>48</v>
      </c>
      <c r="H27">
        <v>4</v>
      </c>
      <c r="I27">
        <v>3</v>
      </c>
      <c r="J27">
        <v>6</v>
      </c>
      <c r="K27">
        <v>4</v>
      </c>
      <c r="L27" s="3">
        <v>5.5</v>
      </c>
      <c r="M27" t="s">
        <v>1036</v>
      </c>
      <c r="N27">
        <v>51.67</v>
      </c>
    </row>
    <row r="28" spans="1:14" hidden="1" x14ac:dyDescent="0.3">
      <c r="A28" t="s">
        <v>36</v>
      </c>
      <c r="B28" t="s">
        <v>1017</v>
      </c>
      <c r="C28" t="s">
        <v>1026</v>
      </c>
      <c r="D28">
        <v>25</v>
      </c>
      <c r="E28">
        <v>0</v>
      </c>
      <c r="F28" s="3">
        <v>28972</v>
      </c>
      <c r="G28">
        <v>47</v>
      </c>
      <c r="H28">
        <v>12</v>
      </c>
      <c r="I28">
        <v>10</v>
      </c>
      <c r="J28">
        <v>6</v>
      </c>
      <c r="K28">
        <v>2.7</v>
      </c>
      <c r="L28" s="3">
        <v>4.3</v>
      </c>
      <c r="M28" t="s">
        <v>1036</v>
      </c>
      <c r="N28">
        <v>53.9</v>
      </c>
    </row>
    <row r="29" spans="1:14" hidden="1" x14ac:dyDescent="0.3">
      <c r="A29" t="s">
        <v>37</v>
      </c>
      <c r="B29" t="s">
        <v>1018</v>
      </c>
      <c r="C29" t="s">
        <v>1028</v>
      </c>
      <c r="D29">
        <v>49</v>
      </c>
      <c r="E29">
        <v>5</v>
      </c>
      <c r="F29" s="3">
        <v>43254</v>
      </c>
      <c r="G29">
        <v>49</v>
      </c>
      <c r="H29">
        <v>4</v>
      </c>
      <c r="I29">
        <v>2</v>
      </c>
      <c r="J29">
        <v>28</v>
      </c>
      <c r="K29">
        <v>4.4000000000000004</v>
      </c>
      <c r="L29" s="3">
        <v>9</v>
      </c>
      <c r="M29" t="s">
        <v>1034</v>
      </c>
      <c r="N29">
        <v>73.87</v>
      </c>
    </row>
    <row r="30" spans="1:14" hidden="1" x14ac:dyDescent="0.3">
      <c r="A30" t="s">
        <v>38</v>
      </c>
      <c r="B30" t="s">
        <v>1014</v>
      </c>
      <c r="C30" t="s">
        <v>1019</v>
      </c>
      <c r="D30">
        <v>22</v>
      </c>
      <c r="E30">
        <v>0</v>
      </c>
      <c r="F30" s="3">
        <v>85710</v>
      </c>
      <c r="G30">
        <v>42</v>
      </c>
      <c r="H30">
        <v>3</v>
      </c>
      <c r="I30">
        <v>13</v>
      </c>
      <c r="J30">
        <v>31</v>
      </c>
      <c r="K30">
        <v>3.4</v>
      </c>
      <c r="L30" s="3">
        <v>9.1</v>
      </c>
      <c r="M30" t="s">
        <v>1034</v>
      </c>
      <c r="N30">
        <v>69.8</v>
      </c>
    </row>
    <row r="31" spans="1:14" hidden="1" x14ac:dyDescent="0.3">
      <c r="A31" t="s">
        <v>39</v>
      </c>
      <c r="B31" t="s">
        <v>1018</v>
      </c>
      <c r="C31" t="s">
        <v>1027</v>
      </c>
      <c r="D31">
        <v>46</v>
      </c>
      <c r="E31">
        <v>0</v>
      </c>
      <c r="F31" s="3">
        <v>89573</v>
      </c>
      <c r="G31">
        <v>47</v>
      </c>
      <c r="H31">
        <v>5</v>
      </c>
      <c r="I31">
        <v>25</v>
      </c>
      <c r="J31">
        <v>29</v>
      </c>
      <c r="K31">
        <v>2.9</v>
      </c>
      <c r="L31" s="3">
        <v>7.9</v>
      </c>
      <c r="M31" t="s">
        <v>1035</v>
      </c>
      <c r="N31">
        <v>64.430000000000007</v>
      </c>
    </row>
    <row r="32" spans="1:14" hidden="1" x14ac:dyDescent="0.3">
      <c r="A32" t="s">
        <v>40</v>
      </c>
      <c r="B32" t="s">
        <v>1015</v>
      </c>
      <c r="C32" t="s">
        <v>1021</v>
      </c>
      <c r="D32">
        <v>53</v>
      </c>
      <c r="E32">
        <v>4</v>
      </c>
      <c r="F32" s="3">
        <v>37445</v>
      </c>
      <c r="G32">
        <v>44</v>
      </c>
      <c r="H32">
        <v>4</v>
      </c>
      <c r="I32">
        <v>1</v>
      </c>
      <c r="J32">
        <v>37</v>
      </c>
      <c r="K32">
        <v>4.2</v>
      </c>
      <c r="L32" s="3">
        <v>3.4</v>
      </c>
      <c r="M32" t="s">
        <v>1036</v>
      </c>
      <c r="N32">
        <v>39.67</v>
      </c>
    </row>
    <row r="33" spans="1:14" hidden="1" x14ac:dyDescent="0.3">
      <c r="A33" t="s">
        <v>41</v>
      </c>
      <c r="B33" t="s">
        <v>1014</v>
      </c>
      <c r="C33" t="s">
        <v>1019</v>
      </c>
      <c r="D33">
        <v>25</v>
      </c>
      <c r="E33">
        <v>4</v>
      </c>
      <c r="F33" s="3">
        <v>56246</v>
      </c>
      <c r="G33">
        <v>51</v>
      </c>
      <c r="H33">
        <v>15</v>
      </c>
      <c r="I33">
        <v>16</v>
      </c>
      <c r="J33">
        <v>10</v>
      </c>
      <c r="K33">
        <v>2.2000000000000002</v>
      </c>
      <c r="L33" s="3">
        <v>6.6</v>
      </c>
      <c r="M33" t="s">
        <v>1035</v>
      </c>
      <c r="N33">
        <v>71.2</v>
      </c>
    </row>
    <row r="34" spans="1:14" hidden="1" x14ac:dyDescent="0.3">
      <c r="A34" t="s">
        <v>42</v>
      </c>
      <c r="B34" t="s">
        <v>1014</v>
      </c>
      <c r="C34" t="s">
        <v>1025</v>
      </c>
      <c r="D34">
        <v>26</v>
      </c>
      <c r="E34">
        <v>5</v>
      </c>
      <c r="F34" s="3">
        <v>81480</v>
      </c>
      <c r="G34">
        <v>42</v>
      </c>
      <c r="H34">
        <v>7</v>
      </c>
      <c r="I34">
        <v>3</v>
      </c>
      <c r="J34">
        <v>36</v>
      </c>
      <c r="K34">
        <v>2.7</v>
      </c>
      <c r="L34" s="3">
        <v>7.2</v>
      </c>
      <c r="M34" t="s">
        <v>1035</v>
      </c>
      <c r="N34">
        <v>62.97</v>
      </c>
    </row>
    <row r="35" spans="1:14" x14ac:dyDescent="0.3">
      <c r="A35" t="s">
        <v>43</v>
      </c>
      <c r="B35" t="s">
        <v>1014</v>
      </c>
      <c r="C35" t="s">
        <v>1025</v>
      </c>
      <c r="D35">
        <v>48</v>
      </c>
      <c r="E35">
        <v>10</v>
      </c>
      <c r="F35" s="3">
        <v>86256</v>
      </c>
      <c r="G35">
        <v>43</v>
      </c>
      <c r="H35">
        <v>4</v>
      </c>
      <c r="I35">
        <v>21</v>
      </c>
      <c r="J35">
        <v>20</v>
      </c>
      <c r="K35">
        <v>2.7</v>
      </c>
      <c r="L35" s="3">
        <v>5.8</v>
      </c>
      <c r="M35" t="s">
        <v>1036</v>
      </c>
      <c r="N35">
        <v>49.57</v>
      </c>
    </row>
    <row r="36" spans="1:14" hidden="1" x14ac:dyDescent="0.3">
      <c r="A36" t="s">
        <v>44</v>
      </c>
      <c r="B36" t="s">
        <v>1016</v>
      </c>
      <c r="C36" t="s">
        <v>1023</v>
      </c>
      <c r="D36">
        <v>51</v>
      </c>
      <c r="E36">
        <v>10</v>
      </c>
      <c r="F36" s="3">
        <v>85884</v>
      </c>
      <c r="G36">
        <v>37</v>
      </c>
      <c r="H36">
        <v>1</v>
      </c>
      <c r="I36">
        <v>14</v>
      </c>
      <c r="J36">
        <v>39</v>
      </c>
      <c r="K36">
        <v>5</v>
      </c>
      <c r="L36" s="3">
        <v>10</v>
      </c>
      <c r="M36" t="s">
        <v>1034</v>
      </c>
      <c r="N36">
        <v>76.67</v>
      </c>
    </row>
    <row r="37" spans="1:14" hidden="1" x14ac:dyDescent="0.3">
      <c r="A37" t="s">
        <v>45</v>
      </c>
      <c r="B37" t="s">
        <v>1015</v>
      </c>
      <c r="C37" t="s">
        <v>1029</v>
      </c>
      <c r="D37">
        <v>35</v>
      </c>
      <c r="E37">
        <v>8</v>
      </c>
      <c r="F37" s="3">
        <v>42380</v>
      </c>
      <c r="G37">
        <v>39</v>
      </c>
      <c r="H37">
        <v>15</v>
      </c>
      <c r="I37">
        <v>11</v>
      </c>
      <c r="J37">
        <v>4</v>
      </c>
      <c r="K37">
        <v>4.5999999999999996</v>
      </c>
      <c r="L37" s="3">
        <v>5.6</v>
      </c>
      <c r="M37" t="s">
        <v>1036</v>
      </c>
      <c r="N37">
        <v>72.400000000000006</v>
      </c>
    </row>
    <row r="38" spans="1:14" hidden="1" x14ac:dyDescent="0.3">
      <c r="A38" t="s">
        <v>46</v>
      </c>
      <c r="B38" t="s">
        <v>1017</v>
      </c>
      <c r="C38" t="s">
        <v>1030</v>
      </c>
      <c r="D38">
        <v>41</v>
      </c>
      <c r="E38">
        <v>0</v>
      </c>
      <c r="F38" s="3">
        <v>68769</v>
      </c>
      <c r="G38">
        <v>52</v>
      </c>
      <c r="H38">
        <v>5</v>
      </c>
      <c r="I38">
        <v>21</v>
      </c>
      <c r="J38">
        <v>6</v>
      </c>
      <c r="K38">
        <v>4.8</v>
      </c>
      <c r="L38" s="3">
        <v>3.9</v>
      </c>
      <c r="M38" t="s">
        <v>1036</v>
      </c>
      <c r="N38">
        <v>46.13</v>
      </c>
    </row>
    <row r="39" spans="1:14" hidden="1" x14ac:dyDescent="0.3">
      <c r="A39" t="s">
        <v>47</v>
      </c>
      <c r="B39" t="s">
        <v>1014</v>
      </c>
      <c r="C39" t="s">
        <v>1031</v>
      </c>
      <c r="D39">
        <v>31</v>
      </c>
      <c r="E39">
        <v>4</v>
      </c>
      <c r="F39" s="3">
        <v>43465</v>
      </c>
      <c r="G39">
        <v>54</v>
      </c>
      <c r="H39">
        <v>4</v>
      </c>
      <c r="I39">
        <v>22</v>
      </c>
      <c r="J39">
        <v>21</v>
      </c>
      <c r="K39">
        <v>2.6</v>
      </c>
      <c r="L39" s="3">
        <v>7.4</v>
      </c>
      <c r="M39" t="s">
        <v>1035</v>
      </c>
      <c r="N39">
        <v>58.87</v>
      </c>
    </row>
    <row r="40" spans="1:14" hidden="1" x14ac:dyDescent="0.3">
      <c r="A40" t="s">
        <v>48</v>
      </c>
      <c r="B40" t="s">
        <v>1015</v>
      </c>
      <c r="C40" t="s">
        <v>1021</v>
      </c>
      <c r="D40">
        <v>53</v>
      </c>
      <c r="E40">
        <v>8</v>
      </c>
      <c r="F40" s="3">
        <v>84332</v>
      </c>
      <c r="G40">
        <v>36</v>
      </c>
      <c r="H40">
        <v>2</v>
      </c>
      <c r="I40">
        <v>20</v>
      </c>
      <c r="J40">
        <v>27</v>
      </c>
      <c r="K40">
        <v>4.5</v>
      </c>
      <c r="L40" s="3">
        <v>3.3</v>
      </c>
      <c r="M40" t="s">
        <v>1036</v>
      </c>
      <c r="N40">
        <v>36.630000000000003</v>
      </c>
    </row>
    <row r="41" spans="1:14" hidden="1" x14ac:dyDescent="0.3">
      <c r="A41" t="s">
        <v>49</v>
      </c>
      <c r="B41" t="s">
        <v>1018</v>
      </c>
      <c r="C41" t="s">
        <v>1027</v>
      </c>
      <c r="D41">
        <v>38</v>
      </c>
      <c r="E41">
        <v>5</v>
      </c>
      <c r="F41" s="3">
        <v>73577</v>
      </c>
      <c r="G41">
        <v>49</v>
      </c>
      <c r="H41">
        <v>9</v>
      </c>
      <c r="I41">
        <v>22</v>
      </c>
      <c r="J41">
        <v>27</v>
      </c>
      <c r="K41">
        <v>3.7</v>
      </c>
      <c r="L41" s="3">
        <v>3.8</v>
      </c>
      <c r="M41" t="s">
        <v>1036</v>
      </c>
      <c r="N41">
        <v>48.9</v>
      </c>
    </row>
    <row r="42" spans="1:14" hidden="1" x14ac:dyDescent="0.3">
      <c r="A42" t="s">
        <v>50</v>
      </c>
      <c r="B42" t="s">
        <v>1018</v>
      </c>
      <c r="C42" t="s">
        <v>1028</v>
      </c>
      <c r="D42">
        <v>24</v>
      </c>
      <c r="E42">
        <v>2</v>
      </c>
      <c r="F42" s="3">
        <v>63175</v>
      </c>
      <c r="G42">
        <v>52</v>
      </c>
      <c r="H42">
        <v>3</v>
      </c>
      <c r="I42">
        <v>13</v>
      </c>
      <c r="J42">
        <v>8</v>
      </c>
      <c r="K42">
        <v>2.1</v>
      </c>
      <c r="L42" s="3">
        <v>5.6</v>
      </c>
      <c r="M42" t="s">
        <v>1036</v>
      </c>
      <c r="N42">
        <v>44.9</v>
      </c>
    </row>
    <row r="43" spans="1:14" hidden="1" x14ac:dyDescent="0.3">
      <c r="A43" t="s">
        <v>51</v>
      </c>
      <c r="B43" t="s">
        <v>1016</v>
      </c>
      <c r="C43" t="s">
        <v>1022</v>
      </c>
      <c r="D43">
        <v>35</v>
      </c>
      <c r="E43">
        <v>10</v>
      </c>
      <c r="F43" s="3">
        <v>41353</v>
      </c>
      <c r="G43">
        <v>38</v>
      </c>
      <c r="H43">
        <v>6</v>
      </c>
      <c r="I43">
        <v>24</v>
      </c>
      <c r="J43">
        <v>35</v>
      </c>
      <c r="K43">
        <v>4.7</v>
      </c>
      <c r="L43" s="3">
        <v>5.8</v>
      </c>
      <c r="M43" t="s">
        <v>1036</v>
      </c>
      <c r="N43">
        <v>58.9</v>
      </c>
    </row>
    <row r="44" spans="1:14" hidden="1" x14ac:dyDescent="0.3">
      <c r="A44" t="s">
        <v>52</v>
      </c>
      <c r="B44" t="s">
        <v>1018</v>
      </c>
      <c r="C44" t="s">
        <v>1032</v>
      </c>
      <c r="D44">
        <v>37</v>
      </c>
      <c r="E44">
        <v>5</v>
      </c>
      <c r="F44" s="3">
        <v>88976</v>
      </c>
      <c r="G44">
        <v>40</v>
      </c>
      <c r="H44">
        <v>15</v>
      </c>
      <c r="I44">
        <v>13</v>
      </c>
      <c r="J44">
        <v>1</v>
      </c>
      <c r="K44">
        <v>2.5</v>
      </c>
      <c r="L44" s="3">
        <v>9.5</v>
      </c>
      <c r="M44" t="s">
        <v>1034</v>
      </c>
      <c r="N44">
        <v>89.5</v>
      </c>
    </row>
    <row r="45" spans="1:14" hidden="1" x14ac:dyDescent="0.3">
      <c r="A45" t="s">
        <v>53</v>
      </c>
      <c r="B45" t="s">
        <v>1018</v>
      </c>
      <c r="C45" t="s">
        <v>1032</v>
      </c>
      <c r="D45">
        <v>39</v>
      </c>
      <c r="E45">
        <v>5</v>
      </c>
      <c r="F45" s="3">
        <v>76601</v>
      </c>
      <c r="G45">
        <v>38</v>
      </c>
      <c r="H45">
        <v>7</v>
      </c>
      <c r="I45">
        <v>1</v>
      </c>
      <c r="J45">
        <v>30</v>
      </c>
      <c r="K45">
        <v>2.7</v>
      </c>
      <c r="L45" s="3">
        <v>8.6999999999999993</v>
      </c>
      <c r="M45" t="s">
        <v>1034</v>
      </c>
      <c r="N45">
        <v>71.97</v>
      </c>
    </row>
    <row r="46" spans="1:14" hidden="1" x14ac:dyDescent="0.3">
      <c r="A46" t="s">
        <v>54</v>
      </c>
      <c r="B46" t="s">
        <v>1016</v>
      </c>
      <c r="C46" t="s">
        <v>1033</v>
      </c>
      <c r="D46">
        <v>41</v>
      </c>
      <c r="E46">
        <v>7</v>
      </c>
      <c r="F46" s="3">
        <v>39609</v>
      </c>
      <c r="G46">
        <v>35</v>
      </c>
      <c r="H46">
        <v>11</v>
      </c>
      <c r="I46">
        <v>6</v>
      </c>
      <c r="J46">
        <v>25</v>
      </c>
      <c r="K46">
        <v>3</v>
      </c>
      <c r="L46" s="3">
        <v>9.1</v>
      </c>
      <c r="M46" t="s">
        <v>1034</v>
      </c>
      <c r="N46">
        <v>81.93</v>
      </c>
    </row>
    <row r="47" spans="1:14" x14ac:dyDescent="0.3">
      <c r="A47" t="s">
        <v>55</v>
      </c>
      <c r="B47" t="s">
        <v>1016</v>
      </c>
      <c r="C47" t="s">
        <v>1022</v>
      </c>
      <c r="D47">
        <v>54</v>
      </c>
      <c r="E47">
        <v>12</v>
      </c>
      <c r="F47" s="3">
        <v>69532</v>
      </c>
      <c r="G47">
        <v>52</v>
      </c>
      <c r="H47">
        <v>6</v>
      </c>
      <c r="I47">
        <v>0</v>
      </c>
      <c r="J47">
        <v>7</v>
      </c>
      <c r="K47">
        <v>4.5999999999999996</v>
      </c>
      <c r="L47" s="3">
        <v>4.8</v>
      </c>
      <c r="M47" t="s">
        <v>1036</v>
      </c>
      <c r="N47">
        <v>52.6</v>
      </c>
    </row>
    <row r="48" spans="1:14" hidden="1" x14ac:dyDescent="0.3">
      <c r="A48" t="s">
        <v>56</v>
      </c>
      <c r="B48" t="s">
        <v>1016</v>
      </c>
      <c r="C48" t="s">
        <v>1023</v>
      </c>
      <c r="D48">
        <v>24</v>
      </c>
      <c r="E48">
        <v>0</v>
      </c>
      <c r="F48" s="3">
        <v>64096</v>
      </c>
      <c r="G48">
        <v>48</v>
      </c>
      <c r="H48">
        <v>6</v>
      </c>
      <c r="I48">
        <v>23</v>
      </c>
      <c r="J48">
        <v>20</v>
      </c>
      <c r="K48">
        <v>3.3</v>
      </c>
      <c r="L48" s="3">
        <v>9.9</v>
      </c>
      <c r="M48" t="s">
        <v>1034</v>
      </c>
      <c r="N48">
        <v>79.3</v>
      </c>
    </row>
    <row r="49" spans="1:14" hidden="1" x14ac:dyDescent="0.3">
      <c r="A49" t="s">
        <v>57</v>
      </c>
      <c r="B49" t="s">
        <v>1017</v>
      </c>
      <c r="C49" t="s">
        <v>1024</v>
      </c>
      <c r="D49">
        <v>34</v>
      </c>
      <c r="E49">
        <v>4</v>
      </c>
      <c r="F49" s="3">
        <v>27908</v>
      </c>
      <c r="G49">
        <v>48</v>
      </c>
      <c r="H49">
        <v>1</v>
      </c>
      <c r="I49">
        <v>16</v>
      </c>
      <c r="J49">
        <v>34</v>
      </c>
      <c r="K49">
        <v>4.0999999999999996</v>
      </c>
      <c r="L49" s="3">
        <v>9.6</v>
      </c>
      <c r="M49" t="s">
        <v>1034</v>
      </c>
      <c r="N49">
        <v>71.569999999999993</v>
      </c>
    </row>
    <row r="50" spans="1:14" x14ac:dyDescent="0.3">
      <c r="A50" t="s">
        <v>58</v>
      </c>
      <c r="B50" t="s">
        <v>1018</v>
      </c>
      <c r="C50" t="s">
        <v>1032</v>
      </c>
      <c r="D50">
        <v>45</v>
      </c>
      <c r="E50">
        <v>13</v>
      </c>
      <c r="F50" s="3">
        <v>29585</v>
      </c>
      <c r="G50">
        <v>45</v>
      </c>
      <c r="H50">
        <v>10</v>
      </c>
      <c r="I50">
        <v>10</v>
      </c>
      <c r="J50">
        <v>7</v>
      </c>
      <c r="K50">
        <v>4.2</v>
      </c>
      <c r="L50" s="3">
        <v>5.0999999999999996</v>
      </c>
      <c r="M50" t="s">
        <v>1036</v>
      </c>
      <c r="N50">
        <v>59.87</v>
      </c>
    </row>
    <row r="51" spans="1:14" x14ac:dyDescent="0.3">
      <c r="A51" t="s">
        <v>59</v>
      </c>
      <c r="B51" t="s">
        <v>1017</v>
      </c>
      <c r="C51" t="s">
        <v>1024</v>
      </c>
      <c r="D51">
        <v>42</v>
      </c>
      <c r="E51">
        <v>12</v>
      </c>
      <c r="F51" s="3">
        <v>70692</v>
      </c>
      <c r="G51">
        <v>44</v>
      </c>
      <c r="H51">
        <v>9</v>
      </c>
      <c r="I51">
        <v>4</v>
      </c>
      <c r="J51">
        <v>12</v>
      </c>
      <c r="K51">
        <v>3.3</v>
      </c>
      <c r="L51" s="3">
        <v>9.6</v>
      </c>
      <c r="M51" t="s">
        <v>1034</v>
      </c>
      <c r="N51">
        <v>82.5</v>
      </c>
    </row>
    <row r="52" spans="1:14" hidden="1" x14ac:dyDescent="0.3">
      <c r="A52" t="s">
        <v>60</v>
      </c>
      <c r="B52" t="s">
        <v>1018</v>
      </c>
      <c r="C52" t="s">
        <v>1027</v>
      </c>
      <c r="D52">
        <v>41</v>
      </c>
      <c r="E52">
        <v>12</v>
      </c>
      <c r="F52" s="3">
        <v>60909</v>
      </c>
      <c r="G52">
        <v>35</v>
      </c>
      <c r="H52">
        <v>5</v>
      </c>
      <c r="I52">
        <v>9</v>
      </c>
      <c r="J52">
        <v>13</v>
      </c>
      <c r="K52">
        <v>3.3</v>
      </c>
      <c r="L52" s="3">
        <v>7.1</v>
      </c>
      <c r="M52" t="s">
        <v>1035</v>
      </c>
      <c r="N52">
        <v>60.83</v>
      </c>
    </row>
    <row r="53" spans="1:14" x14ac:dyDescent="0.3">
      <c r="A53" t="s">
        <v>61</v>
      </c>
      <c r="B53" t="s">
        <v>1016</v>
      </c>
      <c r="C53" t="s">
        <v>1022</v>
      </c>
      <c r="D53">
        <v>51</v>
      </c>
      <c r="E53">
        <v>14</v>
      </c>
      <c r="F53" s="3">
        <v>53977</v>
      </c>
      <c r="G53">
        <v>41</v>
      </c>
      <c r="H53">
        <v>9</v>
      </c>
      <c r="I53">
        <v>15</v>
      </c>
      <c r="J53">
        <v>10</v>
      </c>
      <c r="K53">
        <v>4</v>
      </c>
      <c r="L53" s="3">
        <v>5</v>
      </c>
      <c r="M53" t="s">
        <v>1036</v>
      </c>
      <c r="N53">
        <v>57</v>
      </c>
    </row>
    <row r="54" spans="1:14" hidden="1" x14ac:dyDescent="0.3">
      <c r="A54" t="s">
        <v>62</v>
      </c>
      <c r="B54" t="s">
        <v>1015</v>
      </c>
      <c r="C54" t="s">
        <v>1029</v>
      </c>
      <c r="D54">
        <v>43</v>
      </c>
      <c r="E54">
        <v>2</v>
      </c>
      <c r="F54" s="3">
        <v>78636</v>
      </c>
      <c r="G54">
        <v>42</v>
      </c>
      <c r="H54">
        <v>11</v>
      </c>
      <c r="I54">
        <v>9</v>
      </c>
      <c r="J54">
        <v>14</v>
      </c>
      <c r="K54">
        <v>4.4000000000000004</v>
      </c>
      <c r="L54" s="3">
        <v>4</v>
      </c>
      <c r="M54" t="s">
        <v>1036</v>
      </c>
      <c r="N54">
        <v>55.53</v>
      </c>
    </row>
    <row r="55" spans="1:14" hidden="1" x14ac:dyDescent="0.3">
      <c r="A55" t="s">
        <v>63</v>
      </c>
      <c r="B55" t="s">
        <v>1018</v>
      </c>
      <c r="C55" t="s">
        <v>1032</v>
      </c>
      <c r="D55">
        <v>52</v>
      </c>
      <c r="E55">
        <v>2</v>
      </c>
      <c r="F55" s="3">
        <v>54846</v>
      </c>
      <c r="G55">
        <v>48</v>
      </c>
      <c r="H55">
        <v>15</v>
      </c>
      <c r="I55">
        <v>20</v>
      </c>
      <c r="J55">
        <v>36</v>
      </c>
      <c r="K55">
        <v>2.6</v>
      </c>
      <c r="L55" s="3">
        <v>7.9</v>
      </c>
      <c r="M55" t="s">
        <v>1035</v>
      </c>
      <c r="N55">
        <v>80.2</v>
      </c>
    </row>
    <row r="56" spans="1:14" hidden="1" x14ac:dyDescent="0.3">
      <c r="A56" t="s">
        <v>64</v>
      </c>
      <c r="B56" t="s">
        <v>1017</v>
      </c>
      <c r="C56" t="s">
        <v>1024</v>
      </c>
      <c r="D56">
        <v>37</v>
      </c>
      <c r="E56">
        <v>4</v>
      </c>
      <c r="F56" s="3">
        <v>67995</v>
      </c>
      <c r="G56">
        <v>35</v>
      </c>
      <c r="H56">
        <v>15</v>
      </c>
      <c r="I56">
        <v>24</v>
      </c>
      <c r="J56">
        <v>6</v>
      </c>
      <c r="K56">
        <v>4.3</v>
      </c>
      <c r="L56" s="3">
        <v>4.5</v>
      </c>
      <c r="M56" t="s">
        <v>1036</v>
      </c>
      <c r="N56">
        <v>64.900000000000006</v>
      </c>
    </row>
    <row r="57" spans="1:14" hidden="1" x14ac:dyDescent="0.3">
      <c r="A57" t="s">
        <v>65</v>
      </c>
      <c r="B57" t="s">
        <v>1015</v>
      </c>
      <c r="C57" t="s">
        <v>1020</v>
      </c>
      <c r="D57">
        <v>51</v>
      </c>
      <c r="E57">
        <v>1</v>
      </c>
      <c r="F57" s="3">
        <v>61530</v>
      </c>
      <c r="G57">
        <v>42</v>
      </c>
      <c r="H57">
        <v>15</v>
      </c>
      <c r="I57">
        <v>3</v>
      </c>
      <c r="J57">
        <v>29</v>
      </c>
      <c r="K57">
        <v>2.4</v>
      </c>
      <c r="L57" s="3">
        <v>6.3</v>
      </c>
      <c r="M57" t="s">
        <v>1035</v>
      </c>
      <c r="N57">
        <v>70</v>
      </c>
    </row>
    <row r="58" spans="1:14" x14ac:dyDescent="0.3">
      <c r="A58" t="s">
        <v>66</v>
      </c>
      <c r="B58" t="s">
        <v>1015</v>
      </c>
      <c r="C58" t="s">
        <v>1021</v>
      </c>
      <c r="D58">
        <v>42</v>
      </c>
      <c r="E58">
        <v>14</v>
      </c>
      <c r="F58" s="3">
        <v>65150</v>
      </c>
      <c r="G58">
        <v>51</v>
      </c>
      <c r="H58">
        <v>7</v>
      </c>
      <c r="I58">
        <v>17</v>
      </c>
      <c r="J58">
        <v>28</v>
      </c>
      <c r="K58">
        <v>4.7</v>
      </c>
      <c r="L58" s="3">
        <v>8.1999999999999993</v>
      </c>
      <c r="M58" t="s">
        <v>1034</v>
      </c>
      <c r="N58">
        <v>74.97</v>
      </c>
    </row>
    <row r="59" spans="1:14" x14ac:dyDescent="0.3">
      <c r="A59" t="s">
        <v>67</v>
      </c>
      <c r="B59" t="s">
        <v>1017</v>
      </c>
      <c r="C59" t="s">
        <v>1026</v>
      </c>
      <c r="D59">
        <v>38</v>
      </c>
      <c r="E59">
        <v>7</v>
      </c>
      <c r="F59" s="3">
        <v>80041</v>
      </c>
      <c r="G59">
        <v>55</v>
      </c>
      <c r="H59">
        <v>5</v>
      </c>
      <c r="I59">
        <v>24</v>
      </c>
      <c r="J59">
        <v>33</v>
      </c>
      <c r="K59">
        <v>3.5</v>
      </c>
      <c r="L59" s="3">
        <v>4.7</v>
      </c>
      <c r="M59" t="s">
        <v>1036</v>
      </c>
      <c r="N59">
        <v>47.03</v>
      </c>
    </row>
    <row r="60" spans="1:14" x14ac:dyDescent="0.3">
      <c r="A60" t="s">
        <v>68</v>
      </c>
      <c r="B60" t="s">
        <v>1014</v>
      </c>
      <c r="C60" t="s">
        <v>1025</v>
      </c>
      <c r="D60">
        <v>40</v>
      </c>
      <c r="E60">
        <v>7</v>
      </c>
      <c r="F60" s="3">
        <v>42807</v>
      </c>
      <c r="G60">
        <v>45</v>
      </c>
      <c r="H60">
        <v>6</v>
      </c>
      <c r="I60">
        <v>17</v>
      </c>
      <c r="J60">
        <v>5</v>
      </c>
      <c r="K60">
        <v>2.4</v>
      </c>
      <c r="L60" s="3">
        <v>4.5999999999999996</v>
      </c>
      <c r="M60" t="s">
        <v>1036</v>
      </c>
      <c r="N60">
        <v>44.8</v>
      </c>
    </row>
    <row r="61" spans="1:14" hidden="1" x14ac:dyDescent="0.3">
      <c r="A61" t="s">
        <v>69</v>
      </c>
      <c r="B61" t="s">
        <v>1018</v>
      </c>
      <c r="C61" t="s">
        <v>1032</v>
      </c>
      <c r="D61">
        <v>35</v>
      </c>
      <c r="E61">
        <v>1</v>
      </c>
      <c r="F61" s="3">
        <v>52188</v>
      </c>
      <c r="G61">
        <v>48</v>
      </c>
      <c r="H61">
        <v>6</v>
      </c>
      <c r="I61">
        <v>17</v>
      </c>
      <c r="J61">
        <v>29</v>
      </c>
      <c r="K61">
        <v>3.2</v>
      </c>
      <c r="L61" s="3">
        <v>4.4000000000000004</v>
      </c>
      <c r="M61" t="s">
        <v>1036</v>
      </c>
      <c r="N61">
        <v>46</v>
      </c>
    </row>
    <row r="62" spans="1:14" hidden="1" x14ac:dyDescent="0.3">
      <c r="A62" t="s">
        <v>70</v>
      </c>
      <c r="B62" t="s">
        <v>1017</v>
      </c>
      <c r="C62" t="s">
        <v>1026</v>
      </c>
      <c r="D62">
        <v>23</v>
      </c>
      <c r="E62">
        <v>2</v>
      </c>
      <c r="F62" s="3">
        <v>49928</v>
      </c>
      <c r="G62">
        <v>50</v>
      </c>
      <c r="H62">
        <v>1</v>
      </c>
      <c r="I62">
        <v>11</v>
      </c>
      <c r="J62">
        <v>19</v>
      </c>
      <c r="K62">
        <v>4.3</v>
      </c>
      <c r="L62" s="3">
        <v>9</v>
      </c>
      <c r="M62" t="s">
        <v>1034</v>
      </c>
      <c r="N62">
        <v>68.569999999999993</v>
      </c>
    </row>
    <row r="63" spans="1:14" x14ac:dyDescent="0.3">
      <c r="A63" t="s">
        <v>71</v>
      </c>
      <c r="B63" t="s">
        <v>1015</v>
      </c>
      <c r="C63" t="s">
        <v>1021</v>
      </c>
      <c r="D63">
        <v>36</v>
      </c>
      <c r="E63">
        <v>15</v>
      </c>
      <c r="F63" s="3">
        <v>39380</v>
      </c>
      <c r="G63">
        <v>43</v>
      </c>
      <c r="H63">
        <v>7</v>
      </c>
      <c r="I63">
        <v>15</v>
      </c>
      <c r="J63">
        <v>1</v>
      </c>
      <c r="K63">
        <v>3.2</v>
      </c>
      <c r="L63" s="3">
        <v>7.7</v>
      </c>
      <c r="M63" t="s">
        <v>1035</v>
      </c>
      <c r="N63">
        <v>67.47</v>
      </c>
    </row>
    <row r="64" spans="1:14" hidden="1" x14ac:dyDescent="0.3">
      <c r="A64" t="s">
        <v>72</v>
      </c>
      <c r="B64" t="s">
        <v>1018</v>
      </c>
      <c r="C64" t="s">
        <v>1028</v>
      </c>
      <c r="D64">
        <v>51</v>
      </c>
      <c r="E64">
        <v>4</v>
      </c>
      <c r="F64" s="3">
        <v>89272</v>
      </c>
      <c r="G64">
        <v>54</v>
      </c>
      <c r="H64">
        <v>9</v>
      </c>
      <c r="I64">
        <v>0</v>
      </c>
      <c r="J64">
        <v>25</v>
      </c>
      <c r="K64">
        <v>3.8</v>
      </c>
      <c r="L64" s="3">
        <v>7.6</v>
      </c>
      <c r="M64" t="s">
        <v>1035</v>
      </c>
      <c r="N64">
        <v>72</v>
      </c>
    </row>
    <row r="65" spans="1:14" hidden="1" x14ac:dyDescent="0.3">
      <c r="A65" t="s">
        <v>73</v>
      </c>
      <c r="B65" t="s">
        <v>1017</v>
      </c>
      <c r="C65" t="s">
        <v>1026</v>
      </c>
      <c r="D65">
        <v>30</v>
      </c>
      <c r="E65">
        <v>7</v>
      </c>
      <c r="F65" s="3">
        <v>36909</v>
      </c>
      <c r="G65">
        <v>36</v>
      </c>
      <c r="H65">
        <v>5</v>
      </c>
      <c r="I65">
        <v>12</v>
      </c>
      <c r="J65">
        <v>20</v>
      </c>
      <c r="K65">
        <v>2.6</v>
      </c>
      <c r="L65" s="3">
        <v>5.3</v>
      </c>
      <c r="M65" t="s">
        <v>1036</v>
      </c>
      <c r="N65">
        <v>47.93</v>
      </c>
    </row>
    <row r="66" spans="1:14" hidden="1" x14ac:dyDescent="0.3">
      <c r="A66" t="s">
        <v>74</v>
      </c>
      <c r="B66" t="s">
        <v>1016</v>
      </c>
      <c r="C66" t="s">
        <v>1023</v>
      </c>
      <c r="D66">
        <v>48</v>
      </c>
      <c r="E66">
        <v>8</v>
      </c>
      <c r="F66" s="3">
        <v>79716</v>
      </c>
      <c r="G66">
        <v>37</v>
      </c>
      <c r="H66">
        <v>8</v>
      </c>
      <c r="I66">
        <v>0</v>
      </c>
      <c r="J66">
        <v>34</v>
      </c>
      <c r="K66">
        <v>2.2000000000000002</v>
      </c>
      <c r="L66" s="3">
        <v>9.6999999999999993</v>
      </c>
      <c r="M66" t="s">
        <v>1034</v>
      </c>
      <c r="N66">
        <v>78.13</v>
      </c>
    </row>
    <row r="67" spans="1:14" hidden="1" x14ac:dyDescent="0.3">
      <c r="A67" t="s">
        <v>75</v>
      </c>
      <c r="B67" t="s">
        <v>1014</v>
      </c>
      <c r="C67" t="s">
        <v>1025</v>
      </c>
      <c r="D67">
        <v>24</v>
      </c>
      <c r="E67">
        <v>0</v>
      </c>
      <c r="F67" s="3">
        <v>87233</v>
      </c>
      <c r="G67">
        <v>42</v>
      </c>
      <c r="H67">
        <v>4</v>
      </c>
      <c r="I67">
        <v>0</v>
      </c>
      <c r="J67">
        <v>39</v>
      </c>
      <c r="K67">
        <v>2.5</v>
      </c>
      <c r="L67" s="3">
        <v>3.9</v>
      </c>
      <c r="M67" t="s">
        <v>1036</v>
      </c>
      <c r="N67">
        <v>37.57</v>
      </c>
    </row>
    <row r="68" spans="1:14" x14ac:dyDescent="0.3">
      <c r="A68" t="s">
        <v>76</v>
      </c>
      <c r="B68" t="s">
        <v>1014</v>
      </c>
      <c r="C68" t="s">
        <v>1025</v>
      </c>
      <c r="D68">
        <v>35</v>
      </c>
      <c r="E68">
        <v>7</v>
      </c>
      <c r="F68" s="3">
        <v>70840</v>
      </c>
      <c r="G68">
        <v>43</v>
      </c>
      <c r="H68">
        <v>13</v>
      </c>
      <c r="I68">
        <v>11</v>
      </c>
      <c r="J68">
        <v>10</v>
      </c>
      <c r="K68">
        <v>3.8</v>
      </c>
      <c r="L68" s="3">
        <v>9.6999999999999993</v>
      </c>
      <c r="M68" t="s">
        <v>1034</v>
      </c>
      <c r="N68">
        <v>91.27</v>
      </c>
    </row>
    <row r="69" spans="1:14" hidden="1" x14ac:dyDescent="0.3">
      <c r="A69" t="s">
        <v>77</v>
      </c>
      <c r="B69" t="s">
        <v>1014</v>
      </c>
      <c r="C69" t="s">
        <v>1031</v>
      </c>
      <c r="D69">
        <v>32</v>
      </c>
      <c r="E69">
        <v>4</v>
      </c>
      <c r="F69" s="3">
        <v>32084</v>
      </c>
      <c r="G69">
        <v>53</v>
      </c>
      <c r="H69">
        <v>1</v>
      </c>
      <c r="I69">
        <v>9</v>
      </c>
      <c r="J69">
        <v>36</v>
      </c>
      <c r="K69">
        <v>4</v>
      </c>
      <c r="L69" s="3">
        <v>9.6999999999999993</v>
      </c>
      <c r="M69" t="s">
        <v>1034</v>
      </c>
      <c r="N69">
        <v>71.87</v>
      </c>
    </row>
    <row r="70" spans="1:14" hidden="1" x14ac:dyDescent="0.3">
      <c r="A70" t="s">
        <v>78</v>
      </c>
      <c r="B70" t="s">
        <v>1018</v>
      </c>
      <c r="C70" t="s">
        <v>1028</v>
      </c>
      <c r="D70">
        <v>26</v>
      </c>
      <c r="E70">
        <v>4</v>
      </c>
      <c r="F70" s="3">
        <v>70260</v>
      </c>
      <c r="G70">
        <v>55</v>
      </c>
      <c r="H70">
        <v>4</v>
      </c>
      <c r="I70">
        <v>3</v>
      </c>
      <c r="J70">
        <v>19</v>
      </c>
      <c r="K70">
        <v>4.5999999999999996</v>
      </c>
      <c r="L70" s="3">
        <v>7.2</v>
      </c>
      <c r="M70" t="s">
        <v>1035</v>
      </c>
      <c r="N70">
        <v>63.67</v>
      </c>
    </row>
    <row r="71" spans="1:14" hidden="1" x14ac:dyDescent="0.3">
      <c r="A71" t="s">
        <v>79</v>
      </c>
      <c r="B71" t="s">
        <v>1015</v>
      </c>
      <c r="C71" t="s">
        <v>1021</v>
      </c>
      <c r="D71">
        <v>24</v>
      </c>
      <c r="E71">
        <v>2</v>
      </c>
      <c r="F71" s="3">
        <v>59913</v>
      </c>
      <c r="G71">
        <v>48</v>
      </c>
      <c r="H71">
        <v>11</v>
      </c>
      <c r="I71">
        <v>11</v>
      </c>
      <c r="J71">
        <v>4</v>
      </c>
      <c r="K71">
        <v>3.5</v>
      </c>
      <c r="L71" s="3">
        <v>5.4</v>
      </c>
      <c r="M71" t="s">
        <v>1036</v>
      </c>
      <c r="N71">
        <v>61.23</v>
      </c>
    </row>
    <row r="72" spans="1:14" x14ac:dyDescent="0.3">
      <c r="A72" t="s">
        <v>80</v>
      </c>
      <c r="B72" t="s">
        <v>1017</v>
      </c>
      <c r="C72" t="s">
        <v>1024</v>
      </c>
      <c r="D72">
        <v>28</v>
      </c>
      <c r="E72">
        <v>6</v>
      </c>
      <c r="F72" s="3">
        <v>87966</v>
      </c>
      <c r="G72">
        <v>46</v>
      </c>
      <c r="H72">
        <v>11</v>
      </c>
      <c r="I72">
        <v>14</v>
      </c>
      <c r="J72">
        <v>9</v>
      </c>
      <c r="K72">
        <v>3.3</v>
      </c>
      <c r="L72" s="3">
        <v>8.1</v>
      </c>
      <c r="M72" t="s">
        <v>1034</v>
      </c>
      <c r="N72">
        <v>76.83</v>
      </c>
    </row>
    <row r="73" spans="1:14" x14ac:dyDescent="0.3">
      <c r="A73" t="s">
        <v>81</v>
      </c>
      <c r="B73" t="s">
        <v>1016</v>
      </c>
      <c r="C73" t="s">
        <v>1033</v>
      </c>
      <c r="D73">
        <v>52</v>
      </c>
      <c r="E73">
        <v>14</v>
      </c>
      <c r="F73" s="3">
        <v>53545</v>
      </c>
      <c r="G73">
        <v>53</v>
      </c>
      <c r="H73">
        <v>5</v>
      </c>
      <c r="I73">
        <v>10</v>
      </c>
      <c r="J73">
        <v>15</v>
      </c>
      <c r="K73">
        <v>4.5</v>
      </c>
      <c r="L73" s="3">
        <v>3.6</v>
      </c>
      <c r="M73" t="s">
        <v>1036</v>
      </c>
      <c r="N73">
        <v>43.43</v>
      </c>
    </row>
    <row r="74" spans="1:14" hidden="1" x14ac:dyDescent="0.3">
      <c r="A74" t="s">
        <v>82</v>
      </c>
      <c r="B74" t="s">
        <v>1018</v>
      </c>
      <c r="C74" t="s">
        <v>1032</v>
      </c>
      <c r="D74">
        <v>51</v>
      </c>
      <c r="E74">
        <v>12</v>
      </c>
      <c r="F74" s="3">
        <v>47046</v>
      </c>
      <c r="G74">
        <v>35</v>
      </c>
      <c r="H74">
        <v>8</v>
      </c>
      <c r="I74">
        <v>10</v>
      </c>
      <c r="J74">
        <v>11</v>
      </c>
      <c r="K74">
        <v>3.5</v>
      </c>
      <c r="L74" s="3">
        <v>5.5</v>
      </c>
      <c r="M74" t="s">
        <v>1036</v>
      </c>
      <c r="N74">
        <v>56.83</v>
      </c>
    </row>
    <row r="75" spans="1:14" hidden="1" x14ac:dyDescent="0.3">
      <c r="A75" t="s">
        <v>83</v>
      </c>
      <c r="B75" t="s">
        <v>1016</v>
      </c>
      <c r="C75" t="s">
        <v>1022</v>
      </c>
      <c r="D75">
        <v>39</v>
      </c>
      <c r="E75">
        <v>8</v>
      </c>
      <c r="F75" s="3">
        <v>61424</v>
      </c>
      <c r="G75">
        <v>35</v>
      </c>
      <c r="H75">
        <v>9</v>
      </c>
      <c r="I75">
        <v>6</v>
      </c>
      <c r="J75">
        <v>5</v>
      </c>
      <c r="K75">
        <v>2.7</v>
      </c>
      <c r="L75" s="3">
        <v>5.8</v>
      </c>
      <c r="M75" t="s">
        <v>1036</v>
      </c>
      <c r="N75">
        <v>57.9</v>
      </c>
    </row>
    <row r="76" spans="1:14" hidden="1" x14ac:dyDescent="0.3">
      <c r="A76" t="s">
        <v>84</v>
      </c>
      <c r="B76" t="s">
        <v>1018</v>
      </c>
      <c r="C76" t="s">
        <v>1027</v>
      </c>
      <c r="D76">
        <v>52</v>
      </c>
      <c r="E76">
        <v>15</v>
      </c>
      <c r="F76" s="3">
        <v>54371</v>
      </c>
      <c r="G76">
        <v>35</v>
      </c>
      <c r="H76">
        <v>2</v>
      </c>
      <c r="I76">
        <v>9</v>
      </c>
      <c r="J76">
        <v>14</v>
      </c>
      <c r="K76">
        <v>3.2</v>
      </c>
      <c r="L76" s="3">
        <v>4.7</v>
      </c>
      <c r="M76" t="s">
        <v>1036</v>
      </c>
      <c r="N76">
        <v>41.13</v>
      </c>
    </row>
    <row r="77" spans="1:14" x14ac:dyDescent="0.3">
      <c r="A77" t="s">
        <v>85</v>
      </c>
      <c r="B77" t="s">
        <v>1015</v>
      </c>
      <c r="C77" t="s">
        <v>1021</v>
      </c>
      <c r="D77">
        <v>45</v>
      </c>
      <c r="E77">
        <v>15</v>
      </c>
      <c r="F77" s="3">
        <v>61272</v>
      </c>
      <c r="G77">
        <v>51</v>
      </c>
      <c r="H77">
        <v>6</v>
      </c>
      <c r="I77">
        <v>13</v>
      </c>
      <c r="J77">
        <v>35</v>
      </c>
      <c r="K77">
        <v>3</v>
      </c>
      <c r="L77" s="3">
        <v>7.9</v>
      </c>
      <c r="M77" t="s">
        <v>1035</v>
      </c>
      <c r="N77">
        <v>66.400000000000006</v>
      </c>
    </row>
    <row r="78" spans="1:14" x14ac:dyDescent="0.3">
      <c r="A78" t="s">
        <v>86</v>
      </c>
      <c r="B78" t="s">
        <v>1016</v>
      </c>
      <c r="C78" t="s">
        <v>1023</v>
      </c>
      <c r="D78">
        <v>38</v>
      </c>
      <c r="E78">
        <v>7</v>
      </c>
      <c r="F78" s="3">
        <v>32907</v>
      </c>
      <c r="G78">
        <v>41</v>
      </c>
      <c r="H78">
        <v>6</v>
      </c>
      <c r="I78">
        <v>3</v>
      </c>
      <c r="J78">
        <v>34</v>
      </c>
      <c r="K78">
        <v>4.9000000000000004</v>
      </c>
      <c r="L78" s="3">
        <v>7.8</v>
      </c>
      <c r="M78" t="s">
        <v>1035</v>
      </c>
      <c r="N78">
        <v>71.5</v>
      </c>
    </row>
    <row r="79" spans="1:14" x14ac:dyDescent="0.3">
      <c r="A79" t="s">
        <v>87</v>
      </c>
      <c r="B79" t="s">
        <v>1018</v>
      </c>
      <c r="C79" t="s">
        <v>1028</v>
      </c>
      <c r="D79">
        <v>52</v>
      </c>
      <c r="E79">
        <v>8</v>
      </c>
      <c r="F79" s="3">
        <v>72486</v>
      </c>
      <c r="G79">
        <v>53</v>
      </c>
      <c r="H79">
        <v>13</v>
      </c>
      <c r="I79">
        <v>16</v>
      </c>
      <c r="J79">
        <v>38</v>
      </c>
      <c r="K79">
        <v>2.8</v>
      </c>
      <c r="L79" s="3">
        <v>3.7</v>
      </c>
      <c r="M79" t="s">
        <v>1036</v>
      </c>
      <c r="N79">
        <v>52.27</v>
      </c>
    </row>
    <row r="80" spans="1:14" x14ac:dyDescent="0.3">
      <c r="A80" t="s">
        <v>88</v>
      </c>
      <c r="B80" t="s">
        <v>1016</v>
      </c>
      <c r="C80" t="s">
        <v>1023</v>
      </c>
      <c r="D80">
        <v>36</v>
      </c>
      <c r="E80">
        <v>11</v>
      </c>
      <c r="F80" s="3">
        <v>36759</v>
      </c>
      <c r="G80">
        <v>44</v>
      </c>
      <c r="H80">
        <v>1</v>
      </c>
      <c r="I80">
        <v>22</v>
      </c>
      <c r="J80">
        <v>34</v>
      </c>
      <c r="K80">
        <v>2.4</v>
      </c>
      <c r="L80" s="3">
        <v>3.3</v>
      </c>
      <c r="M80" t="s">
        <v>1036</v>
      </c>
      <c r="N80">
        <v>28.67</v>
      </c>
    </row>
    <row r="81" spans="1:14" hidden="1" x14ac:dyDescent="0.3">
      <c r="A81" t="s">
        <v>89</v>
      </c>
      <c r="B81" t="s">
        <v>1015</v>
      </c>
      <c r="C81" t="s">
        <v>1021</v>
      </c>
      <c r="D81">
        <v>40</v>
      </c>
      <c r="E81">
        <v>4</v>
      </c>
      <c r="F81" s="3">
        <v>66803</v>
      </c>
      <c r="G81">
        <v>50</v>
      </c>
      <c r="H81">
        <v>2</v>
      </c>
      <c r="I81">
        <v>0</v>
      </c>
      <c r="J81">
        <v>36</v>
      </c>
      <c r="K81">
        <v>2.9</v>
      </c>
      <c r="L81" s="3">
        <v>6.4</v>
      </c>
      <c r="M81" t="s">
        <v>1035</v>
      </c>
      <c r="N81">
        <v>50.43</v>
      </c>
    </row>
    <row r="82" spans="1:14" hidden="1" x14ac:dyDescent="0.3">
      <c r="A82" t="s">
        <v>90</v>
      </c>
      <c r="B82" t="s">
        <v>1018</v>
      </c>
      <c r="C82" t="s">
        <v>1027</v>
      </c>
      <c r="D82">
        <v>25</v>
      </c>
      <c r="E82">
        <v>2</v>
      </c>
      <c r="F82" s="3">
        <v>86673</v>
      </c>
      <c r="G82">
        <v>50</v>
      </c>
      <c r="H82">
        <v>2</v>
      </c>
      <c r="I82">
        <v>2</v>
      </c>
      <c r="J82">
        <v>25</v>
      </c>
      <c r="K82">
        <v>3.5</v>
      </c>
      <c r="L82" s="3">
        <v>7</v>
      </c>
      <c r="M82" t="s">
        <v>1035</v>
      </c>
      <c r="N82">
        <v>55.83</v>
      </c>
    </row>
    <row r="83" spans="1:14" hidden="1" x14ac:dyDescent="0.3">
      <c r="A83" t="s">
        <v>91</v>
      </c>
      <c r="B83" t="s">
        <v>1014</v>
      </c>
      <c r="C83" t="s">
        <v>1025</v>
      </c>
      <c r="D83">
        <v>31</v>
      </c>
      <c r="E83">
        <v>2</v>
      </c>
      <c r="F83" s="3">
        <v>78159</v>
      </c>
      <c r="G83">
        <v>53</v>
      </c>
      <c r="H83">
        <v>5</v>
      </c>
      <c r="I83">
        <v>2</v>
      </c>
      <c r="J83">
        <v>15</v>
      </c>
      <c r="K83">
        <v>2.4</v>
      </c>
      <c r="L83" s="3">
        <v>8.4</v>
      </c>
      <c r="M83" t="s">
        <v>1034</v>
      </c>
      <c r="N83">
        <v>65.930000000000007</v>
      </c>
    </row>
    <row r="84" spans="1:14" x14ac:dyDescent="0.3">
      <c r="A84" t="s">
        <v>92</v>
      </c>
      <c r="B84" t="s">
        <v>1015</v>
      </c>
      <c r="C84" t="s">
        <v>1020</v>
      </c>
      <c r="D84">
        <v>36</v>
      </c>
      <c r="E84">
        <v>12</v>
      </c>
      <c r="F84" s="3">
        <v>54524</v>
      </c>
      <c r="G84">
        <v>49</v>
      </c>
      <c r="H84">
        <v>5</v>
      </c>
      <c r="I84">
        <v>18</v>
      </c>
      <c r="J84">
        <v>27</v>
      </c>
      <c r="K84">
        <v>2.9</v>
      </c>
      <c r="L84" s="3">
        <v>7.3</v>
      </c>
      <c r="M84" t="s">
        <v>1035</v>
      </c>
      <c r="N84">
        <v>60.83</v>
      </c>
    </row>
    <row r="85" spans="1:14" x14ac:dyDescent="0.3">
      <c r="A85" t="s">
        <v>93</v>
      </c>
      <c r="B85" t="s">
        <v>1014</v>
      </c>
      <c r="C85" t="s">
        <v>1019</v>
      </c>
      <c r="D85">
        <v>35</v>
      </c>
      <c r="E85">
        <v>10</v>
      </c>
      <c r="F85" s="3">
        <v>38829</v>
      </c>
      <c r="G85">
        <v>43</v>
      </c>
      <c r="H85">
        <v>11</v>
      </c>
      <c r="I85">
        <v>2</v>
      </c>
      <c r="J85">
        <v>10</v>
      </c>
      <c r="K85">
        <v>2.7</v>
      </c>
      <c r="L85" s="3">
        <v>6.9</v>
      </c>
      <c r="M85" t="s">
        <v>1035</v>
      </c>
      <c r="N85">
        <v>67.83</v>
      </c>
    </row>
    <row r="86" spans="1:14" x14ac:dyDescent="0.3">
      <c r="A86" t="s">
        <v>94</v>
      </c>
      <c r="B86" t="s">
        <v>1014</v>
      </c>
      <c r="C86" t="s">
        <v>1025</v>
      </c>
      <c r="D86">
        <v>48</v>
      </c>
      <c r="E86">
        <v>14</v>
      </c>
      <c r="F86" s="3">
        <v>70178</v>
      </c>
      <c r="G86">
        <v>54</v>
      </c>
      <c r="H86">
        <v>8</v>
      </c>
      <c r="I86">
        <v>9</v>
      </c>
      <c r="J86">
        <v>2</v>
      </c>
      <c r="K86">
        <v>2.7</v>
      </c>
      <c r="L86" s="3">
        <v>7.9</v>
      </c>
      <c r="M86" t="s">
        <v>1035</v>
      </c>
      <c r="N86">
        <v>68.83</v>
      </c>
    </row>
    <row r="87" spans="1:14" hidden="1" x14ac:dyDescent="0.3">
      <c r="A87" t="s">
        <v>95</v>
      </c>
      <c r="B87" t="s">
        <v>1017</v>
      </c>
      <c r="C87" t="s">
        <v>1030</v>
      </c>
      <c r="D87">
        <v>26</v>
      </c>
      <c r="E87">
        <v>5</v>
      </c>
      <c r="F87" s="3">
        <v>40297</v>
      </c>
      <c r="G87">
        <v>43</v>
      </c>
      <c r="H87">
        <v>13</v>
      </c>
      <c r="I87">
        <v>25</v>
      </c>
      <c r="J87">
        <v>40</v>
      </c>
      <c r="K87">
        <v>3.8</v>
      </c>
      <c r="L87" s="3">
        <v>8.6</v>
      </c>
      <c r="M87" t="s">
        <v>1034</v>
      </c>
      <c r="N87">
        <v>84.67</v>
      </c>
    </row>
    <row r="88" spans="1:14" x14ac:dyDescent="0.3">
      <c r="A88" t="s">
        <v>96</v>
      </c>
      <c r="B88" t="s">
        <v>1017</v>
      </c>
      <c r="C88" t="s">
        <v>1026</v>
      </c>
      <c r="D88">
        <v>29</v>
      </c>
      <c r="E88">
        <v>8</v>
      </c>
      <c r="F88" s="3">
        <v>39733</v>
      </c>
      <c r="G88">
        <v>55</v>
      </c>
      <c r="H88">
        <v>3</v>
      </c>
      <c r="I88">
        <v>8</v>
      </c>
      <c r="J88">
        <v>9</v>
      </c>
      <c r="K88">
        <v>2.2000000000000002</v>
      </c>
      <c r="L88" s="3">
        <v>4.2</v>
      </c>
      <c r="M88" t="s">
        <v>1036</v>
      </c>
      <c r="N88">
        <v>36.799999999999997</v>
      </c>
    </row>
    <row r="89" spans="1:14" x14ac:dyDescent="0.3">
      <c r="A89" t="s">
        <v>97</v>
      </c>
      <c r="B89" t="s">
        <v>1015</v>
      </c>
      <c r="C89" t="s">
        <v>1021</v>
      </c>
      <c r="D89">
        <v>40</v>
      </c>
      <c r="E89">
        <v>14</v>
      </c>
      <c r="F89" s="3">
        <v>33149</v>
      </c>
      <c r="G89">
        <v>49</v>
      </c>
      <c r="H89">
        <v>12</v>
      </c>
      <c r="I89">
        <v>9</v>
      </c>
      <c r="J89">
        <v>25</v>
      </c>
      <c r="K89">
        <v>4.8</v>
      </c>
      <c r="L89" s="3">
        <v>6.5</v>
      </c>
      <c r="M89" t="s">
        <v>1035</v>
      </c>
      <c r="N89">
        <v>73.400000000000006</v>
      </c>
    </row>
    <row r="90" spans="1:14" hidden="1" x14ac:dyDescent="0.3">
      <c r="A90" t="s">
        <v>98</v>
      </c>
      <c r="B90" t="s">
        <v>1017</v>
      </c>
      <c r="C90" t="s">
        <v>1024</v>
      </c>
      <c r="D90">
        <v>27</v>
      </c>
      <c r="E90">
        <v>4</v>
      </c>
      <c r="F90" s="3">
        <v>27612</v>
      </c>
      <c r="G90">
        <v>48</v>
      </c>
      <c r="H90">
        <v>12</v>
      </c>
      <c r="I90">
        <v>10</v>
      </c>
      <c r="J90">
        <v>38</v>
      </c>
      <c r="K90">
        <v>2.8</v>
      </c>
      <c r="L90" s="3">
        <v>3.6</v>
      </c>
      <c r="M90" t="s">
        <v>1036</v>
      </c>
      <c r="N90">
        <v>50</v>
      </c>
    </row>
    <row r="91" spans="1:14" hidden="1" x14ac:dyDescent="0.3">
      <c r="A91" t="s">
        <v>99</v>
      </c>
      <c r="B91" t="s">
        <v>1015</v>
      </c>
      <c r="C91" t="s">
        <v>1021</v>
      </c>
      <c r="D91">
        <v>23</v>
      </c>
      <c r="E91">
        <v>2</v>
      </c>
      <c r="F91" s="3">
        <v>78832</v>
      </c>
      <c r="G91">
        <v>43</v>
      </c>
      <c r="H91">
        <v>10</v>
      </c>
      <c r="I91">
        <v>1</v>
      </c>
      <c r="J91">
        <v>11</v>
      </c>
      <c r="K91">
        <v>3.4</v>
      </c>
      <c r="L91" s="3">
        <v>7.6</v>
      </c>
      <c r="M91" t="s">
        <v>1035</v>
      </c>
      <c r="N91">
        <v>72.47</v>
      </c>
    </row>
    <row r="92" spans="1:14" hidden="1" x14ac:dyDescent="0.3">
      <c r="A92" t="s">
        <v>100</v>
      </c>
      <c r="B92" t="s">
        <v>1018</v>
      </c>
      <c r="C92" t="s">
        <v>1028</v>
      </c>
      <c r="D92">
        <v>49</v>
      </c>
      <c r="E92">
        <v>15</v>
      </c>
      <c r="F92" s="3">
        <v>88508</v>
      </c>
      <c r="G92">
        <v>37</v>
      </c>
      <c r="H92">
        <v>8</v>
      </c>
      <c r="I92">
        <v>11</v>
      </c>
      <c r="J92">
        <v>26</v>
      </c>
      <c r="K92">
        <v>3</v>
      </c>
      <c r="L92" s="3">
        <v>7.7</v>
      </c>
      <c r="M92" t="s">
        <v>1035</v>
      </c>
      <c r="N92">
        <v>68.53</v>
      </c>
    </row>
    <row r="93" spans="1:14" x14ac:dyDescent="0.3">
      <c r="A93" t="s">
        <v>101</v>
      </c>
      <c r="B93" t="s">
        <v>1016</v>
      </c>
      <c r="C93" t="s">
        <v>1033</v>
      </c>
      <c r="D93">
        <v>48</v>
      </c>
      <c r="E93">
        <v>15</v>
      </c>
      <c r="F93" s="3">
        <v>43888</v>
      </c>
      <c r="G93">
        <v>47</v>
      </c>
      <c r="H93">
        <v>14</v>
      </c>
      <c r="I93">
        <v>24</v>
      </c>
      <c r="J93">
        <v>35</v>
      </c>
      <c r="K93">
        <v>2.1</v>
      </c>
      <c r="L93" s="3">
        <v>3.6</v>
      </c>
      <c r="M93" t="s">
        <v>1036</v>
      </c>
      <c r="N93">
        <v>51.23</v>
      </c>
    </row>
    <row r="94" spans="1:14" x14ac:dyDescent="0.3">
      <c r="A94" t="s">
        <v>102</v>
      </c>
      <c r="B94" t="s">
        <v>1016</v>
      </c>
      <c r="C94" t="s">
        <v>1022</v>
      </c>
      <c r="D94">
        <v>29</v>
      </c>
      <c r="E94">
        <v>6</v>
      </c>
      <c r="F94" s="3">
        <v>81682</v>
      </c>
      <c r="G94">
        <v>51</v>
      </c>
      <c r="H94">
        <v>14</v>
      </c>
      <c r="I94">
        <v>0</v>
      </c>
      <c r="J94">
        <v>34</v>
      </c>
      <c r="K94">
        <v>3.4</v>
      </c>
      <c r="L94" s="3">
        <v>3.4</v>
      </c>
      <c r="M94" t="s">
        <v>1036</v>
      </c>
      <c r="N94">
        <v>53.93</v>
      </c>
    </row>
    <row r="95" spans="1:14" hidden="1" x14ac:dyDescent="0.3">
      <c r="A95" t="s">
        <v>103</v>
      </c>
      <c r="B95" t="s">
        <v>1016</v>
      </c>
      <c r="C95" t="s">
        <v>1022</v>
      </c>
      <c r="D95">
        <v>53</v>
      </c>
      <c r="E95">
        <v>14</v>
      </c>
      <c r="F95" s="3">
        <v>74806</v>
      </c>
      <c r="G95">
        <v>36</v>
      </c>
      <c r="H95">
        <v>4</v>
      </c>
      <c r="I95">
        <v>8</v>
      </c>
      <c r="J95">
        <v>35</v>
      </c>
      <c r="K95">
        <v>2.4</v>
      </c>
      <c r="L95" s="3">
        <v>5</v>
      </c>
      <c r="M95" t="s">
        <v>1036</v>
      </c>
      <c r="N95">
        <v>43.87</v>
      </c>
    </row>
    <row r="96" spans="1:14" hidden="1" x14ac:dyDescent="0.3">
      <c r="A96" t="s">
        <v>104</v>
      </c>
      <c r="B96" t="s">
        <v>1017</v>
      </c>
      <c r="C96" t="s">
        <v>1030</v>
      </c>
      <c r="D96">
        <v>29</v>
      </c>
      <c r="E96">
        <v>0</v>
      </c>
      <c r="F96" s="3">
        <v>88776</v>
      </c>
      <c r="G96">
        <v>55</v>
      </c>
      <c r="H96">
        <v>10</v>
      </c>
      <c r="I96">
        <v>25</v>
      </c>
      <c r="J96">
        <v>15</v>
      </c>
      <c r="K96">
        <v>4.0999999999999996</v>
      </c>
      <c r="L96" s="3">
        <v>5.2</v>
      </c>
      <c r="M96" t="s">
        <v>1036</v>
      </c>
      <c r="N96">
        <v>60.17</v>
      </c>
    </row>
    <row r="97" spans="1:14" hidden="1" x14ac:dyDescent="0.3">
      <c r="A97" t="s">
        <v>105</v>
      </c>
      <c r="B97" t="s">
        <v>1015</v>
      </c>
      <c r="C97" t="s">
        <v>1020</v>
      </c>
      <c r="D97">
        <v>48</v>
      </c>
      <c r="E97">
        <v>2</v>
      </c>
      <c r="F97" s="3">
        <v>39725</v>
      </c>
      <c r="G97">
        <v>38</v>
      </c>
      <c r="H97">
        <v>8</v>
      </c>
      <c r="I97">
        <v>3</v>
      </c>
      <c r="J97">
        <v>9</v>
      </c>
      <c r="K97">
        <v>3.5</v>
      </c>
      <c r="L97" s="3">
        <v>8</v>
      </c>
      <c r="M97" t="s">
        <v>1034</v>
      </c>
      <c r="N97">
        <v>71.83</v>
      </c>
    </row>
    <row r="98" spans="1:14" x14ac:dyDescent="0.3">
      <c r="A98" t="s">
        <v>106</v>
      </c>
      <c r="B98" t="s">
        <v>1016</v>
      </c>
      <c r="C98" t="s">
        <v>1022</v>
      </c>
      <c r="D98">
        <v>48</v>
      </c>
      <c r="E98">
        <v>15</v>
      </c>
      <c r="F98" s="3">
        <v>89241</v>
      </c>
      <c r="G98">
        <v>50</v>
      </c>
      <c r="H98">
        <v>4</v>
      </c>
      <c r="I98">
        <v>14</v>
      </c>
      <c r="J98">
        <v>35</v>
      </c>
      <c r="K98">
        <v>2.4</v>
      </c>
      <c r="L98" s="3">
        <v>4.3</v>
      </c>
      <c r="M98" t="s">
        <v>1036</v>
      </c>
      <c r="N98">
        <v>39.67</v>
      </c>
    </row>
    <row r="99" spans="1:14" hidden="1" x14ac:dyDescent="0.3">
      <c r="A99" t="s">
        <v>107</v>
      </c>
      <c r="B99" t="s">
        <v>1015</v>
      </c>
      <c r="C99" t="s">
        <v>1020</v>
      </c>
      <c r="D99">
        <v>30</v>
      </c>
      <c r="E99">
        <v>1</v>
      </c>
      <c r="F99" s="3">
        <v>43104</v>
      </c>
      <c r="G99">
        <v>48</v>
      </c>
      <c r="H99">
        <v>6</v>
      </c>
      <c r="I99">
        <v>25</v>
      </c>
      <c r="J99">
        <v>32</v>
      </c>
      <c r="K99">
        <v>2.8</v>
      </c>
      <c r="L99" s="3">
        <v>3</v>
      </c>
      <c r="M99" t="s">
        <v>1036</v>
      </c>
      <c r="N99">
        <v>36.4</v>
      </c>
    </row>
    <row r="100" spans="1:14" hidden="1" x14ac:dyDescent="0.3">
      <c r="A100" t="s">
        <v>108</v>
      </c>
      <c r="B100" t="s">
        <v>1016</v>
      </c>
      <c r="C100" t="s">
        <v>1033</v>
      </c>
      <c r="D100">
        <v>53</v>
      </c>
      <c r="E100">
        <v>4</v>
      </c>
      <c r="F100" s="3">
        <v>54264</v>
      </c>
      <c r="G100">
        <v>52</v>
      </c>
      <c r="H100">
        <v>8</v>
      </c>
      <c r="I100">
        <v>11</v>
      </c>
      <c r="J100">
        <v>21</v>
      </c>
      <c r="K100">
        <v>3.7</v>
      </c>
      <c r="L100" s="3">
        <v>6.8</v>
      </c>
      <c r="M100" t="s">
        <v>1035</v>
      </c>
      <c r="N100">
        <v>65.23</v>
      </c>
    </row>
    <row r="101" spans="1:14" x14ac:dyDescent="0.3">
      <c r="A101" t="s">
        <v>109</v>
      </c>
      <c r="B101" t="s">
        <v>1016</v>
      </c>
      <c r="C101" t="s">
        <v>1022</v>
      </c>
      <c r="D101">
        <v>34</v>
      </c>
      <c r="E101">
        <v>11</v>
      </c>
      <c r="F101" s="3">
        <v>40650</v>
      </c>
      <c r="G101">
        <v>53</v>
      </c>
      <c r="H101">
        <v>7</v>
      </c>
      <c r="I101">
        <v>7</v>
      </c>
      <c r="J101">
        <v>26</v>
      </c>
      <c r="K101">
        <v>2.1</v>
      </c>
      <c r="L101" s="3">
        <v>8.1999999999999993</v>
      </c>
      <c r="M101" t="s">
        <v>1034</v>
      </c>
      <c r="N101">
        <v>67.17</v>
      </c>
    </row>
    <row r="102" spans="1:14" hidden="1" x14ac:dyDescent="0.3">
      <c r="A102" t="s">
        <v>110</v>
      </c>
      <c r="B102" t="s">
        <v>1017</v>
      </c>
      <c r="C102" t="s">
        <v>1026</v>
      </c>
      <c r="D102">
        <v>46</v>
      </c>
      <c r="E102">
        <v>4</v>
      </c>
      <c r="F102" s="3">
        <v>57461</v>
      </c>
      <c r="G102">
        <v>36</v>
      </c>
      <c r="H102">
        <v>3</v>
      </c>
      <c r="I102">
        <v>16</v>
      </c>
      <c r="J102">
        <v>37</v>
      </c>
      <c r="K102">
        <v>3</v>
      </c>
      <c r="L102" s="3">
        <v>3.7</v>
      </c>
      <c r="M102" t="s">
        <v>1036</v>
      </c>
      <c r="N102">
        <v>36.200000000000003</v>
      </c>
    </row>
    <row r="103" spans="1:14" hidden="1" x14ac:dyDescent="0.3">
      <c r="A103" t="s">
        <v>111</v>
      </c>
      <c r="B103" t="s">
        <v>1014</v>
      </c>
      <c r="C103" t="s">
        <v>1031</v>
      </c>
      <c r="D103">
        <v>55</v>
      </c>
      <c r="E103">
        <v>14</v>
      </c>
      <c r="F103" s="3">
        <v>26005</v>
      </c>
      <c r="G103">
        <v>39</v>
      </c>
      <c r="H103">
        <v>7</v>
      </c>
      <c r="I103">
        <v>20</v>
      </c>
      <c r="J103">
        <v>9</v>
      </c>
      <c r="K103">
        <v>2.2000000000000002</v>
      </c>
      <c r="L103" s="3">
        <v>8.5</v>
      </c>
      <c r="M103" t="s">
        <v>1034</v>
      </c>
      <c r="N103">
        <v>69.27</v>
      </c>
    </row>
    <row r="104" spans="1:14" hidden="1" x14ac:dyDescent="0.3">
      <c r="A104" t="s">
        <v>112</v>
      </c>
      <c r="B104" t="s">
        <v>1016</v>
      </c>
      <c r="C104" t="s">
        <v>1022</v>
      </c>
      <c r="D104">
        <v>47</v>
      </c>
      <c r="E104">
        <v>2</v>
      </c>
      <c r="F104" s="3">
        <v>80821</v>
      </c>
      <c r="G104">
        <v>45</v>
      </c>
      <c r="H104">
        <v>14</v>
      </c>
      <c r="I104">
        <v>21</v>
      </c>
      <c r="J104">
        <v>34</v>
      </c>
      <c r="K104">
        <v>3.1</v>
      </c>
      <c r="L104" s="3">
        <v>5.2</v>
      </c>
      <c r="M104" t="s">
        <v>1036</v>
      </c>
      <c r="N104">
        <v>63.83</v>
      </c>
    </row>
    <row r="105" spans="1:14" hidden="1" x14ac:dyDescent="0.3">
      <c r="A105" t="s">
        <v>113</v>
      </c>
      <c r="B105" t="s">
        <v>1017</v>
      </c>
      <c r="C105" t="s">
        <v>1030</v>
      </c>
      <c r="D105">
        <v>24</v>
      </c>
      <c r="E105">
        <v>0</v>
      </c>
      <c r="F105" s="3">
        <v>40385</v>
      </c>
      <c r="G105">
        <v>55</v>
      </c>
      <c r="H105">
        <v>11</v>
      </c>
      <c r="I105">
        <v>9</v>
      </c>
      <c r="J105">
        <v>14</v>
      </c>
      <c r="K105">
        <v>4.2</v>
      </c>
      <c r="L105" s="3">
        <v>6</v>
      </c>
      <c r="M105" t="s">
        <v>1035</v>
      </c>
      <c r="N105">
        <v>66.930000000000007</v>
      </c>
    </row>
    <row r="106" spans="1:14" hidden="1" x14ac:dyDescent="0.3">
      <c r="A106" t="s">
        <v>114</v>
      </c>
      <c r="B106" t="s">
        <v>1014</v>
      </c>
      <c r="C106" t="s">
        <v>1031</v>
      </c>
      <c r="D106">
        <v>50</v>
      </c>
      <c r="E106">
        <v>5</v>
      </c>
      <c r="F106" s="3">
        <v>70482</v>
      </c>
      <c r="G106">
        <v>44</v>
      </c>
      <c r="H106">
        <v>15</v>
      </c>
      <c r="I106">
        <v>0</v>
      </c>
      <c r="J106">
        <v>2</v>
      </c>
      <c r="K106">
        <v>3</v>
      </c>
      <c r="L106" s="3">
        <v>3.4</v>
      </c>
      <c r="M106" t="s">
        <v>1036</v>
      </c>
      <c r="N106">
        <v>54.4</v>
      </c>
    </row>
    <row r="107" spans="1:14" hidden="1" x14ac:dyDescent="0.3">
      <c r="A107" t="s">
        <v>115</v>
      </c>
      <c r="B107" t="s">
        <v>1016</v>
      </c>
      <c r="C107" t="s">
        <v>1033</v>
      </c>
      <c r="D107">
        <v>49</v>
      </c>
      <c r="E107">
        <v>4</v>
      </c>
      <c r="F107" s="3">
        <v>41003</v>
      </c>
      <c r="G107">
        <v>51</v>
      </c>
      <c r="H107">
        <v>7</v>
      </c>
      <c r="I107">
        <v>18</v>
      </c>
      <c r="J107">
        <v>11</v>
      </c>
      <c r="K107">
        <v>2.5</v>
      </c>
      <c r="L107" s="3">
        <v>3.6</v>
      </c>
      <c r="M107" t="s">
        <v>1036</v>
      </c>
      <c r="N107">
        <v>40.770000000000003</v>
      </c>
    </row>
    <row r="108" spans="1:14" x14ac:dyDescent="0.3">
      <c r="A108" t="s">
        <v>116</v>
      </c>
      <c r="B108" t="s">
        <v>1015</v>
      </c>
      <c r="C108" t="s">
        <v>1020</v>
      </c>
      <c r="D108">
        <v>37</v>
      </c>
      <c r="E108">
        <v>15</v>
      </c>
      <c r="F108" s="3">
        <v>84823</v>
      </c>
      <c r="G108">
        <v>53</v>
      </c>
      <c r="H108">
        <v>3</v>
      </c>
      <c r="I108">
        <v>7</v>
      </c>
      <c r="J108">
        <v>29</v>
      </c>
      <c r="K108">
        <v>3.9</v>
      </c>
      <c r="L108" s="3">
        <v>6.2</v>
      </c>
      <c r="M108" t="s">
        <v>1035</v>
      </c>
      <c r="N108">
        <v>53.9</v>
      </c>
    </row>
    <row r="109" spans="1:14" x14ac:dyDescent="0.3">
      <c r="A109" t="s">
        <v>117</v>
      </c>
      <c r="B109" t="s">
        <v>1014</v>
      </c>
      <c r="C109" t="s">
        <v>1031</v>
      </c>
      <c r="D109">
        <v>51</v>
      </c>
      <c r="E109">
        <v>9</v>
      </c>
      <c r="F109" s="3">
        <v>69407</v>
      </c>
      <c r="G109">
        <v>52</v>
      </c>
      <c r="H109">
        <v>3</v>
      </c>
      <c r="I109">
        <v>2</v>
      </c>
      <c r="J109">
        <v>28</v>
      </c>
      <c r="K109">
        <v>4.8</v>
      </c>
      <c r="L109" s="3">
        <v>9.9</v>
      </c>
      <c r="M109" t="s">
        <v>1034</v>
      </c>
      <c r="N109">
        <v>78.8</v>
      </c>
    </row>
    <row r="110" spans="1:14" x14ac:dyDescent="0.3">
      <c r="A110" t="s">
        <v>118</v>
      </c>
      <c r="B110" t="s">
        <v>1017</v>
      </c>
      <c r="C110" t="s">
        <v>1026</v>
      </c>
      <c r="D110">
        <v>38</v>
      </c>
      <c r="E110">
        <v>14</v>
      </c>
      <c r="F110" s="3">
        <v>80397</v>
      </c>
      <c r="G110">
        <v>44</v>
      </c>
      <c r="H110">
        <v>4</v>
      </c>
      <c r="I110">
        <v>12</v>
      </c>
      <c r="J110">
        <v>30</v>
      </c>
      <c r="K110">
        <v>2.2999999999999998</v>
      </c>
      <c r="L110" s="3">
        <v>5.7</v>
      </c>
      <c r="M110" t="s">
        <v>1036</v>
      </c>
      <c r="N110">
        <v>47.77</v>
      </c>
    </row>
    <row r="111" spans="1:14" x14ac:dyDescent="0.3">
      <c r="A111" t="s">
        <v>119</v>
      </c>
      <c r="B111" t="s">
        <v>1015</v>
      </c>
      <c r="C111" t="s">
        <v>1029</v>
      </c>
      <c r="D111">
        <v>40</v>
      </c>
      <c r="E111">
        <v>9</v>
      </c>
      <c r="F111" s="3">
        <v>26437</v>
      </c>
      <c r="G111">
        <v>47</v>
      </c>
      <c r="H111">
        <v>5</v>
      </c>
      <c r="I111">
        <v>0</v>
      </c>
      <c r="J111">
        <v>36</v>
      </c>
      <c r="K111">
        <v>4.5999999999999996</v>
      </c>
      <c r="L111" s="3">
        <v>8.4</v>
      </c>
      <c r="M111" t="s">
        <v>1034</v>
      </c>
      <c r="N111">
        <v>72.53</v>
      </c>
    </row>
    <row r="112" spans="1:14" x14ac:dyDescent="0.3">
      <c r="A112" t="s">
        <v>120</v>
      </c>
      <c r="B112" t="s">
        <v>1015</v>
      </c>
      <c r="C112" t="s">
        <v>1021</v>
      </c>
      <c r="D112">
        <v>53</v>
      </c>
      <c r="E112">
        <v>9</v>
      </c>
      <c r="F112" s="3">
        <v>75838</v>
      </c>
      <c r="G112">
        <v>42</v>
      </c>
      <c r="H112">
        <v>10</v>
      </c>
      <c r="I112">
        <v>25</v>
      </c>
      <c r="J112">
        <v>22</v>
      </c>
      <c r="K112">
        <v>2.7</v>
      </c>
      <c r="L112" s="3">
        <v>4.3</v>
      </c>
      <c r="M112" t="s">
        <v>1036</v>
      </c>
      <c r="N112">
        <v>50.57</v>
      </c>
    </row>
    <row r="113" spans="1:14" hidden="1" x14ac:dyDescent="0.3">
      <c r="A113" t="s">
        <v>121</v>
      </c>
      <c r="B113" t="s">
        <v>1018</v>
      </c>
      <c r="C113" t="s">
        <v>1032</v>
      </c>
      <c r="D113">
        <v>28</v>
      </c>
      <c r="E113">
        <v>0</v>
      </c>
      <c r="F113" s="3">
        <v>45246</v>
      </c>
      <c r="G113">
        <v>49</v>
      </c>
      <c r="H113">
        <v>1</v>
      </c>
      <c r="I113">
        <v>18</v>
      </c>
      <c r="J113">
        <v>23</v>
      </c>
      <c r="K113">
        <v>4.2</v>
      </c>
      <c r="L113" s="3">
        <v>3.6</v>
      </c>
      <c r="M113" t="s">
        <v>1036</v>
      </c>
      <c r="N113">
        <v>35.869999999999997</v>
      </c>
    </row>
    <row r="114" spans="1:14" hidden="1" x14ac:dyDescent="0.3">
      <c r="A114" t="s">
        <v>122</v>
      </c>
      <c r="B114" t="s">
        <v>1016</v>
      </c>
      <c r="C114" t="s">
        <v>1023</v>
      </c>
      <c r="D114">
        <v>48</v>
      </c>
      <c r="E114">
        <v>5</v>
      </c>
      <c r="F114" s="3">
        <v>38159</v>
      </c>
      <c r="G114">
        <v>39</v>
      </c>
      <c r="H114">
        <v>13</v>
      </c>
      <c r="I114">
        <v>17</v>
      </c>
      <c r="J114">
        <v>23</v>
      </c>
      <c r="K114">
        <v>3.6</v>
      </c>
      <c r="L114" s="3">
        <v>9.4</v>
      </c>
      <c r="M114" t="s">
        <v>1034</v>
      </c>
      <c r="N114">
        <v>88.87</v>
      </c>
    </row>
    <row r="115" spans="1:14" x14ac:dyDescent="0.3">
      <c r="A115" t="s">
        <v>123</v>
      </c>
      <c r="B115" t="s">
        <v>1016</v>
      </c>
      <c r="C115" t="s">
        <v>1023</v>
      </c>
      <c r="D115">
        <v>52</v>
      </c>
      <c r="E115">
        <v>9</v>
      </c>
      <c r="F115" s="3">
        <v>73926</v>
      </c>
      <c r="G115">
        <v>45</v>
      </c>
      <c r="H115">
        <v>13</v>
      </c>
      <c r="I115">
        <v>3</v>
      </c>
      <c r="J115">
        <v>29</v>
      </c>
      <c r="K115">
        <v>4.9000000000000004</v>
      </c>
      <c r="L115" s="3">
        <v>4</v>
      </c>
      <c r="M115" t="s">
        <v>1036</v>
      </c>
      <c r="N115">
        <v>60.37</v>
      </c>
    </row>
    <row r="116" spans="1:14" hidden="1" x14ac:dyDescent="0.3">
      <c r="A116" t="s">
        <v>124</v>
      </c>
      <c r="B116" t="s">
        <v>1017</v>
      </c>
      <c r="C116" t="s">
        <v>1024</v>
      </c>
      <c r="D116">
        <v>45</v>
      </c>
      <c r="E116">
        <v>2</v>
      </c>
      <c r="F116" s="3">
        <v>76818</v>
      </c>
      <c r="G116">
        <v>47</v>
      </c>
      <c r="H116">
        <v>1</v>
      </c>
      <c r="I116">
        <v>8</v>
      </c>
      <c r="J116">
        <v>34</v>
      </c>
      <c r="K116">
        <v>2.4</v>
      </c>
      <c r="L116" s="3">
        <v>5.6</v>
      </c>
      <c r="M116" t="s">
        <v>1036</v>
      </c>
      <c r="N116">
        <v>42.47</v>
      </c>
    </row>
    <row r="117" spans="1:14" x14ac:dyDescent="0.3">
      <c r="A117" t="s">
        <v>125</v>
      </c>
      <c r="B117" t="s">
        <v>1016</v>
      </c>
      <c r="C117" t="s">
        <v>1022</v>
      </c>
      <c r="D117">
        <v>46</v>
      </c>
      <c r="E117">
        <v>11</v>
      </c>
      <c r="F117" s="3">
        <v>32100</v>
      </c>
      <c r="G117">
        <v>42</v>
      </c>
      <c r="H117">
        <v>8</v>
      </c>
      <c r="I117">
        <v>0</v>
      </c>
      <c r="J117">
        <v>39</v>
      </c>
      <c r="K117">
        <v>4.7</v>
      </c>
      <c r="L117" s="3">
        <v>6.9</v>
      </c>
      <c r="M117" t="s">
        <v>1035</v>
      </c>
      <c r="N117">
        <v>68.83</v>
      </c>
    </row>
    <row r="118" spans="1:14" hidden="1" x14ac:dyDescent="0.3">
      <c r="A118" t="s">
        <v>126</v>
      </c>
      <c r="B118" t="s">
        <v>1018</v>
      </c>
      <c r="C118" t="s">
        <v>1028</v>
      </c>
      <c r="D118">
        <v>26</v>
      </c>
      <c r="E118">
        <v>5</v>
      </c>
      <c r="F118" s="3">
        <v>78992</v>
      </c>
      <c r="G118">
        <v>49</v>
      </c>
      <c r="H118">
        <v>15</v>
      </c>
      <c r="I118">
        <v>22</v>
      </c>
      <c r="J118">
        <v>19</v>
      </c>
      <c r="K118">
        <v>3.9</v>
      </c>
      <c r="L118" s="3">
        <v>3.8</v>
      </c>
      <c r="M118" t="s">
        <v>1036</v>
      </c>
      <c r="N118">
        <v>59.5</v>
      </c>
    </row>
    <row r="119" spans="1:14" hidden="1" x14ac:dyDescent="0.3">
      <c r="A119" t="s">
        <v>127</v>
      </c>
      <c r="B119" t="s">
        <v>1014</v>
      </c>
      <c r="C119" t="s">
        <v>1025</v>
      </c>
      <c r="D119">
        <v>41</v>
      </c>
      <c r="E119">
        <v>15</v>
      </c>
      <c r="F119" s="3">
        <v>32610</v>
      </c>
      <c r="G119">
        <v>38</v>
      </c>
      <c r="H119">
        <v>4</v>
      </c>
      <c r="I119">
        <v>17</v>
      </c>
      <c r="J119">
        <v>8</v>
      </c>
      <c r="K119">
        <v>3.2</v>
      </c>
      <c r="L119" s="3">
        <v>5.6</v>
      </c>
      <c r="M119" t="s">
        <v>1036</v>
      </c>
      <c r="N119">
        <v>49.87</v>
      </c>
    </row>
    <row r="120" spans="1:14" hidden="1" x14ac:dyDescent="0.3">
      <c r="A120" t="s">
        <v>128</v>
      </c>
      <c r="B120" t="s">
        <v>1015</v>
      </c>
      <c r="C120" t="s">
        <v>1021</v>
      </c>
      <c r="D120">
        <v>48</v>
      </c>
      <c r="E120">
        <v>4</v>
      </c>
      <c r="F120" s="3">
        <v>83026</v>
      </c>
      <c r="G120">
        <v>48</v>
      </c>
      <c r="H120">
        <v>11</v>
      </c>
      <c r="I120">
        <v>3</v>
      </c>
      <c r="J120">
        <v>31</v>
      </c>
      <c r="K120">
        <v>3.8</v>
      </c>
      <c r="L120" s="3">
        <v>9.6</v>
      </c>
      <c r="M120" t="s">
        <v>1034</v>
      </c>
      <c r="N120">
        <v>87.33</v>
      </c>
    </row>
    <row r="121" spans="1:14" x14ac:dyDescent="0.3">
      <c r="A121" t="s">
        <v>129</v>
      </c>
      <c r="B121" t="s">
        <v>1014</v>
      </c>
      <c r="C121" t="s">
        <v>1025</v>
      </c>
      <c r="D121">
        <v>45</v>
      </c>
      <c r="E121">
        <v>6</v>
      </c>
      <c r="F121" s="3">
        <v>54057</v>
      </c>
      <c r="G121">
        <v>49</v>
      </c>
      <c r="H121">
        <v>4</v>
      </c>
      <c r="I121">
        <v>11</v>
      </c>
      <c r="J121">
        <v>6</v>
      </c>
      <c r="K121">
        <v>4.9000000000000004</v>
      </c>
      <c r="L121" s="3">
        <v>5.6</v>
      </c>
      <c r="M121" t="s">
        <v>1036</v>
      </c>
      <c r="N121">
        <v>54.97</v>
      </c>
    </row>
    <row r="122" spans="1:14" hidden="1" x14ac:dyDescent="0.3">
      <c r="A122" t="s">
        <v>130</v>
      </c>
      <c r="B122" t="s">
        <v>1016</v>
      </c>
      <c r="C122" t="s">
        <v>1022</v>
      </c>
      <c r="D122">
        <v>25</v>
      </c>
      <c r="E122">
        <v>3</v>
      </c>
      <c r="F122" s="3">
        <v>43080</v>
      </c>
      <c r="G122">
        <v>41</v>
      </c>
      <c r="H122">
        <v>2</v>
      </c>
      <c r="I122">
        <v>14</v>
      </c>
      <c r="J122">
        <v>5</v>
      </c>
      <c r="K122">
        <v>4</v>
      </c>
      <c r="L122" s="3">
        <v>7.5</v>
      </c>
      <c r="M122" t="s">
        <v>1035</v>
      </c>
      <c r="N122">
        <v>60.33</v>
      </c>
    </row>
    <row r="123" spans="1:14" hidden="1" x14ac:dyDescent="0.3">
      <c r="A123" t="s">
        <v>131</v>
      </c>
      <c r="B123" t="s">
        <v>1014</v>
      </c>
      <c r="C123" t="s">
        <v>1019</v>
      </c>
      <c r="D123">
        <v>25</v>
      </c>
      <c r="E123">
        <v>2</v>
      </c>
      <c r="F123" s="3">
        <v>40962</v>
      </c>
      <c r="G123">
        <v>39</v>
      </c>
      <c r="H123">
        <v>13</v>
      </c>
      <c r="I123">
        <v>18</v>
      </c>
      <c r="J123">
        <v>13</v>
      </c>
      <c r="K123">
        <v>2.2000000000000002</v>
      </c>
      <c r="L123" s="3">
        <v>8.4</v>
      </c>
      <c r="M123" t="s">
        <v>1034</v>
      </c>
      <c r="N123">
        <v>78.67</v>
      </c>
    </row>
    <row r="124" spans="1:14" x14ac:dyDescent="0.3">
      <c r="A124" t="s">
        <v>132</v>
      </c>
      <c r="B124" t="s">
        <v>1015</v>
      </c>
      <c r="C124" t="s">
        <v>1021</v>
      </c>
      <c r="D124">
        <v>35</v>
      </c>
      <c r="E124">
        <v>13</v>
      </c>
      <c r="F124" s="3">
        <v>81996</v>
      </c>
      <c r="G124">
        <v>42</v>
      </c>
      <c r="H124">
        <v>6</v>
      </c>
      <c r="I124">
        <v>24</v>
      </c>
      <c r="J124">
        <v>9</v>
      </c>
      <c r="K124">
        <v>4.4000000000000004</v>
      </c>
      <c r="L124" s="3">
        <v>7.2</v>
      </c>
      <c r="M124" t="s">
        <v>1035</v>
      </c>
      <c r="N124">
        <v>66.400000000000006</v>
      </c>
    </row>
    <row r="125" spans="1:14" hidden="1" x14ac:dyDescent="0.3">
      <c r="A125" t="s">
        <v>133</v>
      </c>
      <c r="B125" t="s">
        <v>1018</v>
      </c>
      <c r="C125" t="s">
        <v>1028</v>
      </c>
      <c r="D125">
        <v>30</v>
      </c>
      <c r="E125">
        <v>8</v>
      </c>
      <c r="F125" s="3">
        <v>41426</v>
      </c>
      <c r="G125">
        <v>40</v>
      </c>
      <c r="H125">
        <v>2</v>
      </c>
      <c r="I125">
        <v>21</v>
      </c>
      <c r="J125">
        <v>1</v>
      </c>
      <c r="K125">
        <v>2.4</v>
      </c>
      <c r="L125" s="3">
        <v>5.5</v>
      </c>
      <c r="M125" t="s">
        <v>1036</v>
      </c>
      <c r="N125">
        <v>43.53</v>
      </c>
    </row>
    <row r="126" spans="1:14" hidden="1" x14ac:dyDescent="0.3">
      <c r="A126" t="s">
        <v>134</v>
      </c>
      <c r="B126" t="s">
        <v>1015</v>
      </c>
      <c r="C126" t="s">
        <v>1021</v>
      </c>
      <c r="D126">
        <v>42</v>
      </c>
      <c r="E126">
        <v>0</v>
      </c>
      <c r="F126" s="3">
        <v>36419</v>
      </c>
      <c r="G126">
        <v>43</v>
      </c>
      <c r="H126">
        <v>1</v>
      </c>
      <c r="I126">
        <v>4</v>
      </c>
      <c r="J126">
        <v>26</v>
      </c>
      <c r="K126">
        <v>3.6</v>
      </c>
      <c r="L126" s="3">
        <v>8.1999999999999993</v>
      </c>
      <c r="M126" t="s">
        <v>1034</v>
      </c>
      <c r="N126">
        <v>61.67</v>
      </c>
    </row>
    <row r="127" spans="1:14" hidden="1" x14ac:dyDescent="0.3">
      <c r="A127" t="s">
        <v>135</v>
      </c>
      <c r="B127" t="s">
        <v>1017</v>
      </c>
      <c r="C127" t="s">
        <v>1024</v>
      </c>
      <c r="D127">
        <v>45</v>
      </c>
      <c r="E127">
        <v>3</v>
      </c>
      <c r="F127" s="3">
        <v>54622</v>
      </c>
      <c r="G127">
        <v>51</v>
      </c>
      <c r="H127">
        <v>4</v>
      </c>
      <c r="I127">
        <v>19</v>
      </c>
      <c r="J127">
        <v>2</v>
      </c>
      <c r="K127">
        <v>4.2</v>
      </c>
      <c r="L127" s="3">
        <v>9.4</v>
      </c>
      <c r="M127" t="s">
        <v>1034</v>
      </c>
      <c r="N127">
        <v>75.67</v>
      </c>
    </row>
    <row r="128" spans="1:14" hidden="1" x14ac:dyDescent="0.3">
      <c r="A128" t="s">
        <v>136</v>
      </c>
      <c r="B128" t="s">
        <v>1015</v>
      </c>
      <c r="C128" t="s">
        <v>1020</v>
      </c>
      <c r="D128">
        <v>41</v>
      </c>
      <c r="E128">
        <v>14</v>
      </c>
      <c r="F128" s="3">
        <v>67161</v>
      </c>
      <c r="G128">
        <v>35</v>
      </c>
      <c r="H128">
        <v>1</v>
      </c>
      <c r="I128">
        <v>15</v>
      </c>
      <c r="J128">
        <v>25</v>
      </c>
      <c r="K128">
        <v>3.3</v>
      </c>
      <c r="L128" s="3">
        <v>3.8</v>
      </c>
      <c r="M128" t="s">
        <v>1036</v>
      </c>
      <c r="N128">
        <v>34.369999999999997</v>
      </c>
    </row>
    <row r="129" spans="1:14" hidden="1" x14ac:dyDescent="0.3">
      <c r="A129" t="s">
        <v>137</v>
      </c>
      <c r="B129" t="s">
        <v>1017</v>
      </c>
      <c r="C129" t="s">
        <v>1024</v>
      </c>
      <c r="D129">
        <v>26</v>
      </c>
      <c r="E129">
        <v>0</v>
      </c>
      <c r="F129" s="3">
        <v>46109</v>
      </c>
      <c r="G129">
        <v>54</v>
      </c>
      <c r="H129">
        <v>3</v>
      </c>
      <c r="I129">
        <v>2</v>
      </c>
      <c r="J129">
        <v>8</v>
      </c>
      <c r="K129">
        <v>2.8</v>
      </c>
      <c r="L129" s="3">
        <v>7.4</v>
      </c>
      <c r="M129" t="s">
        <v>1035</v>
      </c>
      <c r="N129">
        <v>57.8</v>
      </c>
    </row>
    <row r="130" spans="1:14" x14ac:dyDescent="0.3">
      <c r="A130" t="s">
        <v>138</v>
      </c>
      <c r="B130" t="s">
        <v>1016</v>
      </c>
      <c r="C130" t="s">
        <v>1022</v>
      </c>
      <c r="D130">
        <v>46</v>
      </c>
      <c r="E130">
        <v>9</v>
      </c>
      <c r="F130" s="3">
        <v>54734</v>
      </c>
      <c r="G130">
        <v>51</v>
      </c>
      <c r="H130">
        <v>10</v>
      </c>
      <c r="I130">
        <v>13</v>
      </c>
      <c r="J130">
        <v>6</v>
      </c>
      <c r="K130">
        <v>4.4000000000000004</v>
      </c>
      <c r="L130" s="3">
        <v>3.8</v>
      </c>
      <c r="M130" t="s">
        <v>1036</v>
      </c>
      <c r="N130">
        <v>52.67</v>
      </c>
    </row>
    <row r="131" spans="1:14" x14ac:dyDescent="0.3">
      <c r="A131" t="s">
        <v>139</v>
      </c>
      <c r="B131" t="s">
        <v>1015</v>
      </c>
      <c r="C131" t="s">
        <v>1021</v>
      </c>
      <c r="D131">
        <v>35</v>
      </c>
      <c r="E131">
        <v>6</v>
      </c>
      <c r="F131" s="3">
        <v>54593</v>
      </c>
      <c r="G131">
        <v>42</v>
      </c>
      <c r="H131">
        <v>7</v>
      </c>
      <c r="I131">
        <v>10</v>
      </c>
      <c r="J131">
        <v>29</v>
      </c>
      <c r="K131">
        <v>3.2</v>
      </c>
      <c r="L131" s="3">
        <v>8.1</v>
      </c>
      <c r="M131" t="s">
        <v>1034</v>
      </c>
      <c r="N131">
        <v>69.87</v>
      </c>
    </row>
    <row r="132" spans="1:14" hidden="1" x14ac:dyDescent="0.3">
      <c r="A132" t="s">
        <v>140</v>
      </c>
      <c r="B132" t="s">
        <v>1017</v>
      </c>
      <c r="C132" t="s">
        <v>1026</v>
      </c>
      <c r="D132">
        <v>42</v>
      </c>
      <c r="E132">
        <v>8</v>
      </c>
      <c r="F132" s="3">
        <v>49530</v>
      </c>
      <c r="G132">
        <v>39</v>
      </c>
      <c r="H132">
        <v>11</v>
      </c>
      <c r="I132">
        <v>15</v>
      </c>
      <c r="J132">
        <v>4</v>
      </c>
      <c r="K132">
        <v>2.2999999999999998</v>
      </c>
      <c r="L132" s="3">
        <v>3.6</v>
      </c>
      <c r="M132" t="s">
        <v>1036</v>
      </c>
      <c r="N132">
        <v>46.83</v>
      </c>
    </row>
    <row r="133" spans="1:14" hidden="1" x14ac:dyDescent="0.3">
      <c r="A133" t="s">
        <v>141</v>
      </c>
      <c r="B133" t="s">
        <v>1014</v>
      </c>
      <c r="C133" t="s">
        <v>1031</v>
      </c>
      <c r="D133">
        <v>45</v>
      </c>
      <c r="E133">
        <v>4</v>
      </c>
      <c r="F133" s="3">
        <v>61462</v>
      </c>
      <c r="G133">
        <v>36</v>
      </c>
      <c r="H133">
        <v>10</v>
      </c>
      <c r="I133">
        <v>17</v>
      </c>
      <c r="J133">
        <v>35</v>
      </c>
      <c r="K133">
        <v>3</v>
      </c>
      <c r="L133" s="3">
        <v>3.9</v>
      </c>
      <c r="M133" t="s">
        <v>1036</v>
      </c>
      <c r="N133">
        <v>49.07</v>
      </c>
    </row>
    <row r="134" spans="1:14" hidden="1" x14ac:dyDescent="0.3">
      <c r="A134" t="s">
        <v>142</v>
      </c>
      <c r="B134" t="s">
        <v>1017</v>
      </c>
      <c r="C134" t="s">
        <v>1026</v>
      </c>
      <c r="D134">
        <v>25</v>
      </c>
      <c r="E134">
        <v>2</v>
      </c>
      <c r="F134" s="3">
        <v>64348</v>
      </c>
      <c r="G134">
        <v>44</v>
      </c>
      <c r="H134">
        <v>6</v>
      </c>
      <c r="I134">
        <v>3</v>
      </c>
      <c r="J134">
        <v>36</v>
      </c>
      <c r="K134">
        <v>3.5</v>
      </c>
      <c r="L134" s="3">
        <v>4.0999999999999996</v>
      </c>
      <c r="M134" t="s">
        <v>1036</v>
      </c>
      <c r="N134">
        <v>45.1</v>
      </c>
    </row>
    <row r="135" spans="1:14" hidden="1" x14ac:dyDescent="0.3">
      <c r="A135" t="s">
        <v>143</v>
      </c>
      <c r="B135" t="s">
        <v>1018</v>
      </c>
      <c r="C135" t="s">
        <v>1027</v>
      </c>
      <c r="D135">
        <v>28</v>
      </c>
      <c r="E135">
        <v>5</v>
      </c>
      <c r="F135" s="3">
        <v>80402</v>
      </c>
      <c r="G135">
        <v>52</v>
      </c>
      <c r="H135">
        <v>6</v>
      </c>
      <c r="I135">
        <v>3</v>
      </c>
      <c r="J135">
        <v>17</v>
      </c>
      <c r="K135">
        <v>3.7</v>
      </c>
      <c r="L135" s="3">
        <v>8.6999999999999993</v>
      </c>
      <c r="M135" t="s">
        <v>1034</v>
      </c>
      <c r="N135">
        <v>73.3</v>
      </c>
    </row>
    <row r="136" spans="1:14" hidden="1" x14ac:dyDescent="0.3">
      <c r="A136" t="s">
        <v>144</v>
      </c>
      <c r="B136" t="s">
        <v>1015</v>
      </c>
      <c r="C136" t="s">
        <v>1021</v>
      </c>
      <c r="D136">
        <v>23</v>
      </c>
      <c r="E136">
        <v>2</v>
      </c>
      <c r="F136" s="3">
        <v>85888</v>
      </c>
      <c r="G136">
        <v>43</v>
      </c>
      <c r="H136">
        <v>1</v>
      </c>
      <c r="I136">
        <v>5</v>
      </c>
      <c r="J136">
        <v>17</v>
      </c>
      <c r="K136">
        <v>4.0999999999999996</v>
      </c>
      <c r="L136" s="3">
        <v>5.2</v>
      </c>
      <c r="M136" t="s">
        <v>1036</v>
      </c>
      <c r="N136">
        <v>45.17</v>
      </c>
    </row>
    <row r="137" spans="1:14" hidden="1" x14ac:dyDescent="0.3">
      <c r="A137" t="s">
        <v>145</v>
      </c>
      <c r="B137" t="s">
        <v>1016</v>
      </c>
      <c r="C137" t="s">
        <v>1023</v>
      </c>
      <c r="D137">
        <v>22</v>
      </c>
      <c r="E137">
        <v>0</v>
      </c>
      <c r="F137" s="3">
        <v>82007</v>
      </c>
      <c r="G137">
        <v>39</v>
      </c>
      <c r="H137">
        <v>10</v>
      </c>
      <c r="I137">
        <v>21</v>
      </c>
      <c r="J137">
        <v>25</v>
      </c>
      <c r="K137">
        <v>2.2000000000000002</v>
      </c>
      <c r="L137" s="3">
        <v>8.1999999999999993</v>
      </c>
      <c r="M137" t="s">
        <v>1034</v>
      </c>
      <c r="N137">
        <v>72.47</v>
      </c>
    </row>
    <row r="138" spans="1:14" x14ac:dyDescent="0.3">
      <c r="A138" t="s">
        <v>146</v>
      </c>
      <c r="B138" t="s">
        <v>1014</v>
      </c>
      <c r="C138" t="s">
        <v>1025</v>
      </c>
      <c r="D138">
        <v>55</v>
      </c>
      <c r="E138">
        <v>6</v>
      </c>
      <c r="F138" s="3">
        <v>49654</v>
      </c>
      <c r="G138">
        <v>48</v>
      </c>
      <c r="H138">
        <v>8</v>
      </c>
      <c r="I138">
        <v>10</v>
      </c>
      <c r="J138">
        <v>10</v>
      </c>
      <c r="K138">
        <v>3.1</v>
      </c>
      <c r="L138" s="3">
        <v>8.1</v>
      </c>
      <c r="M138" t="s">
        <v>1034</v>
      </c>
      <c r="N138">
        <v>71.23</v>
      </c>
    </row>
    <row r="139" spans="1:14" hidden="1" x14ac:dyDescent="0.3">
      <c r="A139" t="s">
        <v>147</v>
      </c>
      <c r="B139" t="s">
        <v>1015</v>
      </c>
      <c r="C139" t="s">
        <v>1020</v>
      </c>
      <c r="D139">
        <v>27</v>
      </c>
      <c r="E139">
        <v>0</v>
      </c>
      <c r="F139" s="3">
        <v>35196</v>
      </c>
      <c r="G139">
        <v>40</v>
      </c>
      <c r="H139">
        <v>13</v>
      </c>
      <c r="I139">
        <v>19</v>
      </c>
      <c r="J139">
        <v>3</v>
      </c>
      <c r="K139">
        <v>4</v>
      </c>
      <c r="L139" s="3">
        <v>4.9000000000000004</v>
      </c>
      <c r="M139" t="s">
        <v>1036</v>
      </c>
      <c r="N139">
        <v>63.07</v>
      </c>
    </row>
    <row r="140" spans="1:14" x14ac:dyDescent="0.3">
      <c r="A140" t="s">
        <v>148</v>
      </c>
      <c r="B140" t="s">
        <v>1017</v>
      </c>
      <c r="C140" t="s">
        <v>1026</v>
      </c>
      <c r="D140">
        <v>53</v>
      </c>
      <c r="E140">
        <v>14</v>
      </c>
      <c r="F140" s="3">
        <v>52143</v>
      </c>
      <c r="G140">
        <v>43</v>
      </c>
      <c r="H140">
        <v>4</v>
      </c>
      <c r="I140">
        <v>24</v>
      </c>
      <c r="J140">
        <v>32</v>
      </c>
      <c r="K140">
        <v>2.2999999999999998</v>
      </c>
      <c r="L140" s="3">
        <v>6</v>
      </c>
      <c r="M140" t="s">
        <v>1035</v>
      </c>
      <c r="N140">
        <v>49.57</v>
      </c>
    </row>
    <row r="141" spans="1:14" x14ac:dyDescent="0.3">
      <c r="A141" t="s">
        <v>149</v>
      </c>
      <c r="B141" t="s">
        <v>1015</v>
      </c>
      <c r="C141" t="s">
        <v>1029</v>
      </c>
      <c r="D141">
        <v>53</v>
      </c>
      <c r="E141">
        <v>9</v>
      </c>
      <c r="F141" s="3">
        <v>27976</v>
      </c>
      <c r="G141">
        <v>42</v>
      </c>
      <c r="H141">
        <v>7</v>
      </c>
      <c r="I141">
        <v>19</v>
      </c>
      <c r="J141">
        <v>3</v>
      </c>
      <c r="K141">
        <v>2</v>
      </c>
      <c r="L141" s="3">
        <v>5.0999999999999996</v>
      </c>
      <c r="M141" t="s">
        <v>1036</v>
      </c>
      <c r="N141">
        <v>48.27</v>
      </c>
    </row>
    <row r="142" spans="1:14" hidden="1" x14ac:dyDescent="0.3">
      <c r="A142" t="s">
        <v>150</v>
      </c>
      <c r="B142" t="s">
        <v>1018</v>
      </c>
      <c r="C142" t="s">
        <v>1027</v>
      </c>
      <c r="D142">
        <v>38</v>
      </c>
      <c r="E142">
        <v>9</v>
      </c>
      <c r="F142" s="3">
        <v>46503</v>
      </c>
      <c r="G142">
        <v>38</v>
      </c>
      <c r="H142">
        <v>1</v>
      </c>
      <c r="I142">
        <v>15</v>
      </c>
      <c r="J142">
        <v>27</v>
      </c>
      <c r="K142">
        <v>2.5</v>
      </c>
      <c r="L142" s="3">
        <v>5.7</v>
      </c>
      <c r="M142" t="s">
        <v>1036</v>
      </c>
      <c r="N142">
        <v>43.37</v>
      </c>
    </row>
    <row r="143" spans="1:14" x14ac:dyDescent="0.3">
      <c r="A143" t="s">
        <v>151</v>
      </c>
      <c r="B143" t="s">
        <v>1018</v>
      </c>
      <c r="C143" t="s">
        <v>1028</v>
      </c>
      <c r="D143">
        <v>54</v>
      </c>
      <c r="E143">
        <v>11</v>
      </c>
      <c r="F143" s="3">
        <v>29723</v>
      </c>
      <c r="G143">
        <v>47</v>
      </c>
      <c r="H143">
        <v>14</v>
      </c>
      <c r="I143">
        <v>23</v>
      </c>
      <c r="J143">
        <v>2</v>
      </c>
      <c r="K143">
        <v>3.3</v>
      </c>
      <c r="L143" s="3">
        <v>6.2</v>
      </c>
      <c r="M143" t="s">
        <v>1035</v>
      </c>
      <c r="N143">
        <v>70.430000000000007</v>
      </c>
    </row>
    <row r="144" spans="1:14" x14ac:dyDescent="0.3">
      <c r="A144" t="s">
        <v>152</v>
      </c>
      <c r="B144" t="s">
        <v>1016</v>
      </c>
      <c r="C144" t="s">
        <v>1023</v>
      </c>
      <c r="D144">
        <v>49</v>
      </c>
      <c r="E144">
        <v>12</v>
      </c>
      <c r="F144" s="3">
        <v>71497</v>
      </c>
      <c r="G144">
        <v>55</v>
      </c>
      <c r="H144">
        <v>7</v>
      </c>
      <c r="I144">
        <v>9</v>
      </c>
      <c r="J144">
        <v>7</v>
      </c>
      <c r="K144">
        <v>3.2</v>
      </c>
      <c r="L144" s="3">
        <v>9.8000000000000007</v>
      </c>
      <c r="M144" t="s">
        <v>1034</v>
      </c>
      <c r="N144">
        <v>80.069999999999993</v>
      </c>
    </row>
    <row r="145" spans="1:14" x14ac:dyDescent="0.3">
      <c r="A145" t="s">
        <v>153</v>
      </c>
      <c r="B145" t="s">
        <v>1015</v>
      </c>
      <c r="C145" t="s">
        <v>1029</v>
      </c>
      <c r="D145">
        <v>51</v>
      </c>
      <c r="E145">
        <v>11</v>
      </c>
      <c r="F145" s="3">
        <v>30775</v>
      </c>
      <c r="G145">
        <v>48</v>
      </c>
      <c r="H145">
        <v>14</v>
      </c>
      <c r="I145">
        <v>3</v>
      </c>
      <c r="J145">
        <v>15</v>
      </c>
      <c r="K145">
        <v>3.3</v>
      </c>
      <c r="L145" s="3">
        <v>5.8</v>
      </c>
      <c r="M145" t="s">
        <v>1036</v>
      </c>
      <c r="N145">
        <v>68.03</v>
      </c>
    </row>
    <row r="146" spans="1:14" x14ac:dyDescent="0.3">
      <c r="A146" t="s">
        <v>154</v>
      </c>
      <c r="B146" t="s">
        <v>1017</v>
      </c>
      <c r="C146" t="s">
        <v>1024</v>
      </c>
      <c r="D146">
        <v>41</v>
      </c>
      <c r="E146">
        <v>10</v>
      </c>
      <c r="F146" s="3">
        <v>39520</v>
      </c>
      <c r="G146">
        <v>45</v>
      </c>
      <c r="H146">
        <v>13</v>
      </c>
      <c r="I146">
        <v>5</v>
      </c>
      <c r="J146">
        <v>4</v>
      </c>
      <c r="K146">
        <v>3.5</v>
      </c>
      <c r="L146" s="3">
        <v>3.8</v>
      </c>
      <c r="M146" t="s">
        <v>1036</v>
      </c>
      <c r="N146">
        <v>54.97</v>
      </c>
    </row>
    <row r="147" spans="1:14" x14ac:dyDescent="0.3">
      <c r="A147" t="s">
        <v>155</v>
      </c>
      <c r="B147" t="s">
        <v>1018</v>
      </c>
      <c r="C147" t="s">
        <v>1028</v>
      </c>
      <c r="D147">
        <v>44</v>
      </c>
      <c r="E147">
        <v>11</v>
      </c>
      <c r="F147" s="3">
        <v>72669</v>
      </c>
      <c r="G147">
        <v>55</v>
      </c>
      <c r="H147">
        <v>14</v>
      </c>
      <c r="I147">
        <v>4</v>
      </c>
      <c r="J147">
        <v>15</v>
      </c>
      <c r="K147">
        <v>2.2999999999999998</v>
      </c>
      <c r="L147" s="3">
        <v>4.8</v>
      </c>
      <c r="M147" t="s">
        <v>1036</v>
      </c>
      <c r="N147">
        <v>59.03</v>
      </c>
    </row>
    <row r="148" spans="1:14" hidden="1" x14ac:dyDescent="0.3">
      <c r="A148" t="s">
        <v>156</v>
      </c>
      <c r="B148" t="s">
        <v>1015</v>
      </c>
      <c r="C148" t="s">
        <v>1020</v>
      </c>
      <c r="D148">
        <v>31</v>
      </c>
      <c r="E148">
        <v>10</v>
      </c>
      <c r="F148" s="3">
        <v>29938</v>
      </c>
      <c r="G148">
        <v>40</v>
      </c>
      <c r="H148">
        <v>13</v>
      </c>
      <c r="I148">
        <v>20</v>
      </c>
      <c r="J148">
        <v>31</v>
      </c>
      <c r="K148">
        <v>3.4</v>
      </c>
      <c r="L148" s="3">
        <v>6.9</v>
      </c>
      <c r="M148" t="s">
        <v>1035</v>
      </c>
      <c r="N148">
        <v>73.27</v>
      </c>
    </row>
    <row r="149" spans="1:14" x14ac:dyDescent="0.3">
      <c r="A149" t="s">
        <v>157</v>
      </c>
      <c r="B149" t="s">
        <v>1017</v>
      </c>
      <c r="C149" t="s">
        <v>1024</v>
      </c>
      <c r="D149">
        <v>42</v>
      </c>
      <c r="E149">
        <v>10</v>
      </c>
      <c r="F149" s="3">
        <v>34893</v>
      </c>
      <c r="G149">
        <v>49</v>
      </c>
      <c r="H149">
        <v>2</v>
      </c>
      <c r="I149">
        <v>15</v>
      </c>
      <c r="J149">
        <v>28</v>
      </c>
      <c r="K149">
        <v>3.9</v>
      </c>
      <c r="L149" s="3">
        <v>8.6</v>
      </c>
      <c r="M149" t="s">
        <v>1034</v>
      </c>
      <c r="N149">
        <v>66.63</v>
      </c>
    </row>
    <row r="150" spans="1:14" hidden="1" x14ac:dyDescent="0.3">
      <c r="A150" t="s">
        <v>158</v>
      </c>
      <c r="B150" t="s">
        <v>1014</v>
      </c>
      <c r="C150" t="s">
        <v>1025</v>
      </c>
      <c r="D150">
        <v>44</v>
      </c>
      <c r="E150">
        <v>2</v>
      </c>
      <c r="F150" s="3">
        <v>45342</v>
      </c>
      <c r="G150">
        <v>49</v>
      </c>
      <c r="H150">
        <v>8</v>
      </c>
      <c r="I150">
        <v>1</v>
      </c>
      <c r="J150">
        <v>3</v>
      </c>
      <c r="K150">
        <v>3.1</v>
      </c>
      <c r="L150" s="3">
        <v>5</v>
      </c>
      <c r="M150" t="s">
        <v>1036</v>
      </c>
      <c r="N150">
        <v>52.63</v>
      </c>
    </row>
    <row r="151" spans="1:14" x14ac:dyDescent="0.3">
      <c r="A151" t="s">
        <v>159</v>
      </c>
      <c r="B151" t="s">
        <v>1014</v>
      </c>
      <c r="C151" t="s">
        <v>1025</v>
      </c>
      <c r="D151">
        <v>54</v>
      </c>
      <c r="E151">
        <v>12</v>
      </c>
      <c r="F151" s="3">
        <v>55324</v>
      </c>
      <c r="G151">
        <v>53</v>
      </c>
      <c r="H151">
        <v>9</v>
      </c>
      <c r="I151">
        <v>25</v>
      </c>
      <c r="J151">
        <v>2</v>
      </c>
      <c r="K151">
        <v>3.3</v>
      </c>
      <c r="L151" s="3">
        <v>8.6999999999999993</v>
      </c>
      <c r="M151" t="s">
        <v>1034</v>
      </c>
      <c r="N151">
        <v>77.099999999999994</v>
      </c>
    </row>
    <row r="152" spans="1:14" hidden="1" x14ac:dyDescent="0.3">
      <c r="A152" t="s">
        <v>160</v>
      </c>
      <c r="B152" t="s">
        <v>1018</v>
      </c>
      <c r="C152" t="s">
        <v>1027</v>
      </c>
      <c r="D152">
        <v>42</v>
      </c>
      <c r="E152">
        <v>15</v>
      </c>
      <c r="F152" s="3">
        <v>57857</v>
      </c>
      <c r="G152">
        <v>39</v>
      </c>
      <c r="H152">
        <v>1</v>
      </c>
      <c r="I152">
        <v>14</v>
      </c>
      <c r="J152">
        <v>6</v>
      </c>
      <c r="K152">
        <v>4.4000000000000004</v>
      </c>
      <c r="L152" s="3">
        <v>8.9</v>
      </c>
      <c r="M152" t="s">
        <v>1034</v>
      </c>
      <c r="N152">
        <v>68.27</v>
      </c>
    </row>
    <row r="153" spans="1:14" hidden="1" x14ac:dyDescent="0.3">
      <c r="A153" t="s">
        <v>161</v>
      </c>
      <c r="B153" t="s">
        <v>1014</v>
      </c>
      <c r="C153" t="s">
        <v>1031</v>
      </c>
      <c r="D153">
        <v>54</v>
      </c>
      <c r="E153">
        <v>5</v>
      </c>
      <c r="F153" s="3">
        <v>27565</v>
      </c>
      <c r="G153">
        <v>42</v>
      </c>
      <c r="H153">
        <v>12</v>
      </c>
      <c r="I153">
        <v>14</v>
      </c>
      <c r="J153">
        <v>28</v>
      </c>
      <c r="K153">
        <v>3.6</v>
      </c>
      <c r="L153" s="3">
        <v>7.3</v>
      </c>
      <c r="M153" t="s">
        <v>1035</v>
      </c>
      <c r="N153">
        <v>74.599999999999994</v>
      </c>
    </row>
    <row r="154" spans="1:14" x14ac:dyDescent="0.3">
      <c r="A154" t="s">
        <v>162</v>
      </c>
      <c r="B154" t="s">
        <v>1016</v>
      </c>
      <c r="C154" t="s">
        <v>1023</v>
      </c>
      <c r="D154">
        <v>40</v>
      </c>
      <c r="E154">
        <v>12</v>
      </c>
      <c r="F154" s="3">
        <v>51789</v>
      </c>
      <c r="G154">
        <v>45</v>
      </c>
      <c r="H154">
        <v>11</v>
      </c>
      <c r="I154">
        <v>19</v>
      </c>
      <c r="J154">
        <v>3</v>
      </c>
      <c r="K154">
        <v>4.4000000000000004</v>
      </c>
      <c r="L154" s="3">
        <v>7.5</v>
      </c>
      <c r="M154" t="s">
        <v>1035</v>
      </c>
      <c r="N154">
        <v>76.53</v>
      </c>
    </row>
    <row r="155" spans="1:14" x14ac:dyDescent="0.3">
      <c r="A155" t="s">
        <v>163</v>
      </c>
      <c r="B155" t="s">
        <v>1016</v>
      </c>
      <c r="C155" t="s">
        <v>1022</v>
      </c>
      <c r="D155">
        <v>28</v>
      </c>
      <c r="E155">
        <v>6</v>
      </c>
      <c r="F155" s="3">
        <v>43621</v>
      </c>
      <c r="G155">
        <v>43</v>
      </c>
      <c r="H155">
        <v>12</v>
      </c>
      <c r="I155">
        <v>21</v>
      </c>
      <c r="J155">
        <v>38</v>
      </c>
      <c r="K155">
        <v>4.5999999999999996</v>
      </c>
      <c r="L155" s="3">
        <v>5.3</v>
      </c>
      <c r="M155" t="s">
        <v>1036</v>
      </c>
      <c r="N155">
        <v>65.599999999999994</v>
      </c>
    </row>
    <row r="156" spans="1:14" x14ac:dyDescent="0.3">
      <c r="A156" t="s">
        <v>164</v>
      </c>
      <c r="B156" t="s">
        <v>1018</v>
      </c>
      <c r="C156" t="s">
        <v>1028</v>
      </c>
      <c r="D156">
        <v>44</v>
      </c>
      <c r="E156">
        <v>9</v>
      </c>
      <c r="F156" s="3">
        <v>88418</v>
      </c>
      <c r="G156">
        <v>55</v>
      </c>
      <c r="H156">
        <v>12</v>
      </c>
      <c r="I156">
        <v>21</v>
      </c>
      <c r="J156">
        <v>25</v>
      </c>
      <c r="K156">
        <v>2.4</v>
      </c>
      <c r="L156" s="3">
        <v>8</v>
      </c>
      <c r="M156" t="s">
        <v>1034</v>
      </c>
      <c r="N156">
        <v>75.2</v>
      </c>
    </row>
    <row r="157" spans="1:14" hidden="1" x14ac:dyDescent="0.3">
      <c r="A157" t="s">
        <v>165</v>
      </c>
      <c r="B157" t="s">
        <v>1016</v>
      </c>
      <c r="C157" t="s">
        <v>1022</v>
      </c>
      <c r="D157">
        <v>46</v>
      </c>
      <c r="E157">
        <v>10</v>
      </c>
      <c r="F157" s="3">
        <v>78292</v>
      </c>
      <c r="G157">
        <v>39</v>
      </c>
      <c r="H157">
        <v>11</v>
      </c>
      <c r="I157">
        <v>22</v>
      </c>
      <c r="J157">
        <v>33</v>
      </c>
      <c r="K157">
        <v>2.2999999999999998</v>
      </c>
      <c r="L157" s="3">
        <v>7.7</v>
      </c>
      <c r="M157" t="s">
        <v>1035</v>
      </c>
      <c r="N157">
        <v>71.430000000000007</v>
      </c>
    </row>
    <row r="158" spans="1:14" hidden="1" x14ac:dyDescent="0.3">
      <c r="A158" t="s">
        <v>166</v>
      </c>
      <c r="B158" t="s">
        <v>1016</v>
      </c>
      <c r="C158" t="s">
        <v>1023</v>
      </c>
      <c r="D158">
        <v>23</v>
      </c>
      <c r="E158">
        <v>1</v>
      </c>
      <c r="F158" s="3">
        <v>45241</v>
      </c>
      <c r="G158">
        <v>40</v>
      </c>
      <c r="H158">
        <v>4</v>
      </c>
      <c r="I158">
        <v>10</v>
      </c>
      <c r="J158">
        <v>31</v>
      </c>
      <c r="K158">
        <v>2.6</v>
      </c>
      <c r="L158" s="3">
        <v>10</v>
      </c>
      <c r="M158" t="s">
        <v>1034</v>
      </c>
      <c r="N158">
        <v>74.47</v>
      </c>
    </row>
    <row r="159" spans="1:14" hidden="1" x14ac:dyDescent="0.3">
      <c r="A159" t="s">
        <v>167</v>
      </c>
      <c r="B159" t="s">
        <v>1014</v>
      </c>
      <c r="C159" t="s">
        <v>1025</v>
      </c>
      <c r="D159">
        <v>40</v>
      </c>
      <c r="E159">
        <v>3</v>
      </c>
      <c r="F159" s="3">
        <v>58271</v>
      </c>
      <c r="G159">
        <v>52</v>
      </c>
      <c r="H159">
        <v>14</v>
      </c>
      <c r="I159">
        <v>23</v>
      </c>
      <c r="J159">
        <v>33</v>
      </c>
      <c r="K159">
        <v>2.1</v>
      </c>
      <c r="L159" s="3">
        <v>5.4</v>
      </c>
      <c r="M159" t="s">
        <v>1036</v>
      </c>
      <c r="N159">
        <v>62.03</v>
      </c>
    </row>
    <row r="160" spans="1:14" hidden="1" x14ac:dyDescent="0.3">
      <c r="A160" t="s">
        <v>168</v>
      </c>
      <c r="B160" t="s">
        <v>1018</v>
      </c>
      <c r="C160" t="s">
        <v>1032</v>
      </c>
      <c r="D160">
        <v>46</v>
      </c>
      <c r="E160">
        <v>4</v>
      </c>
      <c r="F160" s="3">
        <v>35633</v>
      </c>
      <c r="G160">
        <v>40</v>
      </c>
      <c r="H160">
        <v>14</v>
      </c>
      <c r="I160">
        <v>22</v>
      </c>
      <c r="J160">
        <v>39</v>
      </c>
      <c r="K160">
        <v>4.4000000000000004</v>
      </c>
      <c r="L160" s="3">
        <v>4.2</v>
      </c>
      <c r="M160" t="s">
        <v>1036</v>
      </c>
      <c r="N160">
        <v>61.73</v>
      </c>
    </row>
    <row r="161" spans="1:14" x14ac:dyDescent="0.3">
      <c r="A161" t="s">
        <v>169</v>
      </c>
      <c r="B161" t="s">
        <v>1014</v>
      </c>
      <c r="C161" t="s">
        <v>1019</v>
      </c>
      <c r="D161">
        <v>48</v>
      </c>
      <c r="E161">
        <v>11</v>
      </c>
      <c r="F161" s="3">
        <v>69326</v>
      </c>
      <c r="G161">
        <v>42</v>
      </c>
      <c r="H161">
        <v>8</v>
      </c>
      <c r="I161">
        <v>19</v>
      </c>
      <c r="J161">
        <v>18</v>
      </c>
      <c r="K161">
        <v>4.3</v>
      </c>
      <c r="L161" s="3">
        <v>8.5</v>
      </c>
      <c r="M161" t="s">
        <v>1034</v>
      </c>
      <c r="N161">
        <v>77.23</v>
      </c>
    </row>
    <row r="162" spans="1:14" x14ac:dyDescent="0.3">
      <c r="A162" t="s">
        <v>170</v>
      </c>
      <c r="B162" t="s">
        <v>1015</v>
      </c>
      <c r="C162" t="s">
        <v>1021</v>
      </c>
      <c r="D162">
        <v>37</v>
      </c>
      <c r="E162">
        <v>9</v>
      </c>
      <c r="F162" s="3">
        <v>88281</v>
      </c>
      <c r="G162">
        <v>50</v>
      </c>
      <c r="H162">
        <v>15</v>
      </c>
      <c r="I162">
        <v>6</v>
      </c>
      <c r="J162">
        <v>23</v>
      </c>
      <c r="K162">
        <v>4</v>
      </c>
      <c r="L162" s="3">
        <v>7</v>
      </c>
      <c r="M162" t="s">
        <v>1035</v>
      </c>
      <c r="N162">
        <v>79</v>
      </c>
    </row>
    <row r="163" spans="1:14" x14ac:dyDescent="0.3">
      <c r="A163" t="s">
        <v>171</v>
      </c>
      <c r="B163" t="s">
        <v>1017</v>
      </c>
      <c r="C163" t="s">
        <v>1026</v>
      </c>
      <c r="D163">
        <v>40</v>
      </c>
      <c r="E163">
        <v>12</v>
      </c>
      <c r="F163" s="3">
        <v>57958</v>
      </c>
      <c r="G163">
        <v>51</v>
      </c>
      <c r="H163">
        <v>7</v>
      </c>
      <c r="I163">
        <v>5</v>
      </c>
      <c r="J163">
        <v>12</v>
      </c>
      <c r="K163">
        <v>4.4000000000000004</v>
      </c>
      <c r="L163" s="3">
        <v>4</v>
      </c>
      <c r="M163" t="s">
        <v>1036</v>
      </c>
      <c r="N163">
        <v>48.87</v>
      </c>
    </row>
    <row r="164" spans="1:14" hidden="1" x14ac:dyDescent="0.3">
      <c r="A164" t="s">
        <v>172</v>
      </c>
      <c r="B164" t="s">
        <v>1014</v>
      </c>
      <c r="C164" t="s">
        <v>1031</v>
      </c>
      <c r="D164">
        <v>52</v>
      </c>
      <c r="E164">
        <v>11</v>
      </c>
      <c r="F164" s="3">
        <v>61342</v>
      </c>
      <c r="G164">
        <v>38</v>
      </c>
      <c r="H164">
        <v>12</v>
      </c>
      <c r="I164">
        <v>16</v>
      </c>
      <c r="J164">
        <v>7</v>
      </c>
      <c r="K164">
        <v>2.9</v>
      </c>
      <c r="L164" s="3">
        <v>8.3000000000000007</v>
      </c>
      <c r="M164" t="s">
        <v>1034</v>
      </c>
      <c r="N164">
        <v>78.5</v>
      </c>
    </row>
    <row r="165" spans="1:14" hidden="1" x14ac:dyDescent="0.3">
      <c r="A165" t="s">
        <v>173</v>
      </c>
      <c r="B165" t="s">
        <v>1017</v>
      </c>
      <c r="C165" t="s">
        <v>1026</v>
      </c>
      <c r="D165">
        <v>54</v>
      </c>
      <c r="E165">
        <v>4</v>
      </c>
      <c r="F165" s="3">
        <v>79463</v>
      </c>
      <c r="G165">
        <v>48</v>
      </c>
      <c r="H165">
        <v>2</v>
      </c>
      <c r="I165">
        <v>7</v>
      </c>
      <c r="J165">
        <v>28</v>
      </c>
      <c r="K165">
        <v>4.7</v>
      </c>
      <c r="L165" s="3">
        <v>9.5</v>
      </c>
      <c r="M165" t="s">
        <v>1034</v>
      </c>
      <c r="N165">
        <v>74.430000000000007</v>
      </c>
    </row>
    <row r="166" spans="1:14" x14ac:dyDescent="0.3">
      <c r="A166" t="s">
        <v>174</v>
      </c>
      <c r="B166" t="s">
        <v>1014</v>
      </c>
      <c r="C166" t="s">
        <v>1025</v>
      </c>
      <c r="D166">
        <v>47</v>
      </c>
      <c r="E166">
        <v>11</v>
      </c>
      <c r="F166" s="3">
        <v>40451</v>
      </c>
      <c r="G166">
        <v>47</v>
      </c>
      <c r="H166">
        <v>2</v>
      </c>
      <c r="I166">
        <v>11</v>
      </c>
      <c r="J166">
        <v>14</v>
      </c>
      <c r="K166">
        <v>2.1</v>
      </c>
      <c r="L166" s="3">
        <v>9.5</v>
      </c>
      <c r="M166" t="s">
        <v>1034</v>
      </c>
      <c r="N166">
        <v>66.63</v>
      </c>
    </row>
    <row r="167" spans="1:14" hidden="1" x14ac:dyDescent="0.3">
      <c r="A167" t="s">
        <v>175</v>
      </c>
      <c r="B167" t="s">
        <v>1016</v>
      </c>
      <c r="C167" t="s">
        <v>1022</v>
      </c>
      <c r="D167">
        <v>31</v>
      </c>
      <c r="E167">
        <v>2</v>
      </c>
      <c r="F167" s="3">
        <v>27510</v>
      </c>
      <c r="G167">
        <v>44</v>
      </c>
      <c r="H167">
        <v>15</v>
      </c>
      <c r="I167">
        <v>15</v>
      </c>
      <c r="J167">
        <v>8</v>
      </c>
      <c r="K167">
        <v>4.3</v>
      </c>
      <c r="L167" s="3">
        <v>6.3</v>
      </c>
      <c r="M167" t="s">
        <v>1035</v>
      </c>
      <c r="N167">
        <v>75.7</v>
      </c>
    </row>
    <row r="168" spans="1:14" hidden="1" x14ac:dyDescent="0.3">
      <c r="A168" t="s">
        <v>176</v>
      </c>
      <c r="B168" t="s">
        <v>1014</v>
      </c>
      <c r="C168" t="s">
        <v>1031</v>
      </c>
      <c r="D168">
        <v>27</v>
      </c>
      <c r="E168">
        <v>0</v>
      </c>
      <c r="F168" s="3">
        <v>41772</v>
      </c>
      <c r="G168">
        <v>41</v>
      </c>
      <c r="H168">
        <v>14</v>
      </c>
      <c r="I168">
        <v>4</v>
      </c>
      <c r="J168">
        <v>35</v>
      </c>
      <c r="K168">
        <v>4.8</v>
      </c>
      <c r="L168" s="3">
        <v>7.3</v>
      </c>
      <c r="M168" t="s">
        <v>1035</v>
      </c>
      <c r="N168">
        <v>81.53</v>
      </c>
    </row>
    <row r="169" spans="1:14" hidden="1" x14ac:dyDescent="0.3">
      <c r="A169" t="s">
        <v>177</v>
      </c>
      <c r="B169" t="s">
        <v>1014</v>
      </c>
      <c r="C169" t="s">
        <v>1019</v>
      </c>
      <c r="D169">
        <v>40</v>
      </c>
      <c r="E169">
        <v>7</v>
      </c>
      <c r="F169" s="3">
        <v>44736</v>
      </c>
      <c r="G169">
        <v>38</v>
      </c>
      <c r="H169">
        <v>1</v>
      </c>
      <c r="I169">
        <v>7</v>
      </c>
      <c r="J169">
        <v>26</v>
      </c>
      <c r="K169">
        <v>3.9</v>
      </c>
      <c r="L169" s="3">
        <v>7.4</v>
      </c>
      <c r="M169" t="s">
        <v>1035</v>
      </c>
      <c r="N169">
        <v>57.77</v>
      </c>
    </row>
    <row r="170" spans="1:14" hidden="1" x14ac:dyDescent="0.3">
      <c r="A170" t="s">
        <v>178</v>
      </c>
      <c r="B170" t="s">
        <v>1014</v>
      </c>
      <c r="C170" t="s">
        <v>1031</v>
      </c>
      <c r="D170">
        <v>53</v>
      </c>
      <c r="E170">
        <v>0</v>
      </c>
      <c r="F170" s="3">
        <v>66415</v>
      </c>
      <c r="G170">
        <v>51</v>
      </c>
      <c r="H170">
        <v>10</v>
      </c>
      <c r="I170">
        <v>7</v>
      </c>
      <c r="J170">
        <v>9</v>
      </c>
      <c r="K170">
        <v>2.9</v>
      </c>
      <c r="L170" s="3">
        <v>3</v>
      </c>
      <c r="M170" t="s">
        <v>1036</v>
      </c>
      <c r="N170">
        <v>43.37</v>
      </c>
    </row>
    <row r="171" spans="1:14" hidden="1" x14ac:dyDescent="0.3">
      <c r="A171" t="s">
        <v>179</v>
      </c>
      <c r="B171" t="s">
        <v>1018</v>
      </c>
      <c r="C171" t="s">
        <v>1027</v>
      </c>
      <c r="D171">
        <v>48</v>
      </c>
      <c r="E171">
        <v>5</v>
      </c>
      <c r="F171" s="3">
        <v>68540</v>
      </c>
      <c r="G171">
        <v>37</v>
      </c>
      <c r="H171">
        <v>9</v>
      </c>
      <c r="I171">
        <v>11</v>
      </c>
      <c r="J171">
        <v>4</v>
      </c>
      <c r="K171">
        <v>4.9000000000000004</v>
      </c>
      <c r="L171" s="3">
        <v>6.8</v>
      </c>
      <c r="M171" t="s">
        <v>1035</v>
      </c>
      <c r="N171">
        <v>70.5</v>
      </c>
    </row>
    <row r="172" spans="1:14" hidden="1" x14ac:dyDescent="0.3">
      <c r="A172" t="s">
        <v>180</v>
      </c>
      <c r="B172" t="s">
        <v>1015</v>
      </c>
      <c r="C172" t="s">
        <v>1029</v>
      </c>
      <c r="D172">
        <v>23</v>
      </c>
      <c r="E172">
        <v>1</v>
      </c>
      <c r="F172" s="3">
        <v>82234</v>
      </c>
      <c r="G172">
        <v>50</v>
      </c>
      <c r="H172">
        <v>1</v>
      </c>
      <c r="I172">
        <v>20</v>
      </c>
      <c r="J172">
        <v>24</v>
      </c>
      <c r="K172">
        <v>4.9000000000000004</v>
      </c>
      <c r="L172" s="3">
        <v>4.8</v>
      </c>
      <c r="M172" t="s">
        <v>1036</v>
      </c>
      <c r="N172">
        <v>45.17</v>
      </c>
    </row>
    <row r="173" spans="1:14" hidden="1" x14ac:dyDescent="0.3">
      <c r="A173" t="s">
        <v>181</v>
      </c>
      <c r="B173" t="s">
        <v>1016</v>
      </c>
      <c r="C173" t="s">
        <v>1023</v>
      </c>
      <c r="D173">
        <v>26</v>
      </c>
      <c r="E173">
        <v>2</v>
      </c>
      <c r="F173" s="3">
        <v>40802</v>
      </c>
      <c r="G173">
        <v>55</v>
      </c>
      <c r="H173">
        <v>2</v>
      </c>
      <c r="I173">
        <v>24</v>
      </c>
      <c r="J173">
        <v>37</v>
      </c>
      <c r="K173">
        <v>4.2</v>
      </c>
      <c r="L173" s="3">
        <v>5.3</v>
      </c>
      <c r="M173" t="s">
        <v>1036</v>
      </c>
      <c r="N173">
        <v>47.73</v>
      </c>
    </row>
    <row r="174" spans="1:14" hidden="1" x14ac:dyDescent="0.3">
      <c r="A174" t="s">
        <v>182</v>
      </c>
      <c r="B174" t="s">
        <v>1016</v>
      </c>
      <c r="C174" t="s">
        <v>1022</v>
      </c>
      <c r="D174">
        <v>43</v>
      </c>
      <c r="E174">
        <v>5</v>
      </c>
      <c r="F174" s="3">
        <v>79420</v>
      </c>
      <c r="G174">
        <v>49</v>
      </c>
      <c r="H174">
        <v>12</v>
      </c>
      <c r="I174">
        <v>15</v>
      </c>
      <c r="J174">
        <v>40</v>
      </c>
      <c r="K174">
        <v>2.5</v>
      </c>
      <c r="L174" s="3">
        <v>3.9</v>
      </c>
      <c r="M174" t="s">
        <v>1036</v>
      </c>
      <c r="N174">
        <v>50.9</v>
      </c>
    </row>
    <row r="175" spans="1:14" hidden="1" x14ac:dyDescent="0.3">
      <c r="A175" t="s">
        <v>183</v>
      </c>
      <c r="B175" t="s">
        <v>1017</v>
      </c>
      <c r="C175" t="s">
        <v>1026</v>
      </c>
      <c r="D175">
        <v>24</v>
      </c>
      <c r="E175">
        <v>2</v>
      </c>
      <c r="F175" s="3">
        <v>38211</v>
      </c>
      <c r="G175">
        <v>36</v>
      </c>
      <c r="H175">
        <v>13</v>
      </c>
      <c r="I175">
        <v>6</v>
      </c>
      <c r="J175">
        <v>2</v>
      </c>
      <c r="K175">
        <v>2.9</v>
      </c>
      <c r="L175" s="3">
        <v>5.2</v>
      </c>
      <c r="M175" t="s">
        <v>1036</v>
      </c>
      <c r="N175">
        <v>61.57</v>
      </c>
    </row>
    <row r="176" spans="1:14" x14ac:dyDescent="0.3">
      <c r="A176" t="s">
        <v>184</v>
      </c>
      <c r="B176" t="s">
        <v>1015</v>
      </c>
      <c r="C176" t="s">
        <v>1020</v>
      </c>
      <c r="D176">
        <v>52</v>
      </c>
      <c r="E176">
        <v>8</v>
      </c>
      <c r="F176" s="3">
        <v>27399</v>
      </c>
      <c r="G176">
        <v>55</v>
      </c>
      <c r="H176">
        <v>4</v>
      </c>
      <c r="I176">
        <v>9</v>
      </c>
      <c r="J176">
        <v>22</v>
      </c>
      <c r="K176">
        <v>4.5999999999999996</v>
      </c>
      <c r="L176" s="3">
        <v>3.3</v>
      </c>
      <c r="M176" t="s">
        <v>1036</v>
      </c>
      <c r="N176">
        <v>40.270000000000003</v>
      </c>
    </row>
    <row r="177" spans="1:14" hidden="1" x14ac:dyDescent="0.3">
      <c r="A177" t="s">
        <v>185</v>
      </c>
      <c r="B177" t="s">
        <v>1016</v>
      </c>
      <c r="C177" t="s">
        <v>1023</v>
      </c>
      <c r="D177">
        <v>39</v>
      </c>
      <c r="E177">
        <v>3</v>
      </c>
      <c r="F177" s="3">
        <v>77385</v>
      </c>
      <c r="G177">
        <v>46</v>
      </c>
      <c r="H177">
        <v>7</v>
      </c>
      <c r="I177">
        <v>12</v>
      </c>
      <c r="J177">
        <v>28</v>
      </c>
      <c r="K177">
        <v>4.7</v>
      </c>
      <c r="L177" s="3">
        <v>5.7</v>
      </c>
      <c r="M177" t="s">
        <v>1036</v>
      </c>
      <c r="N177">
        <v>59.97</v>
      </c>
    </row>
    <row r="178" spans="1:14" x14ac:dyDescent="0.3">
      <c r="A178" t="s">
        <v>186</v>
      </c>
      <c r="B178" t="s">
        <v>1017</v>
      </c>
      <c r="C178" t="s">
        <v>1024</v>
      </c>
      <c r="D178">
        <v>53</v>
      </c>
      <c r="E178">
        <v>11</v>
      </c>
      <c r="F178" s="3">
        <v>85575</v>
      </c>
      <c r="G178">
        <v>51</v>
      </c>
      <c r="H178">
        <v>5</v>
      </c>
      <c r="I178">
        <v>25</v>
      </c>
      <c r="J178">
        <v>5</v>
      </c>
      <c r="K178">
        <v>4.2</v>
      </c>
      <c r="L178" s="3">
        <v>3.6</v>
      </c>
      <c r="M178" t="s">
        <v>1036</v>
      </c>
      <c r="N178">
        <v>42.53</v>
      </c>
    </row>
    <row r="179" spans="1:14" hidden="1" x14ac:dyDescent="0.3">
      <c r="A179" t="s">
        <v>187</v>
      </c>
      <c r="B179" t="s">
        <v>1018</v>
      </c>
      <c r="C179" t="s">
        <v>1032</v>
      </c>
      <c r="D179">
        <v>40</v>
      </c>
      <c r="E179">
        <v>10</v>
      </c>
      <c r="F179" s="3">
        <v>31723</v>
      </c>
      <c r="G179">
        <v>37</v>
      </c>
      <c r="H179">
        <v>6</v>
      </c>
      <c r="I179">
        <v>21</v>
      </c>
      <c r="J179">
        <v>18</v>
      </c>
      <c r="K179">
        <v>2.9</v>
      </c>
      <c r="L179" s="3">
        <v>7.2</v>
      </c>
      <c r="M179" t="s">
        <v>1035</v>
      </c>
      <c r="N179">
        <v>61.9</v>
      </c>
    </row>
    <row r="180" spans="1:14" hidden="1" x14ac:dyDescent="0.3">
      <c r="A180" t="s">
        <v>188</v>
      </c>
      <c r="B180" t="s">
        <v>1018</v>
      </c>
      <c r="C180" t="s">
        <v>1028</v>
      </c>
      <c r="D180">
        <v>50</v>
      </c>
      <c r="E180">
        <v>11</v>
      </c>
      <c r="F180" s="3">
        <v>54303</v>
      </c>
      <c r="G180">
        <v>36</v>
      </c>
      <c r="H180">
        <v>12</v>
      </c>
      <c r="I180">
        <v>11</v>
      </c>
      <c r="J180">
        <v>39</v>
      </c>
      <c r="K180">
        <v>5</v>
      </c>
      <c r="L180" s="3">
        <v>4.9000000000000004</v>
      </c>
      <c r="M180" t="s">
        <v>1036</v>
      </c>
      <c r="N180">
        <v>64.400000000000006</v>
      </c>
    </row>
    <row r="181" spans="1:14" hidden="1" x14ac:dyDescent="0.3">
      <c r="A181" t="s">
        <v>189</v>
      </c>
      <c r="B181" t="s">
        <v>1014</v>
      </c>
      <c r="C181" t="s">
        <v>1019</v>
      </c>
      <c r="D181">
        <v>47</v>
      </c>
      <c r="E181">
        <v>11</v>
      </c>
      <c r="F181" s="3">
        <v>58625</v>
      </c>
      <c r="G181">
        <v>40</v>
      </c>
      <c r="H181">
        <v>1</v>
      </c>
      <c r="I181">
        <v>4</v>
      </c>
      <c r="J181">
        <v>38</v>
      </c>
      <c r="K181">
        <v>4</v>
      </c>
      <c r="L181" s="3">
        <v>6.1</v>
      </c>
      <c r="M181" t="s">
        <v>1035</v>
      </c>
      <c r="N181">
        <v>50.27</v>
      </c>
    </row>
    <row r="182" spans="1:14" x14ac:dyDescent="0.3">
      <c r="A182" t="s">
        <v>190</v>
      </c>
      <c r="B182" t="s">
        <v>1014</v>
      </c>
      <c r="C182" t="s">
        <v>1031</v>
      </c>
      <c r="D182">
        <v>37</v>
      </c>
      <c r="E182">
        <v>11</v>
      </c>
      <c r="F182" s="3">
        <v>48733</v>
      </c>
      <c r="G182">
        <v>47</v>
      </c>
      <c r="H182">
        <v>10</v>
      </c>
      <c r="I182">
        <v>1</v>
      </c>
      <c r="J182">
        <v>38</v>
      </c>
      <c r="K182">
        <v>2.5</v>
      </c>
      <c r="L182" s="3">
        <v>6.1</v>
      </c>
      <c r="M182" t="s">
        <v>1035</v>
      </c>
      <c r="N182">
        <v>60.77</v>
      </c>
    </row>
    <row r="183" spans="1:14" hidden="1" x14ac:dyDescent="0.3">
      <c r="A183" t="s">
        <v>191</v>
      </c>
      <c r="B183" t="s">
        <v>1016</v>
      </c>
      <c r="C183" t="s">
        <v>1023</v>
      </c>
      <c r="D183">
        <v>50</v>
      </c>
      <c r="E183">
        <v>2</v>
      </c>
      <c r="F183" s="3">
        <v>62612</v>
      </c>
      <c r="G183">
        <v>39</v>
      </c>
      <c r="H183">
        <v>9</v>
      </c>
      <c r="I183">
        <v>11</v>
      </c>
      <c r="J183">
        <v>25</v>
      </c>
      <c r="K183">
        <v>2.9</v>
      </c>
      <c r="L183" s="3">
        <v>5</v>
      </c>
      <c r="M183" t="s">
        <v>1036</v>
      </c>
      <c r="N183">
        <v>53.7</v>
      </c>
    </row>
    <row r="184" spans="1:14" x14ac:dyDescent="0.3">
      <c r="A184" t="s">
        <v>192</v>
      </c>
      <c r="B184" t="s">
        <v>1014</v>
      </c>
      <c r="C184" t="s">
        <v>1031</v>
      </c>
      <c r="D184">
        <v>33</v>
      </c>
      <c r="E184">
        <v>7</v>
      </c>
      <c r="F184" s="3">
        <v>58930</v>
      </c>
      <c r="G184">
        <v>47</v>
      </c>
      <c r="H184">
        <v>15</v>
      </c>
      <c r="I184">
        <v>17</v>
      </c>
      <c r="J184">
        <v>7</v>
      </c>
      <c r="K184">
        <v>2.8</v>
      </c>
      <c r="L184" s="3">
        <v>4.8</v>
      </c>
      <c r="M184" t="s">
        <v>1036</v>
      </c>
      <c r="N184">
        <v>62.2</v>
      </c>
    </row>
    <row r="185" spans="1:14" hidden="1" x14ac:dyDescent="0.3">
      <c r="A185" t="s">
        <v>193</v>
      </c>
      <c r="B185" t="s">
        <v>1018</v>
      </c>
      <c r="C185" t="s">
        <v>1028</v>
      </c>
      <c r="D185">
        <v>40</v>
      </c>
      <c r="E185">
        <v>15</v>
      </c>
      <c r="F185" s="3">
        <v>38118</v>
      </c>
      <c r="G185">
        <v>38</v>
      </c>
      <c r="H185">
        <v>3</v>
      </c>
      <c r="I185">
        <v>2</v>
      </c>
      <c r="J185">
        <v>28</v>
      </c>
      <c r="K185">
        <v>2.5</v>
      </c>
      <c r="L185" s="3">
        <v>8</v>
      </c>
      <c r="M185" t="s">
        <v>1034</v>
      </c>
      <c r="N185">
        <v>60.5</v>
      </c>
    </row>
    <row r="186" spans="1:14" hidden="1" x14ac:dyDescent="0.3">
      <c r="A186" t="s">
        <v>194</v>
      </c>
      <c r="B186" t="s">
        <v>1016</v>
      </c>
      <c r="C186" t="s">
        <v>1022</v>
      </c>
      <c r="D186">
        <v>44</v>
      </c>
      <c r="E186">
        <v>2</v>
      </c>
      <c r="F186" s="3">
        <v>61044</v>
      </c>
      <c r="G186">
        <v>52</v>
      </c>
      <c r="H186">
        <v>5</v>
      </c>
      <c r="I186">
        <v>9</v>
      </c>
      <c r="J186">
        <v>10</v>
      </c>
      <c r="K186">
        <v>4.0999999999999996</v>
      </c>
      <c r="L186" s="3">
        <v>9.5</v>
      </c>
      <c r="M186" t="s">
        <v>1034</v>
      </c>
      <c r="N186">
        <v>77.63</v>
      </c>
    </row>
    <row r="187" spans="1:14" x14ac:dyDescent="0.3">
      <c r="A187" t="s">
        <v>195</v>
      </c>
      <c r="B187" t="s">
        <v>1018</v>
      </c>
      <c r="C187" t="s">
        <v>1027</v>
      </c>
      <c r="D187">
        <v>45</v>
      </c>
      <c r="E187">
        <v>7</v>
      </c>
      <c r="F187" s="3">
        <v>32953</v>
      </c>
      <c r="G187">
        <v>41</v>
      </c>
      <c r="H187">
        <v>13</v>
      </c>
      <c r="I187">
        <v>4</v>
      </c>
      <c r="J187">
        <v>15</v>
      </c>
      <c r="K187">
        <v>4.4000000000000004</v>
      </c>
      <c r="L187" s="3">
        <v>3.2</v>
      </c>
      <c r="M187" t="s">
        <v>1036</v>
      </c>
      <c r="N187">
        <v>54.07</v>
      </c>
    </row>
    <row r="188" spans="1:14" x14ac:dyDescent="0.3">
      <c r="A188" t="s">
        <v>196</v>
      </c>
      <c r="B188" t="s">
        <v>1015</v>
      </c>
      <c r="C188" t="s">
        <v>1020</v>
      </c>
      <c r="D188">
        <v>45</v>
      </c>
      <c r="E188">
        <v>14</v>
      </c>
      <c r="F188" s="3">
        <v>77668</v>
      </c>
      <c r="G188">
        <v>52</v>
      </c>
      <c r="H188">
        <v>3</v>
      </c>
      <c r="I188">
        <v>19</v>
      </c>
      <c r="J188">
        <v>5</v>
      </c>
      <c r="K188">
        <v>2.2000000000000002</v>
      </c>
      <c r="L188" s="3">
        <v>5.8</v>
      </c>
      <c r="M188" t="s">
        <v>1036</v>
      </c>
      <c r="N188">
        <v>46.4</v>
      </c>
    </row>
    <row r="189" spans="1:14" x14ac:dyDescent="0.3">
      <c r="A189" t="s">
        <v>197</v>
      </c>
      <c r="B189" t="s">
        <v>1017</v>
      </c>
      <c r="C189" t="s">
        <v>1030</v>
      </c>
      <c r="D189">
        <v>55</v>
      </c>
      <c r="E189">
        <v>13</v>
      </c>
      <c r="F189" s="3">
        <v>75407</v>
      </c>
      <c r="G189">
        <v>48</v>
      </c>
      <c r="H189">
        <v>14</v>
      </c>
      <c r="I189">
        <v>18</v>
      </c>
      <c r="J189">
        <v>4</v>
      </c>
      <c r="K189">
        <v>2.4</v>
      </c>
      <c r="L189" s="3">
        <v>5.2</v>
      </c>
      <c r="M189" t="s">
        <v>1036</v>
      </c>
      <c r="N189">
        <v>61.73</v>
      </c>
    </row>
    <row r="190" spans="1:14" x14ac:dyDescent="0.3">
      <c r="A190" t="s">
        <v>198</v>
      </c>
      <c r="B190" t="s">
        <v>1017</v>
      </c>
      <c r="C190" t="s">
        <v>1024</v>
      </c>
      <c r="D190">
        <v>51</v>
      </c>
      <c r="E190">
        <v>11</v>
      </c>
      <c r="F190" s="3">
        <v>33410</v>
      </c>
      <c r="G190">
        <v>52</v>
      </c>
      <c r="H190">
        <v>11</v>
      </c>
      <c r="I190">
        <v>18</v>
      </c>
      <c r="J190">
        <v>11</v>
      </c>
      <c r="K190">
        <v>4.3</v>
      </c>
      <c r="L190" s="3">
        <v>3.9</v>
      </c>
      <c r="M190" t="s">
        <v>1036</v>
      </c>
      <c r="N190">
        <v>54.63</v>
      </c>
    </row>
    <row r="191" spans="1:14" x14ac:dyDescent="0.3">
      <c r="A191" t="s">
        <v>199</v>
      </c>
      <c r="B191" t="s">
        <v>1014</v>
      </c>
      <c r="C191" t="s">
        <v>1025</v>
      </c>
      <c r="D191">
        <v>29</v>
      </c>
      <c r="E191">
        <v>8</v>
      </c>
      <c r="F191" s="3">
        <v>35028</v>
      </c>
      <c r="G191">
        <v>44</v>
      </c>
      <c r="H191">
        <v>3</v>
      </c>
      <c r="I191">
        <v>5</v>
      </c>
      <c r="J191">
        <v>20</v>
      </c>
      <c r="K191">
        <v>4.8</v>
      </c>
      <c r="L191" s="3">
        <v>4.5999999999999996</v>
      </c>
      <c r="M191" t="s">
        <v>1036</v>
      </c>
      <c r="N191">
        <v>47</v>
      </c>
    </row>
    <row r="192" spans="1:14" hidden="1" x14ac:dyDescent="0.3">
      <c r="A192" t="s">
        <v>200</v>
      </c>
      <c r="B192" t="s">
        <v>1016</v>
      </c>
      <c r="C192" t="s">
        <v>1023</v>
      </c>
      <c r="D192">
        <v>27</v>
      </c>
      <c r="E192">
        <v>2</v>
      </c>
      <c r="F192" s="3">
        <v>37864</v>
      </c>
      <c r="G192">
        <v>55</v>
      </c>
      <c r="H192">
        <v>9</v>
      </c>
      <c r="I192">
        <v>8</v>
      </c>
      <c r="J192">
        <v>8</v>
      </c>
      <c r="K192">
        <v>3.9</v>
      </c>
      <c r="L192" s="3">
        <v>7.3</v>
      </c>
      <c r="M192" t="s">
        <v>1035</v>
      </c>
      <c r="N192">
        <v>70.5</v>
      </c>
    </row>
    <row r="193" spans="1:14" x14ac:dyDescent="0.3">
      <c r="A193" t="s">
        <v>201</v>
      </c>
      <c r="B193" t="s">
        <v>1015</v>
      </c>
      <c r="C193" t="s">
        <v>1020</v>
      </c>
      <c r="D193">
        <v>32</v>
      </c>
      <c r="E193">
        <v>9</v>
      </c>
      <c r="F193" s="3">
        <v>86709</v>
      </c>
      <c r="G193">
        <v>53</v>
      </c>
      <c r="H193">
        <v>3</v>
      </c>
      <c r="I193">
        <v>5</v>
      </c>
      <c r="J193">
        <v>39</v>
      </c>
      <c r="K193">
        <v>4.2</v>
      </c>
      <c r="L193" s="3">
        <v>7.2</v>
      </c>
      <c r="M193" t="s">
        <v>1035</v>
      </c>
      <c r="N193">
        <v>60.8</v>
      </c>
    </row>
    <row r="194" spans="1:14" hidden="1" x14ac:dyDescent="0.3">
      <c r="A194" t="s">
        <v>202</v>
      </c>
      <c r="B194" t="s">
        <v>1014</v>
      </c>
      <c r="C194" t="s">
        <v>1031</v>
      </c>
      <c r="D194">
        <v>23</v>
      </c>
      <c r="E194">
        <v>0</v>
      </c>
      <c r="F194" s="3">
        <v>27979</v>
      </c>
      <c r="G194">
        <v>55</v>
      </c>
      <c r="H194">
        <v>13</v>
      </c>
      <c r="I194">
        <v>18</v>
      </c>
      <c r="J194">
        <v>16</v>
      </c>
      <c r="K194">
        <v>4</v>
      </c>
      <c r="L194" s="3">
        <v>8.4</v>
      </c>
      <c r="M194" t="s">
        <v>1034</v>
      </c>
      <c r="N194">
        <v>84.07</v>
      </c>
    </row>
    <row r="195" spans="1:14" hidden="1" x14ac:dyDescent="0.3">
      <c r="A195" t="s">
        <v>203</v>
      </c>
      <c r="B195" t="s">
        <v>1015</v>
      </c>
      <c r="C195" t="s">
        <v>1020</v>
      </c>
      <c r="D195">
        <v>23</v>
      </c>
      <c r="E195">
        <v>1</v>
      </c>
      <c r="F195" s="3">
        <v>83261</v>
      </c>
      <c r="G195">
        <v>55</v>
      </c>
      <c r="H195">
        <v>9</v>
      </c>
      <c r="I195">
        <v>9</v>
      </c>
      <c r="J195">
        <v>19</v>
      </c>
      <c r="K195">
        <v>3.4</v>
      </c>
      <c r="L195" s="3">
        <v>8.6</v>
      </c>
      <c r="M195" t="s">
        <v>1034</v>
      </c>
      <c r="N195">
        <v>76.8</v>
      </c>
    </row>
    <row r="196" spans="1:14" hidden="1" x14ac:dyDescent="0.3">
      <c r="A196" t="s">
        <v>204</v>
      </c>
      <c r="B196" t="s">
        <v>1017</v>
      </c>
      <c r="C196" t="s">
        <v>1024</v>
      </c>
      <c r="D196">
        <v>41</v>
      </c>
      <c r="E196">
        <v>14</v>
      </c>
      <c r="F196" s="3">
        <v>29782</v>
      </c>
      <c r="G196">
        <v>36</v>
      </c>
      <c r="H196">
        <v>3</v>
      </c>
      <c r="I196">
        <v>14</v>
      </c>
      <c r="J196">
        <v>26</v>
      </c>
      <c r="K196">
        <v>3.5</v>
      </c>
      <c r="L196" s="3">
        <v>4.4000000000000004</v>
      </c>
      <c r="M196" t="s">
        <v>1036</v>
      </c>
      <c r="N196">
        <v>41.9</v>
      </c>
    </row>
    <row r="197" spans="1:14" x14ac:dyDescent="0.3">
      <c r="A197" t="s">
        <v>205</v>
      </c>
      <c r="B197" t="s">
        <v>1018</v>
      </c>
      <c r="C197" t="s">
        <v>1028</v>
      </c>
      <c r="D197">
        <v>42</v>
      </c>
      <c r="E197">
        <v>10</v>
      </c>
      <c r="F197" s="3">
        <v>73116</v>
      </c>
      <c r="G197">
        <v>46</v>
      </c>
      <c r="H197">
        <v>7</v>
      </c>
      <c r="I197">
        <v>4</v>
      </c>
      <c r="J197">
        <v>23</v>
      </c>
      <c r="K197">
        <v>3.5</v>
      </c>
      <c r="L197" s="3">
        <v>3.7</v>
      </c>
      <c r="M197" t="s">
        <v>1036</v>
      </c>
      <c r="N197">
        <v>44.37</v>
      </c>
    </row>
    <row r="198" spans="1:14" hidden="1" x14ac:dyDescent="0.3">
      <c r="A198" t="s">
        <v>206</v>
      </c>
      <c r="B198" t="s">
        <v>1017</v>
      </c>
      <c r="C198" t="s">
        <v>1024</v>
      </c>
      <c r="D198">
        <v>29</v>
      </c>
      <c r="E198">
        <v>4</v>
      </c>
      <c r="F198" s="3">
        <v>54464</v>
      </c>
      <c r="G198">
        <v>42</v>
      </c>
      <c r="H198">
        <v>3</v>
      </c>
      <c r="I198">
        <v>3</v>
      </c>
      <c r="J198">
        <v>3</v>
      </c>
      <c r="K198">
        <v>2.9</v>
      </c>
      <c r="L198" s="3">
        <v>5.7</v>
      </c>
      <c r="M198" t="s">
        <v>1036</v>
      </c>
      <c r="N198">
        <v>47.9</v>
      </c>
    </row>
    <row r="199" spans="1:14" hidden="1" x14ac:dyDescent="0.3">
      <c r="A199" t="s">
        <v>207</v>
      </c>
      <c r="B199" t="s">
        <v>1017</v>
      </c>
      <c r="C199" t="s">
        <v>1024</v>
      </c>
      <c r="D199">
        <v>37</v>
      </c>
      <c r="E199">
        <v>5</v>
      </c>
      <c r="F199" s="3">
        <v>78312</v>
      </c>
      <c r="G199">
        <v>45</v>
      </c>
      <c r="H199">
        <v>15</v>
      </c>
      <c r="I199">
        <v>18</v>
      </c>
      <c r="J199">
        <v>20</v>
      </c>
      <c r="K199">
        <v>2.6</v>
      </c>
      <c r="L199" s="3">
        <v>4.0999999999999996</v>
      </c>
      <c r="M199" t="s">
        <v>1036</v>
      </c>
      <c r="N199">
        <v>57.4</v>
      </c>
    </row>
    <row r="200" spans="1:14" hidden="1" x14ac:dyDescent="0.3">
      <c r="A200" t="s">
        <v>208</v>
      </c>
      <c r="B200" t="s">
        <v>1017</v>
      </c>
      <c r="C200" t="s">
        <v>1024</v>
      </c>
      <c r="D200">
        <v>53</v>
      </c>
      <c r="E200">
        <v>9</v>
      </c>
      <c r="F200" s="3">
        <v>57595</v>
      </c>
      <c r="G200">
        <v>35</v>
      </c>
      <c r="H200">
        <v>2</v>
      </c>
      <c r="I200">
        <v>12</v>
      </c>
      <c r="J200">
        <v>32</v>
      </c>
      <c r="K200">
        <v>3.4</v>
      </c>
      <c r="L200" s="3">
        <v>4.7</v>
      </c>
      <c r="M200" t="s">
        <v>1036</v>
      </c>
      <c r="N200">
        <v>41.73</v>
      </c>
    </row>
    <row r="201" spans="1:14" hidden="1" x14ac:dyDescent="0.3">
      <c r="A201" t="s">
        <v>209</v>
      </c>
      <c r="B201" t="s">
        <v>1016</v>
      </c>
      <c r="C201" t="s">
        <v>1023</v>
      </c>
      <c r="D201">
        <v>25</v>
      </c>
      <c r="E201">
        <v>0</v>
      </c>
      <c r="F201" s="3">
        <v>43438</v>
      </c>
      <c r="G201">
        <v>50</v>
      </c>
      <c r="H201">
        <v>10</v>
      </c>
      <c r="I201">
        <v>20</v>
      </c>
      <c r="J201">
        <v>30</v>
      </c>
      <c r="K201">
        <v>2.9</v>
      </c>
      <c r="L201" s="3">
        <v>3.1</v>
      </c>
      <c r="M201" t="s">
        <v>1036</v>
      </c>
      <c r="N201">
        <v>43.97</v>
      </c>
    </row>
    <row r="202" spans="1:14" hidden="1" x14ac:dyDescent="0.3">
      <c r="A202" t="s">
        <v>210</v>
      </c>
      <c r="B202" t="s">
        <v>1017</v>
      </c>
      <c r="C202" t="s">
        <v>1024</v>
      </c>
      <c r="D202">
        <v>30</v>
      </c>
      <c r="E202">
        <v>4</v>
      </c>
      <c r="F202" s="3">
        <v>72677</v>
      </c>
      <c r="G202">
        <v>46</v>
      </c>
      <c r="H202">
        <v>13</v>
      </c>
      <c r="I202">
        <v>12</v>
      </c>
      <c r="J202">
        <v>23</v>
      </c>
      <c r="K202">
        <v>2.1</v>
      </c>
      <c r="L202" s="3">
        <v>3.4</v>
      </c>
      <c r="M202" t="s">
        <v>1036</v>
      </c>
      <c r="N202">
        <v>48.37</v>
      </c>
    </row>
    <row r="203" spans="1:14" x14ac:dyDescent="0.3">
      <c r="A203" t="s">
        <v>211</v>
      </c>
      <c r="B203" t="s">
        <v>1018</v>
      </c>
      <c r="C203" t="s">
        <v>1027</v>
      </c>
      <c r="D203">
        <v>45</v>
      </c>
      <c r="E203">
        <v>9</v>
      </c>
      <c r="F203" s="3">
        <v>29818</v>
      </c>
      <c r="G203">
        <v>47</v>
      </c>
      <c r="H203">
        <v>9</v>
      </c>
      <c r="I203">
        <v>14</v>
      </c>
      <c r="J203">
        <v>35</v>
      </c>
      <c r="K203">
        <v>2.8</v>
      </c>
      <c r="L203" s="3">
        <v>9.9</v>
      </c>
      <c r="M203" t="s">
        <v>1034</v>
      </c>
      <c r="N203">
        <v>82.8</v>
      </c>
    </row>
    <row r="204" spans="1:14" hidden="1" x14ac:dyDescent="0.3">
      <c r="A204" t="s">
        <v>212</v>
      </c>
      <c r="B204" t="s">
        <v>1015</v>
      </c>
      <c r="C204" t="s">
        <v>1029</v>
      </c>
      <c r="D204">
        <v>29</v>
      </c>
      <c r="E204">
        <v>2</v>
      </c>
      <c r="F204" s="3">
        <v>88903</v>
      </c>
      <c r="G204">
        <v>38</v>
      </c>
      <c r="H204">
        <v>7</v>
      </c>
      <c r="I204">
        <v>11</v>
      </c>
      <c r="J204">
        <v>21</v>
      </c>
      <c r="K204">
        <v>3.7</v>
      </c>
      <c r="L204" s="3">
        <v>5.6</v>
      </c>
      <c r="M204" t="s">
        <v>1036</v>
      </c>
      <c r="N204">
        <v>56.37</v>
      </c>
    </row>
    <row r="205" spans="1:14" hidden="1" x14ac:dyDescent="0.3">
      <c r="A205" t="s">
        <v>213</v>
      </c>
      <c r="B205" t="s">
        <v>1018</v>
      </c>
      <c r="C205" t="s">
        <v>1027</v>
      </c>
      <c r="D205">
        <v>54</v>
      </c>
      <c r="E205">
        <v>12</v>
      </c>
      <c r="F205" s="3">
        <v>57773</v>
      </c>
      <c r="G205">
        <v>36</v>
      </c>
      <c r="H205">
        <v>1</v>
      </c>
      <c r="I205">
        <v>1</v>
      </c>
      <c r="J205">
        <v>8</v>
      </c>
      <c r="K205">
        <v>4.0999999999999996</v>
      </c>
      <c r="L205" s="3">
        <v>8.6</v>
      </c>
      <c r="M205" t="s">
        <v>1034</v>
      </c>
      <c r="N205">
        <v>65.569999999999993</v>
      </c>
    </row>
    <row r="206" spans="1:14" x14ac:dyDescent="0.3">
      <c r="A206" t="s">
        <v>214</v>
      </c>
      <c r="B206" t="s">
        <v>1017</v>
      </c>
      <c r="C206" t="s">
        <v>1024</v>
      </c>
      <c r="D206">
        <v>31</v>
      </c>
      <c r="E206">
        <v>9</v>
      </c>
      <c r="F206" s="3">
        <v>83532</v>
      </c>
      <c r="G206">
        <v>51</v>
      </c>
      <c r="H206">
        <v>3</v>
      </c>
      <c r="I206">
        <v>10</v>
      </c>
      <c r="J206">
        <v>39</v>
      </c>
      <c r="K206">
        <v>3</v>
      </c>
      <c r="L206" s="3">
        <v>5.8</v>
      </c>
      <c r="M206" t="s">
        <v>1036</v>
      </c>
      <c r="N206">
        <v>48.8</v>
      </c>
    </row>
    <row r="207" spans="1:14" x14ac:dyDescent="0.3">
      <c r="A207" t="s">
        <v>215</v>
      </c>
      <c r="B207" t="s">
        <v>1016</v>
      </c>
      <c r="C207" t="s">
        <v>1033</v>
      </c>
      <c r="D207">
        <v>43</v>
      </c>
      <c r="E207">
        <v>15</v>
      </c>
      <c r="F207" s="3">
        <v>71447</v>
      </c>
      <c r="G207">
        <v>53</v>
      </c>
      <c r="H207">
        <v>5</v>
      </c>
      <c r="I207">
        <v>15</v>
      </c>
      <c r="J207">
        <v>1</v>
      </c>
      <c r="K207">
        <v>3.1</v>
      </c>
      <c r="L207" s="3">
        <v>7.7</v>
      </c>
      <c r="M207" t="s">
        <v>1035</v>
      </c>
      <c r="N207">
        <v>63.83</v>
      </c>
    </row>
    <row r="208" spans="1:14" hidden="1" x14ac:dyDescent="0.3">
      <c r="A208" t="s">
        <v>216</v>
      </c>
      <c r="B208" t="s">
        <v>1015</v>
      </c>
      <c r="C208" t="s">
        <v>1020</v>
      </c>
      <c r="D208">
        <v>41</v>
      </c>
      <c r="E208">
        <v>0</v>
      </c>
      <c r="F208" s="3">
        <v>64119</v>
      </c>
      <c r="G208">
        <v>50</v>
      </c>
      <c r="H208">
        <v>5</v>
      </c>
      <c r="I208">
        <v>20</v>
      </c>
      <c r="J208">
        <v>37</v>
      </c>
      <c r="K208">
        <v>3.7</v>
      </c>
      <c r="L208" s="3">
        <v>8</v>
      </c>
      <c r="M208" t="s">
        <v>1034</v>
      </c>
      <c r="N208">
        <v>67.430000000000007</v>
      </c>
    </row>
    <row r="209" spans="1:14" x14ac:dyDescent="0.3">
      <c r="A209" t="s">
        <v>217</v>
      </c>
      <c r="B209" t="s">
        <v>1017</v>
      </c>
      <c r="C209" t="s">
        <v>1024</v>
      </c>
      <c r="D209">
        <v>32</v>
      </c>
      <c r="E209">
        <v>8</v>
      </c>
      <c r="F209" s="3">
        <v>66223</v>
      </c>
      <c r="G209">
        <v>54</v>
      </c>
      <c r="H209">
        <v>13</v>
      </c>
      <c r="I209">
        <v>12</v>
      </c>
      <c r="J209">
        <v>9</v>
      </c>
      <c r="K209">
        <v>4.5</v>
      </c>
      <c r="L209" s="3">
        <v>4.7</v>
      </c>
      <c r="M209" t="s">
        <v>1036</v>
      </c>
      <c r="N209">
        <v>63.37</v>
      </c>
    </row>
    <row r="210" spans="1:14" hidden="1" x14ac:dyDescent="0.3">
      <c r="A210" t="s">
        <v>218</v>
      </c>
      <c r="B210" t="s">
        <v>1014</v>
      </c>
      <c r="C210" t="s">
        <v>1025</v>
      </c>
      <c r="D210">
        <v>34</v>
      </c>
      <c r="E210">
        <v>0</v>
      </c>
      <c r="F210" s="3">
        <v>53903</v>
      </c>
      <c r="G210">
        <v>45</v>
      </c>
      <c r="H210">
        <v>7</v>
      </c>
      <c r="I210">
        <v>4</v>
      </c>
      <c r="J210">
        <v>26</v>
      </c>
      <c r="K210">
        <v>4.0999999999999996</v>
      </c>
      <c r="L210" s="3">
        <v>5.9</v>
      </c>
      <c r="M210" t="s">
        <v>1036</v>
      </c>
      <c r="N210">
        <v>59.37</v>
      </c>
    </row>
    <row r="211" spans="1:14" hidden="1" x14ac:dyDescent="0.3">
      <c r="A211" t="s">
        <v>219</v>
      </c>
      <c r="B211" t="s">
        <v>1017</v>
      </c>
      <c r="C211" t="s">
        <v>1030</v>
      </c>
      <c r="D211">
        <v>25</v>
      </c>
      <c r="E211">
        <v>1</v>
      </c>
      <c r="F211" s="3">
        <v>58992</v>
      </c>
      <c r="G211">
        <v>41</v>
      </c>
      <c r="H211">
        <v>9</v>
      </c>
      <c r="I211">
        <v>10</v>
      </c>
      <c r="J211">
        <v>30</v>
      </c>
      <c r="K211">
        <v>3.6</v>
      </c>
      <c r="L211" s="3">
        <v>5.2</v>
      </c>
      <c r="M211" t="s">
        <v>1036</v>
      </c>
      <c r="N211">
        <v>57</v>
      </c>
    </row>
    <row r="212" spans="1:14" x14ac:dyDescent="0.3">
      <c r="A212" t="s">
        <v>220</v>
      </c>
      <c r="B212" t="s">
        <v>1017</v>
      </c>
      <c r="C212" t="s">
        <v>1030</v>
      </c>
      <c r="D212">
        <v>43</v>
      </c>
      <c r="E212">
        <v>11</v>
      </c>
      <c r="F212" s="3">
        <v>69293</v>
      </c>
      <c r="G212">
        <v>55</v>
      </c>
      <c r="H212">
        <v>13</v>
      </c>
      <c r="I212">
        <v>22</v>
      </c>
      <c r="J212">
        <v>16</v>
      </c>
      <c r="K212">
        <v>3.8</v>
      </c>
      <c r="L212" s="3">
        <v>4.3</v>
      </c>
      <c r="M212" t="s">
        <v>1036</v>
      </c>
      <c r="N212">
        <v>58.87</v>
      </c>
    </row>
    <row r="213" spans="1:14" x14ac:dyDescent="0.3">
      <c r="A213" t="s">
        <v>221</v>
      </c>
      <c r="B213" t="s">
        <v>1016</v>
      </c>
      <c r="C213" t="s">
        <v>1033</v>
      </c>
      <c r="D213">
        <v>41</v>
      </c>
      <c r="E213">
        <v>7</v>
      </c>
      <c r="F213" s="3">
        <v>86701</v>
      </c>
      <c r="G213">
        <v>44</v>
      </c>
      <c r="H213">
        <v>13</v>
      </c>
      <c r="I213">
        <v>9</v>
      </c>
      <c r="J213">
        <v>13</v>
      </c>
      <c r="K213">
        <v>4.0999999999999996</v>
      </c>
      <c r="L213" s="3">
        <v>6.4</v>
      </c>
      <c r="M213" t="s">
        <v>1035</v>
      </c>
      <c r="N213">
        <v>72.37</v>
      </c>
    </row>
    <row r="214" spans="1:14" x14ac:dyDescent="0.3">
      <c r="A214" t="s">
        <v>222</v>
      </c>
      <c r="B214" t="s">
        <v>1016</v>
      </c>
      <c r="C214" t="s">
        <v>1033</v>
      </c>
      <c r="D214">
        <v>39</v>
      </c>
      <c r="E214">
        <v>9</v>
      </c>
      <c r="F214" s="3">
        <v>32987</v>
      </c>
      <c r="G214">
        <v>53</v>
      </c>
      <c r="H214">
        <v>11</v>
      </c>
      <c r="I214">
        <v>17</v>
      </c>
      <c r="J214">
        <v>24</v>
      </c>
      <c r="K214">
        <v>4.7</v>
      </c>
      <c r="L214" s="3">
        <v>5.8</v>
      </c>
      <c r="M214" t="s">
        <v>1036</v>
      </c>
      <c r="N214">
        <v>67.23</v>
      </c>
    </row>
    <row r="215" spans="1:14" hidden="1" x14ac:dyDescent="0.3">
      <c r="A215" t="s">
        <v>223</v>
      </c>
      <c r="B215" t="s">
        <v>1018</v>
      </c>
      <c r="C215" t="s">
        <v>1027</v>
      </c>
      <c r="D215">
        <v>40</v>
      </c>
      <c r="E215">
        <v>1</v>
      </c>
      <c r="F215" s="3">
        <v>43850</v>
      </c>
      <c r="G215">
        <v>37</v>
      </c>
      <c r="H215">
        <v>6</v>
      </c>
      <c r="I215">
        <v>14</v>
      </c>
      <c r="J215">
        <v>16</v>
      </c>
      <c r="K215">
        <v>4.2</v>
      </c>
      <c r="L215" s="3">
        <v>4.5</v>
      </c>
      <c r="M215" t="s">
        <v>1036</v>
      </c>
      <c r="N215">
        <v>49.6</v>
      </c>
    </row>
    <row r="216" spans="1:14" hidden="1" x14ac:dyDescent="0.3">
      <c r="A216" t="s">
        <v>224</v>
      </c>
      <c r="B216" t="s">
        <v>1016</v>
      </c>
      <c r="C216" t="s">
        <v>1022</v>
      </c>
      <c r="D216">
        <v>39</v>
      </c>
      <c r="E216">
        <v>4</v>
      </c>
      <c r="F216" s="3">
        <v>32158</v>
      </c>
      <c r="G216">
        <v>54</v>
      </c>
      <c r="H216">
        <v>12</v>
      </c>
      <c r="I216">
        <v>18</v>
      </c>
      <c r="J216">
        <v>15</v>
      </c>
      <c r="K216">
        <v>2.7</v>
      </c>
      <c r="L216" s="3">
        <v>7.7</v>
      </c>
      <c r="M216" t="s">
        <v>1035</v>
      </c>
      <c r="N216">
        <v>74.3</v>
      </c>
    </row>
    <row r="217" spans="1:14" hidden="1" x14ac:dyDescent="0.3">
      <c r="A217" t="s">
        <v>225</v>
      </c>
      <c r="B217" t="s">
        <v>1018</v>
      </c>
      <c r="C217" t="s">
        <v>1028</v>
      </c>
      <c r="D217">
        <v>36</v>
      </c>
      <c r="E217">
        <v>1</v>
      </c>
      <c r="F217" s="3">
        <v>31566</v>
      </c>
      <c r="G217">
        <v>48</v>
      </c>
      <c r="H217">
        <v>6</v>
      </c>
      <c r="I217">
        <v>22</v>
      </c>
      <c r="J217">
        <v>30</v>
      </c>
      <c r="K217">
        <v>2.2999999999999998</v>
      </c>
      <c r="L217" s="3">
        <v>8.4</v>
      </c>
      <c r="M217" t="s">
        <v>1034</v>
      </c>
      <c r="N217">
        <v>67.3</v>
      </c>
    </row>
    <row r="218" spans="1:14" x14ac:dyDescent="0.3">
      <c r="A218" t="s">
        <v>226</v>
      </c>
      <c r="B218" t="s">
        <v>1015</v>
      </c>
      <c r="C218" t="s">
        <v>1021</v>
      </c>
      <c r="D218">
        <v>32</v>
      </c>
      <c r="E218">
        <v>6</v>
      </c>
      <c r="F218" s="3">
        <v>67787</v>
      </c>
      <c r="G218">
        <v>50</v>
      </c>
      <c r="H218">
        <v>8</v>
      </c>
      <c r="I218">
        <v>20</v>
      </c>
      <c r="J218">
        <v>12</v>
      </c>
      <c r="K218">
        <v>4.3</v>
      </c>
      <c r="L218" s="3">
        <v>5</v>
      </c>
      <c r="M218" t="s">
        <v>1036</v>
      </c>
      <c r="N218">
        <v>56.23</v>
      </c>
    </row>
    <row r="219" spans="1:14" hidden="1" x14ac:dyDescent="0.3">
      <c r="A219" t="s">
        <v>227</v>
      </c>
      <c r="B219" t="s">
        <v>1014</v>
      </c>
      <c r="C219" t="s">
        <v>1019</v>
      </c>
      <c r="D219">
        <v>27</v>
      </c>
      <c r="E219">
        <v>5</v>
      </c>
      <c r="F219" s="3">
        <v>62626</v>
      </c>
      <c r="G219">
        <v>42</v>
      </c>
      <c r="H219">
        <v>9</v>
      </c>
      <c r="I219">
        <v>23</v>
      </c>
      <c r="J219">
        <v>2</v>
      </c>
      <c r="K219">
        <v>4.7</v>
      </c>
      <c r="L219" s="3">
        <v>4.2</v>
      </c>
      <c r="M219" t="s">
        <v>1036</v>
      </c>
      <c r="N219">
        <v>54.3</v>
      </c>
    </row>
    <row r="220" spans="1:14" x14ac:dyDescent="0.3">
      <c r="A220" t="s">
        <v>228</v>
      </c>
      <c r="B220" t="s">
        <v>1014</v>
      </c>
      <c r="C220" t="s">
        <v>1031</v>
      </c>
      <c r="D220">
        <v>47</v>
      </c>
      <c r="E220">
        <v>15</v>
      </c>
      <c r="F220" s="3">
        <v>37210</v>
      </c>
      <c r="G220">
        <v>44</v>
      </c>
      <c r="H220">
        <v>15</v>
      </c>
      <c r="I220">
        <v>1</v>
      </c>
      <c r="J220">
        <v>0</v>
      </c>
      <c r="K220">
        <v>2.9</v>
      </c>
      <c r="L220" s="3">
        <v>7.2</v>
      </c>
      <c r="M220" t="s">
        <v>1035</v>
      </c>
      <c r="N220">
        <v>76.900000000000006</v>
      </c>
    </row>
    <row r="221" spans="1:14" hidden="1" x14ac:dyDescent="0.3">
      <c r="A221" t="s">
        <v>229</v>
      </c>
      <c r="B221" t="s">
        <v>1016</v>
      </c>
      <c r="C221" t="s">
        <v>1033</v>
      </c>
      <c r="D221">
        <v>51</v>
      </c>
      <c r="E221">
        <v>15</v>
      </c>
      <c r="F221" s="3">
        <v>83278</v>
      </c>
      <c r="G221">
        <v>39</v>
      </c>
      <c r="H221">
        <v>14</v>
      </c>
      <c r="I221">
        <v>16</v>
      </c>
      <c r="J221">
        <v>29</v>
      </c>
      <c r="K221">
        <v>2.8</v>
      </c>
      <c r="L221" s="3">
        <v>8.6999999999999993</v>
      </c>
      <c r="M221" t="s">
        <v>1034</v>
      </c>
      <c r="N221">
        <v>83.93</v>
      </c>
    </row>
    <row r="222" spans="1:14" hidden="1" x14ac:dyDescent="0.3">
      <c r="A222" t="s">
        <v>230</v>
      </c>
      <c r="B222" t="s">
        <v>1018</v>
      </c>
      <c r="C222" t="s">
        <v>1028</v>
      </c>
      <c r="D222">
        <v>51</v>
      </c>
      <c r="E222">
        <v>8</v>
      </c>
      <c r="F222" s="3">
        <v>72094</v>
      </c>
      <c r="G222">
        <v>40</v>
      </c>
      <c r="H222">
        <v>1</v>
      </c>
      <c r="I222">
        <v>23</v>
      </c>
      <c r="J222">
        <v>21</v>
      </c>
      <c r="K222">
        <v>4.4000000000000004</v>
      </c>
      <c r="L222" s="3">
        <v>7</v>
      </c>
      <c r="M222" t="s">
        <v>1035</v>
      </c>
      <c r="N222">
        <v>56.87</v>
      </c>
    </row>
    <row r="223" spans="1:14" x14ac:dyDescent="0.3">
      <c r="A223" t="s">
        <v>231</v>
      </c>
      <c r="B223" t="s">
        <v>1018</v>
      </c>
      <c r="C223" t="s">
        <v>1032</v>
      </c>
      <c r="D223">
        <v>47</v>
      </c>
      <c r="E223">
        <v>13</v>
      </c>
      <c r="F223" s="3">
        <v>58769</v>
      </c>
      <c r="G223">
        <v>45</v>
      </c>
      <c r="H223">
        <v>2</v>
      </c>
      <c r="I223">
        <v>12</v>
      </c>
      <c r="J223">
        <v>6</v>
      </c>
      <c r="K223">
        <v>2.6</v>
      </c>
      <c r="L223" s="3">
        <v>4</v>
      </c>
      <c r="M223" t="s">
        <v>1036</v>
      </c>
      <c r="N223">
        <v>35.130000000000003</v>
      </c>
    </row>
    <row r="224" spans="1:14" hidden="1" x14ac:dyDescent="0.3">
      <c r="A224" t="s">
        <v>232</v>
      </c>
      <c r="B224" t="s">
        <v>1018</v>
      </c>
      <c r="C224" t="s">
        <v>1027</v>
      </c>
      <c r="D224">
        <v>22</v>
      </c>
      <c r="E224">
        <v>1</v>
      </c>
      <c r="F224" s="3">
        <v>50137</v>
      </c>
      <c r="G224">
        <v>42</v>
      </c>
      <c r="H224">
        <v>8</v>
      </c>
      <c r="I224">
        <v>24</v>
      </c>
      <c r="J224">
        <v>17</v>
      </c>
      <c r="K224">
        <v>4.9000000000000004</v>
      </c>
      <c r="L224" s="3">
        <v>5.0999999999999996</v>
      </c>
      <c r="M224" t="s">
        <v>1036</v>
      </c>
      <c r="N224">
        <v>58.63</v>
      </c>
    </row>
    <row r="225" spans="1:14" hidden="1" x14ac:dyDescent="0.3">
      <c r="A225" t="s">
        <v>233</v>
      </c>
      <c r="B225" t="s">
        <v>1015</v>
      </c>
      <c r="C225" t="s">
        <v>1029</v>
      </c>
      <c r="D225">
        <v>22</v>
      </c>
      <c r="E225">
        <v>1</v>
      </c>
      <c r="F225" s="3">
        <v>67839</v>
      </c>
      <c r="G225">
        <v>46</v>
      </c>
      <c r="H225">
        <v>12</v>
      </c>
      <c r="I225">
        <v>7</v>
      </c>
      <c r="J225">
        <v>3</v>
      </c>
      <c r="K225">
        <v>4</v>
      </c>
      <c r="L225" s="3">
        <v>6.3</v>
      </c>
      <c r="M225" t="s">
        <v>1035</v>
      </c>
      <c r="N225">
        <v>69.8</v>
      </c>
    </row>
    <row r="226" spans="1:14" hidden="1" x14ac:dyDescent="0.3">
      <c r="A226" t="s">
        <v>234</v>
      </c>
      <c r="B226" t="s">
        <v>1017</v>
      </c>
      <c r="C226" t="s">
        <v>1030</v>
      </c>
      <c r="D226">
        <v>54</v>
      </c>
      <c r="E226">
        <v>9</v>
      </c>
      <c r="F226" s="3">
        <v>70238</v>
      </c>
      <c r="G226">
        <v>38</v>
      </c>
      <c r="H226">
        <v>11</v>
      </c>
      <c r="I226">
        <v>9</v>
      </c>
      <c r="J226">
        <v>23</v>
      </c>
      <c r="K226">
        <v>3.8</v>
      </c>
      <c r="L226" s="3">
        <v>4.5</v>
      </c>
      <c r="M226" t="s">
        <v>1036</v>
      </c>
      <c r="N226">
        <v>56.73</v>
      </c>
    </row>
    <row r="227" spans="1:14" x14ac:dyDescent="0.3">
      <c r="A227" t="s">
        <v>235</v>
      </c>
      <c r="B227" t="s">
        <v>1017</v>
      </c>
      <c r="C227" t="s">
        <v>1024</v>
      </c>
      <c r="D227">
        <v>31</v>
      </c>
      <c r="E227">
        <v>7</v>
      </c>
      <c r="F227" s="3">
        <v>74003</v>
      </c>
      <c r="G227">
        <v>54</v>
      </c>
      <c r="H227">
        <v>6</v>
      </c>
      <c r="I227">
        <v>13</v>
      </c>
      <c r="J227">
        <v>35</v>
      </c>
      <c r="K227">
        <v>4.7</v>
      </c>
      <c r="L227" s="3">
        <v>8.3000000000000007</v>
      </c>
      <c r="M227" t="s">
        <v>1034</v>
      </c>
      <c r="N227">
        <v>73.900000000000006</v>
      </c>
    </row>
    <row r="228" spans="1:14" hidden="1" x14ac:dyDescent="0.3">
      <c r="A228" t="s">
        <v>236</v>
      </c>
      <c r="B228" t="s">
        <v>1018</v>
      </c>
      <c r="C228" t="s">
        <v>1028</v>
      </c>
      <c r="D228">
        <v>37</v>
      </c>
      <c r="E228">
        <v>2</v>
      </c>
      <c r="F228" s="3">
        <v>59439</v>
      </c>
      <c r="G228">
        <v>49</v>
      </c>
      <c r="H228">
        <v>9</v>
      </c>
      <c r="I228">
        <v>22</v>
      </c>
      <c r="J228">
        <v>23</v>
      </c>
      <c r="K228">
        <v>2.2000000000000002</v>
      </c>
      <c r="L228" s="3">
        <v>6.9</v>
      </c>
      <c r="M228" t="s">
        <v>1035</v>
      </c>
      <c r="N228">
        <v>63</v>
      </c>
    </row>
    <row r="229" spans="1:14" x14ac:dyDescent="0.3">
      <c r="A229" t="s">
        <v>237</v>
      </c>
      <c r="B229" t="s">
        <v>1015</v>
      </c>
      <c r="C229" t="s">
        <v>1020</v>
      </c>
      <c r="D229">
        <v>54</v>
      </c>
      <c r="E229">
        <v>6</v>
      </c>
      <c r="F229" s="3">
        <v>62532</v>
      </c>
      <c r="G229">
        <v>52</v>
      </c>
      <c r="H229">
        <v>3</v>
      </c>
      <c r="I229">
        <v>5</v>
      </c>
      <c r="J229">
        <v>20</v>
      </c>
      <c r="K229">
        <v>4.5999999999999996</v>
      </c>
      <c r="L229" s="3">
        <v>6.1</v>
      </c>
      <c r="M229" t="s">
        <v>1035</v>
      </c>
      <c r="N229">
        <v>55.4</v>
      </c>
    </row>
    <row r="230" spans="1:14" hidden="1" x14ac:dyDescent="0.3">
      <c r="A230" t="s">
        <v>238</v>
      </c>
      <c r="B230" t="s">
        <v>1018</v>
      </c>
      <c r="C230" t="s">
        <v>1032</v>
      </c>
      <c r="D230">
        <v>53</v>
      </c>
      <c r="E230">
        <v>2</v>
      </c>
      <c r="F230" s="3">
        <v>83909</v>
      </c>
      <c r="G230">
        <v>51</v>
      </c>
      <c r="H230">
        <v>8</v>
      </c>
      <c r="I230">
        <v>25</v>
      </c>
      <c r="J230">
        <v>3</v>
      </c>
      <c r="K230">
        <v>3.4</v>
      </c>
      <c r="L230" s="3">
        <v>6.6</v>
      </c>
      <c r="M230" t="s">
        <v>1035</v>
      </c>
      <c r="N230">
        <v>63.13</v>
      </c>
    </row>
    <row r="231" spans="1:14" hidden="1" x14ac:dyDescent="0.3">
      <c r="A231" t="s">
        <v>239</v>
      </c>
      <c r="B231" t="s">
        <v>1015</v>
      </c>
      <c r="C231" t="s">
        <v>1029</v>
      </c>
      <c r="D231">
        <v>25</v>
      </c>
      <c r="E231">
        <v>4</v>
      </c>
      <c r="F231" s="3">
        <v>55302</v>
      </c>
      <c r="G231">
        <v>44</v>
      </c>
      <c r="H231">
        <v>12</v>
      </c>
      <c r="I231">
        <v>0</v>
      </c>
      <c r="J231">
        <v>25</v>
      </c>
      <c r="K231">
        <v>2.8</v>
      </c>
      <c r="L231" s="3">
        <v>3</v>
      </c>
      <c r="M231" t="s">
        <v>1036</v>
      </c>
      <c r="N231">
        <v>46.4</v>
      </c>
    </row>
    <row r="232" spans="1:14" hidden="1" x14ac:dyDescent="0.3">
      <c r="A232" t="s">
        <v>240</v>
      </c>
      <c r="B232" t="s">
        <v>1015</v>
      </c>
      <c r="C232" t="s">
        <v>1029</v>
      </c>
      <c r="D232">
        <v>26</v>
      </c>
      <c r="E232">
        <v>0</v>
      </c>
      <c r="F232" s="3">
        <v>52767</v>
      </c>
      <c r="G232">
        <v>46</v>
      </c>
      <c r="H232">
        <v>12</v>
      </c>
      <c r="I232">
        <v>2</v>
      </c>
      <c r="J232">
        <v>34</v>
      </c>
      <c r="K232">
        <v>5</v>
      </c>
      <c r="L232" s="3">
        <v>9.5</v>
      </c>
      <c r="M232" t="s">
        <v>1034</v>
      </c>
      <c r="N232">
        <v>92</v>
      </c>
    </row>
    <row r="233" spans="1:14" hidden="1" x14ac:dyDescent="0.3">
      <c r="A233" t="s">
        <v>241</v>
      </c>
      <c r="B233" t="s">
        <v>1017</v>
      </c>
      <c r="C233" t="s">
        <v>1026</v>
      </c>
      <c r="D233">
        <v>24</v>
      </c>
      <c r="E233">
        <v>2</v>
      </c>
      <c r="F233" s="3">
        <v>51795</v>
      </c>
      <c r="G233">
        <v>40</v>
      </c>
      <c r="H233">
        <v>13</v>
      </c>
      <c r="I233">
        <v>4</v>
      </c>
      <c r="J233">
        <v>26</v>
      </c>
      <c r="K233">
        <v>3.1</v>
      </c>
      <c r="L233" s="3">
        <v>9.1999999999999993</v>
      </c>
      <c r="M233" t="s">
        <v>1034</v>
      </c>
      <c r="N233">
        <v>86.17</v>
      </c>
    </row>
    <row r="234" spans="1:14" hidden="1" x14ac:dyDescent="0.3">
      <c r="A234" t="s">
        <v>242</v>
      </c>
      <c r="B234" t="s">
        <v>1017</v>
      </c>
      <c r="C234" t="s">
        <v>1026</v>
      </c>
      <c r="D234">
        <v>46</v>
      </c>
      <c r="E234">
        <v>2</v>
      </c>
      <c r="F234" s="3">
        <v>69743</v>
      </c>
      <c r="G234">
        <v>52</v>
      </c>
      <c r="H234">
        <v>3</v>
      </c>
      <c r="I234">
        <v>20</v>
      </c>
      <c r="J234">
        <v>22</v>
      </c>
      <c r="K234">
        <v>2.4</v>
      </c>
      <c r="L234" s="3">
        <v>9.9</v>
      </c>
      <c r="M234" t="s">
        <v>1034</v>
      </c>
      <c r="N234">
        <v>71.599999999999994</v>
      </c>
    </row>
    <row r="235" spans="1:14" hidden="1" x14ac:dyDescent="0.3">
      <c r="A235" t="s">
        <v>243</v>
      </c>
      <c r="B235" t="s">
        <v>1015</v>
      </c>
      <c r="C235" t="s">
        <v>1021</v>
      </c>
      <c r="D235">
        <v>30</v>
      </c>
      <c r="E235">
        <v>3</v>
      </c>
      <c r="F235" s="3">
        <v>79710</v>
      </c>
      <c r="G235">
        <v>35</v>
      </c>
      <c r="H235">
        <v>13</v>
      </c>
      <c r="I235">
        <v>0</v>
      </c>
      <c r="J235">
        <v>19</v>
      </c>
      <c r="K235">
        <v>3.4</v>
      </c>
      <c r="L235" s="3">
        <v>8</v>
      </c>
      <c r="M235" t="s">
        <v>1034</v>
      </c>
      <c r="N235">
        <v>79.87</v>
      </c>
    </row>
    <row r="236" spans="1:14" x14ac:dyDescent="0.3">
      <c r="A236" t="s">
        <v>244</v>
      </c>
      <c r="B236" t="s">
        <v>1015</v>
      </c>
      <c r="C236" t="s">
        <v>1029</v>
      </c>
      <c r="D236">
        <v>46</v>
      </c>
      <c r="E236">
        <v>7</v>
      </c>
      <c r="F236" s="3">
        <v>41220</v>
      </c>
      <c r="G236">
        <v>49</v>
      </c>
      <c r="H236">
        <v>6</v>
      </c>
      <c r="I236">
        <v>4</v>
      </c>
      <c r="J236">
        <v>17</v>
      </c>
      <c r="K236">
        <v>2.6</v>
      </c>
      <c r="L236" s="3">
        <v>9.1</v>
      </c>
      <c r="M236" t="s">
        <v>1034</v>
      </c>
      <c r="N236">
        <v>72.400000000000006</v>
      </c>
    </row>
    <row r="237" spans="1:14" hidden="1" x14ac:dyDescent="0.3">
      <c r="A237" t="s">
        <v>245</v>
      </c>
      <c r="B237" t="s">
        <v>1014</v>
      </c>
      <c r="C237" t="s">
        <v>1025</v>
      </c>
      <c r="D237">
        <v>48</v>
      </c>
      <c r="E237">
        <v>0</v>
      </c>
      <c r="F237" s="3">
        <v>40772</v>
      </c>
      <c r="G237">
        <v>41</v>
      </c>
      <c r="H237">
        <v>2</v>
      </c>
      <c r="I237">
        <v>3</v>
      </c>
      <c r="J237">
        <v>38</v>
      </c>
      <c r="K237">
        <v>2.1</v>
      </c>
      <c r="L237" s="3">
        <v>7.2</v>
      </c>
      <c r="M237" t="s">
        <v>1035</v>
      </c>
      <c r="N237">
        <v>52.83</v>
      </c>
    </row>
    <row r="238" spans="1:14" hidden="1" x14ac:dyDescent="0.3">
      <c r="A238" t="s">
        <v>246</v>
      </c>
      <c r="B238" t="s">
        <v>1014</v>
      </c>
      <c r="C238" t="s">
        <v>1019</v>
      </c>
      <c r="D238">
        <v>37</v>
      </c>
      <c r="E238">
        <v>1</v>
      </c>
      <c r="F238" s="3">
        <v>51362</v>
      </c>
      <c r="G238">
        <v>49</v>
      </c>
      <c r="H238">
        <v>4</v>
      </c>
      <c r="I238">
        <v>17</v>
      </c>
      <c r="J238">
        <v>13</v>
      </c>
      <c r="K238">
        <v>4.3</v>
      </c>
      <c r="L238" s="3">
        <v>8.4</v>
      </c>
      <c r="M238" t="s">
        <v>1034</v>
      </c>
      <c r="N238">
        <v>69.97</v>
      </c>
    </row>
    <row r="239" spans="1:14" x14ac:dyDescent="0.3">
      <c r="A239" t="s">
        <v>247</v>
      </c>
      <c r="B239" t="s">
        <v>1015</v>
      </c>
      <c r="C239" t="s">
        <v>1029</v>
      </c>
      <c r="D239">
        <v>40</v>
      </c>
      <c r="E239">
        <v>7</v>
      </c>
      <c r="F239" s="3">
        <v>78463</v>
      </c>
      <c r="G239">
        <v>53</v>
      </c>
      <c r="H239">
        <v>6</v>
      </c>
      <c r="I239">
        <v>18</v>
      </c>
      <c r="J239">
        <v>38</v>
      </c>
      <c r="K239">
        <v>4.3</v>
      </c>
      <c r="L239" s="3">
        <v>8.6999999999999993</v>
      </c>
      <c r="M239" t="s">
        <v>1034</v>
      </c>
      <c r="N239">
        <v>75.099999999999994</v>
      </c>
    </row>
    <row r="240" spans="1:14" x14ac:dyDescent="0.3">
      <c r="A240" t="s">
        <v>248</v>
      </c>
      <c r="B240" t="s">
        <v>1016</v>
      </c>
      <c r="C240" t="s">
        <v>1022</v>
      </c>
      <c r="D240">
        <v>31</v>
      </c>
      <c r="E240">
        <v>10</v>
      </c>
      <c r="F240" s="3">
        <v>59160</v>
      </c>
      <c r="G240">
        <v>42</v>
      </c>
      <c r="H240">
        <v>7</v>
      </c>
      <c r="I240">
        <v>9</v>
      </c>
      <c r="J240">
        <v>17</v>
      </c>
      <c r="K240">
        <v>2.2000000000000002</v>
      </c>
      <c r="L240" s="3">
        <v>9.6</v>
      </c>
      <c r="M240" t="s">
        <v>1034</v>
      </c>
      <c r="N240">
        <v>75.87</v>
      </c>
    </row>
    <row r="241" spans="1:14" x14ac:dyDescent="0.3">
      <c r="A241" t="s">
        <v>249</v>
      </c>
      <c r="B241" t="s">
        <v>1018</v>
      </c>
      <c r="C241" t="s">
        <v>1032</v>
      </c>
      <c r="D241">
        <v>49</v>
      </c>
      <c r="E241">
        <v>15</v>
      </c>
      <c r="F241" s="3">
        <v>28072</v>
      </c>
      <c r="G241">
        <v>46</v>
      </c>
      <c r="H241">
        <v>11</v>
      </c>
      <c r="I241">
        <v>21</v>
      </c>
      <c r="J241">
        <v>24</v>
      </c>
      <c r="K241">
        <v>4.4000000000000004</v>
      </c>
      <c r="L241" s="3">
        <v>5.2</v>
      </c>
      <c r="M241" t="s">
        <v>1036</v>
      </c>
      <c r="N241">
        <v>62.73</v>
      </c>
    </row>
    <row r="242" spans="1:14" hidden="1" x14ac:dyDescent="0.3">
      <c r="A242" t="s">
        <v>250</v>
      </c>
      <c r="B242" t="s">
        <v>1017</v>
      </c>
      <c r="C242" t="s">
        <v>1024</v>
      </c>
      <c r="D242">
        <v>31</v>
      </c>
      <c r="E242">
        <v>4</v>
      </c>
      <c r="F242" s="3">
        <v>49671</v>
      </c>
      <c r="G242">
        <v>40</v>
      </c>
      <c r="H242">
        <v>13</v>
      </c>
      <c r="I242">
        <v>17</v>
      </c>
      <c r="J242">
        <v>30</v>
      </c>
      <c r="K242">
        <v>2.7</v>
      </c>
      <c r="L242" s="3">
        <v>4.5999999999999996</v>
      </c>
      <c r="M242" t="s">
        <v>1036</v>
      </c>
      <c r="N242">
        <v>57.37</v>
      </c>
    </row>
    <row r="243" spans="1:14" hidden="1" x14ac:dyDescent="0.3">
      <c r="A243" t="s">
        <v>251</v>
      </c>
      <c r="B243" t="s">
        <v>1018</v>
      </c>
      <c r="C243" t="s">
        <v>1028</v>
      </c>
      <c r="D243">
        <v>51</v>
      </c>
      <c r="E243">
        <v>1</v>
      </c>
      <c r="F243" s="3">
        <v>61856</v>
      </c>
      <c r="G243">
        <v>48</v>
      </c>
      <c r="H243">
        <v>7</v>
      </c>
      <c r="I243">
        <v>17</v>
      </c>
      <c r="J243">
        <v>33</v>
      </c>
      <c r="K243">
        <v>2.4</v>
      </c>
      <c r="L243" s="3">
        <v>4.7</v>
      </c>
      <c r="M243" t="s">
        <v>1036</v>
      </c>
      <c r="N243">
        <v>47.07</v>
      </c>
    </row>
    <row r="244" spans="1:14" hidden="1" x14ac:dyDescent="0.3">
      <c r="A244" t="s">
        <v>252</v>
      </c>
      <c r="B244" t="s">
        <v>1016</v>
      </c>
      <c r="C244" t="s">
        <v>1022</v>
      </c>
      <c r="D244">
        <v>27</v>
      </c>
      <c r="E244">
        <v>3</v>
      </c>
      <c r="F244" s="3">
        <v>80517</v>
      </c>
      <c r="G244">
        <v>46</v>
      </c>
      <c r="H244">
        <v>2</v>
      </c>
      <c r="I244">
        <v>17</v>
      </c>
      <c r="J244">
        <v>12</v>
      </c>
      <c r="K244">
        <v>2.2000000000000002</v>
      </c>
      <c r="L244" s="3">
        <v>5.6</v>
      </c>
      <c r="M244" t="s">
        <v>1036</v>
      </c>
      <c r="N244">
        <v>43.53</v>
      </c>
    </row>
    <row r="245" spans="1:14" hidden="1" x14ac:dyDescent="0.3">
      <c r="A245" t="s">
        <v>253</v>
      </c>
      <c r="B245" t="s">
        <v>1015</v>
      </c>
      <c r="C245" t="s">
        <v>1021</v>
      </c>
      <c r="D245">
        <v>24</v>
      </c>
      <c r="E245">
        <v>0</v>
      </c>
      <c r="F245" s="3">
        <v>37331</v>
      </c>
      <c r="G245">
        <v>53</v>
      </c>
      <c r="H245">
        <v>12</v>
      </c>
      <c r="I245">
        <v>21</v>
      </c>
      <c r="J245">
        <v>35</v>
      </c>
      <c r="K245">
        <v>2.7</v>
      </c>
      <c r="L245" s="3">
        <v>4.5</v>
      </c>
      <c r="M245" t="s">
        <v>1036</v>
      </c>
      <c r="N245">
        <v>55.1</v>
      </c>
    </row>
    <row r="246" spans="1:14" hidden="1" x14ac:dyDescent="0.3">
      <c r="A246" t="s">
        <v>254</v>
      </c>
      <c r="B246" t="s">
        <v>1016</v>
      </c>
      <c r="C246" t="s">
        <v>1022</v>
      </c>
      <c r="D246">
        <v>22</v>
      </c>
      <c r="E246">
        <v>0</v>
      </c>
      <c r="F246" s="3">
        <v>86417</v>
      </c>
      <c r="G246">
        <v>41</v>
      </c>
      <c r="H246">
        <v>12</v>
      </c>
      <c r="I246">
        <v>3</v>
      </c>
      <c r="J246">
        <v>30</v>
      </c>
      <c r="K246">
        <v>4.7</v>
      </c>
      <c r="L246" s="3">
        <v>7.9</v>
      </c>
      <c r="M246" t="s">
        <v>1035</v>
      </c>
      <c r="N246">
        <v>81.5</v>
      </c>
    </row>
    <row r="247" spans="1:14" x14ac:dyDescent="0.3">
      <c r="A247" t="s">
        <v>255</v>
      </c>
      <c r="B247" t="s">
        <v>1018</v>
      </c>
      <c r="C247" t="s">
        <v>1032</v>
      </c>
      <c r="D247">
        <v>47</v>
      </c>
      <c r="E247">
        <v>7</v>
      </c>
      <c r="F247" s="3">
        <v>61181</v>
      </c>
      <c r="G247">
        <v>45</v>
      </c>
      <c r="H247">
        <v>13</v>
      </c>
      <c r="I247">
        <v>9</v>
      </c>
      <c r="J247">
        <v>24</v>
      </c>
      <c r="K247">
        <v>3.4</v>
      </c>
      <c r="L247" s="3">
        <v>7.5</v>
      </c>
      <c r="M247" t="s">
        <v>1035</v>
      </c>
      <c r="N247">
        <v>76.87</v>
      </c>
    </row>
    <row r="248" spans="1:14" hidden="1" x14ac:dyDescent="0.3">
      <c r="A248" t="s">
        <v>256</v>
      </c>
      <c r="B248" t="s">
        <v>1016</v>
      </c>
      <c r="C248" t="s">
        <v>1023</v>
      </c>
      <c r="D248">
        <v>45</v>
      </c>
      <c r="E248">
        <v>15</v>
      </c>
      <c r="F248" s="3">
        <v>55540</v>
      </c>
      <c r="G248">
        <v>38</v>
      </c>
      <c r="H248">
        <v>13</v>
      </c>
      <c r="I248">
        <v>23</v>
      </c>
      <c r="J248">
        <v>30</v>
      </c>
      <c r="K248">
        <v>4.3</v>
      </c>
      <c r="L248" s="3">
        <v>5.2</v>
      </c>
      <c r="M248" t="s">
        <v>1036</v>
      </c>
      <c r="N248">
        <v>65.77</v>
      </c>
    </row>
    <row r="249" spans="1:14" x14ac:dyDescent="0.3">
      <c r="A249" t="s">
        <v>257</v>
      </c>
      <c r="B249" t="s">
        <v>1016</v>
      </c>
      <c r="C249" t="s">
        <v>1022</v>
      </c>
      <c r="D249">
        <v>42</v>
      </c>
      <c r="E249">
        <v>13</v>
      </c>
      <c r="F249" s="3">
        <v>27996</v>
      </c>
      <c r="G249">
        <v>53</v>
      </c>
      <c r="H249">
        <v>14</v>
      </c>
      <c r="I249">
        <v>7</v>
      </c>
      <c r="J249">
        <v>9</v>
      </c>
      <c r="K249">
        <v>2</v>
      </c>
      <c r="L249" s="3">
        <v>6.9</v>
      </c>
      <c r="M249" t="s">
        <v>1035</v>
      </c>
      <c r="N249">
        <v>70.73</v>
      </c>
    </row>
    <row r="250" spans="1:14" x14ac:dyDescent="0.3">
      <c r="A250" t="s">
        <v>258</v>
      </c>
      <c r="B250" t="s">
        <v>1015</v>
      </c>
      <c r="C250" t="s">
        <v>1020</v>
      </c>
      <c r="D250">
        <v>48</v>
      </c>
      <c r="E250">
        <v>9</v>
      </c>
      <c r="F250" s="3">
        <v>34988</v>
      </c>
      <c r="G250">
        <v>41</v>
      </c>
      <c r="H250">
        <v>6</v>
      </c>
      <c r="I250">
        <v>7</v>
      </c>
      <c r="J250">
        <v>24</v>
      </c>
      <c r="K250">
        <v>3.7</v>
      </c>
      <c r="L250" s="3">
        <v>4.7</v>
      </c>
      <c r="M250" t="s">
        <v>1036</v>
      </c>
      <c r="N250">
        <v>49.3</v>
      </c>
    </row>
    <row r="251" spans="1:14" x14ac:dyDescent="0.3">
      <c r="A251" t="s">
        <v>259</v>
      </c>
      <c r="B251" t="s">
        <v>1016</v>
      </c>
      <c r="C251" t="s">
        <v>1023</v>
      </c>
      <c r="D251">
        <v>38</v>
      </c>
      <c r="E251">
        <v>15</v>
      </c>
      <c r="F251" s="3">
        <v>88341</v>
      </c>
      <c r="G251">
        <v>55</v>
      </c>
      <c r="H251">
        <v>12</v>
      </c>
      <c r="I251">
        <v>15</v>
      </c>
      <c r="J251">
        <v>29</v>
      </c>
      <c r="K251">
        <v>2.5</v>
      </c>
      <c r="L251" s="3">
        <v>8.6</v>
      </c>
      <c r="M251" t="s">
        <v>1034</v>
      </c>
      <c r="N251">
        <v>79.099999999999994</v>
      </c>
    </row>
    <row r="252" spans="1:14" hidden="1" x14ac:dyDescent="0.3">
      <c r="A252" t="s">
        <v>260</v>
      </c>
      <c r="B252" t="s">
        <v>1018</v>
      </c>
      <c r="C252" t="s">
        <v>1027</v>
      </c>
      <c r="D252">
        <v>53</v>
      </c>
      <c r="E252">
        <v>5</v>
      </c>
      <c r="F252" s="3">
        <v>85089</v>
      </c>
      <c r="G252">
        <v>52</v>
      </c>
      <c r="H252">
        <v>11</v>
      </c>
      <c r="I252">
        <v>1</v>
      </c>
      <c r="J252">
        <v>33</v>
      </c>
      <c r="K252">
        <v>2.1</v>
      </c>
      <c r="L252" s="3">
        <v>8.9</v>
      </c>
      <c r="M252" t="s">
        <v>1034</v>
      </c>
      <c r="N252">
        <v>78.03</v>
      </c>
    </row>
    <row r="253" spans="1:14" hidden="1" x14ac:dyDescent="0.3">
      <c r="A253" t="s">
        <v>261</v>
      </c>
      <c r="B253" t="s">
        <v>1014</v>
      </c>
      <c r="C253" t="s">
        <v>1031</v>
      </c>
      <c r="D253">
        <v>22</v>
      </c>
      <c r="E253">
        <v>1</v>
      </c>
      <c r="F253" s="3">
        <v>34010</v>
      </c>
      <c r="G253">
        <v>55</v>
      </c>
      <c r="H253">
        <v>4</v>
      </c>
      <c r="I253">
        <v>2</v>
      </c>
      <c r="J253">
        <v>9</v>
      </c>
      <c r="K253">
        <v>2</v>
      </c>
      <c r="L253" s="3">
        <v>6.5</v>
      </c>
      <c r="M253" t="s">
        <v>1035</v>
      </c>
      <c r="N253">
        <v>51.67</v>
      </c>
    </row>
    <row r="254" spans="1:14" hidden="1" x14ac:dyDescent="0.3">
      <c r="A254" t="s">
        <v>262</v>
      </c>
      <c r="B254" t="s">
        <v>1014</v>
      </c>
      <c r="C254" t="s">
        <v>1031</v>
      </c>
      <c r="D254">
        <v>52</v>
      </c>
      <c r="E254">
        <v>15</v>
      </c>
      <c r="F254" s="3">
        <v>26030</v>
      </c>
      <c r="G254">
        <v>35</v>
      </c>
      <c r="H254">
        <v>9</v>
      </c>
      <c r="I254">
        <v>17</v>
      </c>
      <c r="J254">
        <v>26</v>
      </c>
      <c r="K254">
        <v>2</v>
      </c>
      <c r="L254" s="3">
        <v>6.7</v>
      </c>
      <c r="M254" t="s">
        <v>1035</v>
      </c>
      <c r="N254">
        <v>61.2</v>
      </c>
    </row>
    <row r="255" spans="1:14" hidden="1" x14ac:dyDescent="0.3">
      <c r="A255" t="s">
        <v>263</v>
      </c>
      <c r="B255" t="s">
        <v>1015</v>
      </c>
      <c r="C255" t="s">
        <v>1029</v>
      </c>
      <c r="D255">
        <v>40</v>
      </c>
      <c r="E255">
        <v>0</v>
      </c>
      <c r="F255" s="3">
        <v>57913</v>
      </c>
      <c r="G255">
        <v>48</v>
      </c>
      <c r="H255">
        <v>13</v>
      </c>
      <c r="I255">
        <v>5</v>
      </c>
      <c r="J255">
        <v>6</v>
      </c>
      <c r="K255">
        <v>4.8</v>
      </c>
      <c r="L255" s="3">
        <v>6.7</v>
      </c>
      <c r="M255" t="s">
        <v>1035</v>
      </c>
      <c r="N255">
        <v>76.27</v>
      </c>
    </row>
    <row r="256" spans="1:14" x14ac:dyDescent="0.3">
      <c r="A256" t="s">
        <v>264</v>
      </c>
      <c r="B256" t="s">
        <v>1018</v>
      </c>
      <c r="C256" t="s">
        <v>1032</v>
      </c>
      <c r="D256">
        <v>55</v>
      </c>
      <c r="E256">
        <v>8</v>
      </c>
      <c r="F256" s="3">
        <v>78425</v>
      </c>
      <c r="G256">
        <v>46</v>
      </c>
      <c r="H256">
        <v>5</v>
      </c>
      <c r="I256">
        <v>25</v>
      </c>
      <c r="J256">
        <v>25</v>
      </c>
      <c r="K256">
        <v>2.2000000000000002</v>
      </c>
      <c r="L256" s="3">
        <v>9.6999999999999993</v>
      </c>
      <c r="M256" t="s">
        <v>1034</v>
      </c>
      <c r="N256">
        <v>73.13</v>
      </c>
    </row>
    <row r="257" spans="1:14" hidden="1" x14ac:dyDescent="0.3">
      <c r="A257" t="s">
        <v>265</v>
      </c>
      <c r="B257" t="s">
        <v>1015</v>
      </c>
      <c r="C257" t="s">
        <v>1020</v>
      </c>
      <c r="D257">
        <v>37</v>
      </c>
      <c r="E257">
        <v>7</v>
      </c>
      <c r="F257" s="3">
        <v>44659</v>
      </c>
      <c r="G257">
        <v>37</v>
      </c>
      <c r="H257">
        <v>11</v>
      </c>
      <c r="I257">
        <v>20</v>
      </c>
      <c r="J257">
        <v>2</v>
      </c>
      <c r="K257">
        <v>2.2999999999999998</v>
      </c>
      <c r="L257" s="3">
        <v>5.7</v>
      </c>
      <c r="M257" t="s">
        <v>1036</v>
      </c>
      <c r="N257">
        <v>59.43</v>
      </c>
    </row>
    <row r="258" spans="1:14" hidden="1" x14ac:dyDescent="0.3">
      <c r="A258" t="s">
        <v>266</v>
      </c>
      <c r="B258" t="s">
        <v>1017</v>
      </c>
      <c r="C258" t="s">
        <v>1030</v>
      </c>
      <c r="D258">
        <v>25</v>
      </c>
      <c r="E258">
        <v>0</v>
      </c>
      <c r="F258" s="3">
        <v>71061</v>
      </c>
      <c r="G258">
        <v>40</v>
      </c>
      <c r="H258">
        <v>2</v>
      </c>
      <c r="I258">
        <v>15</v>
      </c>
      <c r="J258">
        <v>27</v>
      </c>
      <c r="K258">
        <v>3.9</v>
      </c>
      <c r="L258" s="3">
        <v>5.3</v>
      </c>
      <c r="M258" t="s">
        <v>1036</v>
      </c>
      <c r="N258">
        <v>46.83</v>
      </c>
    </row>
    <row r="259" spans="1:14" hidden="1" x14ac:dyDescent="0.3">
      <c r="A259" t="s">
        <v>267</v>
      </c>
      <c r="B259" t="s">
        <v>1015</v>
      </c>
      <c r="C259" t="s">
        <v>1021</v>
      </c>
      <c r="D259">
        <v>24</v>
      </c>
      <c r="E259">
        <v>1</v>
      </c>
      <c r="F259" s="3">
        <v>38855</v>
      </c>
      <c r="G259">
        <v>53</v>
      </c>
      <c r="H259">
        <v>8</v>
      </c>
      <c r="I259">
        <v>8</v>
      </c>
      <c r="J259">
        <v>2</v>
      </c>
      <c r="K259">
        <v>4.8</v>
      </c>
      <c r="L259" s="3">
        <v>7.8</v>
      </c>
      <c r="M259" t="s">
        <v>1035</v>
      </c>
      <c r="N259">
        <v>74.53</v>
      </c>
    </row>
    <row r="260" spans="1:14" hidden="1" x14ac:dyDescent="0.3">
      <c r="A260" t="s">
        <v>268</v>
      </c>
      <c r="B260" t="s">
        <v>1015</v>
      </c>
      <c r="C260" t="s">
        <v>1021</v>
      </c>
      <c r="D260">
        <v>24</v>
      </c>
      <c r="E260">
        <v>1</v>
      </c>
      <c r="F260" s="3">
        <v>85867</v>
      </c>
      <c r="G260">
        <v>45</v>
      </c>
      <c r="H260">
        <v>1</v>
      </c>
      <c r="I260">
        <v>6</v>
      </c>
      <c r="J260">
        <v>37</v>
      </c>
      <c r="K260">
        <v>2.4</v>
      </c>
      <c r="L260" s="3">
        <v>8.6999999999999993</v>
      </c>
      <c r="M260" t="s">
        <v>1034</v>
      </c>
      <c r="N260">
        <v>61.07</v>
      </c>
    </row>
    <row r="261" spans="1:14" hidden="1" x14ac:dyDescent="0.3">
      <c r="A261" t="s">
        <v>269</v>
      </c>
      <c r="B261" t="s">
        <v>1014</v>
      </c>
      <c r="C261" t="s">
        <v>1019</v>
      </c>
      <c r="D261">
        <v>41</v>
      </c>
      <c r="E261">
        <v>5</v>
      </c>
      <c r="F261" s="3">
        <v>61959</v>
      </c>
      <c r="G261">
        <v>42</v>
      </c>
      <c r="H261">
        <v>10</v>
      </c>
      <c r="I261">
        <v>12</v>
      </c>
      <c r="J261">
        <v>34</v>
      </c>
      <c r="K261">
        <v>3</v>
      </c>
      <c r="L261" s="3">
        <v>8.3000000000000007</v>
      </c>
      <c r="M261" t="s">
        <v>1034</v>
      </c>
      <c r="N261">
        <v>75.47</v>
      </c>
    </row>
    <row r="262" spans="1:14" hidden="1" x14ac:dyDescent="0.3">
      <c r="A262" t="s">
        <v>270</v>
      </c>
      <c r="B262" t="s">
        <v>1014</v>
      </c>
      <c r="C262" t="s">
        <v>1025</v>
      </c>
      <c r="D262">
        <v>54</v>
      </c>
      <c r="E262">
        <v>11</v>
      </c>
      <c r="F262" s="3">
        <v>28519</v>
      </c>
      <c r="G262">
        <v>38</v>
      </c>
      <c r="H262">
        <v>7</v>
      </c>
      <c r="I262">
        <v>7</v>
      </c>
      <c r="J262">
        <v>4</v>
      </c>
      <c r="K262">
        <v>3</v>
      </c>
      <c r="L262" s="3">
        <v>8.4</v>
      </c>
      <c r="M262" t="s">
        <v>1034</v>
      </c>
      <c r="N262">
        <v>71.069999999999993</v>
      </c>
    </row>
    <row r="263" spans="1:14" hidden="1" x14ac:dyDescent="0.3">
      <c r="A263" t="s">
        <v>271</v>
      </c>
      <c r="B263" t="s">
        <v>1017</v>
      </c>
      <c r="C263" t="s">
        <v>1026</v>
      </c>
      <c r="D263">
        <v>42</v>
      </c>
      <c r="E263">
        <v>0</v>
      </c>
      <c r="F263" s="3">
        <v>66557</v>
      </c>
      <c r="G263">
        <v>43</v>
      </c>
      <c r="H263">
        <v>13</v>
      </c>
      <c r="I263">
        <v>14</v>
      </c>
      <c r="J263">
        <v>31</v>
      </c>
      <c r="K263">
        <v>2.7</v>
      </c>
      <c r="L263" s="3">
        <v>6.9</v>
      </c>
      <c r="M263" t="s">
        <v>1035</v>
      </c>
      <c r="N263">
        <v>71.17</v>
      </c>
    </row>
    <row r="264" spans="1:14" x14ac:dyDescent="0.3">
      <c r="A264" t="s">
        <v>272</v>
      </c>
      <c r="B264" t="s">
        <v>1017</v>
      </c>
      <c r="C264" t="s">
        <v>1030</v>
      </c>
      <c r="D264">
        <v>33</v>
      </c>
      <c r="E264">
        <v>10</v>
      </c>
      <c r="F264" s="3">
        <v>63395</v>
      </c>
      <c r="G264">
        <v>47</v>
      </c>
      <c r="H264">
        <v>2</v>
      </c>
      <c r="I264">
        <v>24</v>
      </c>
      <c r="J264">
        <v>39</v>
      </c>
      <c r="K264">
        <v>2.9</v>
      </c>
      <c r="L264" s="3">
        <v>4.7</v>
      </c>
      <c r="M264" t="s">
        <v>1036</v>
      </c>
      <c r="N264">
        <v>40.229999999999997</v>
      </c>
    </row>
    <row r="265" spans="1:14" hidden="1" x14ac:dyDescent="0.3">
      <c r="A265" t="s">
        <v>273</v>
      </c>
      <c r="B265" t="s">
        <v>1014</v>
      </c>
      <c r="C265" t="s">
        <v>1019</v>
      </c>
      <c r="D265">
        <v>39</v>
      </c>
      <c r="E265">
        <v>4</v>
      </c>
      <c r="F265" s="3">
        <v>49903</v>
      </c>
      <c r="G265">
        <v>55</v>
      </c>
      <c r="H265">
        <v>3</v>
      </c>
      <c r="I265">
        <v>23</v>
      </c>
      <c r="J265">
        <v>24</v>
      </c>
      <c r="K265">
        <v>3</v>
      </c>
      <c r="L265" s="3">
        <v>3.7</v>
      </c>
      <c r="M265" t="s">
        <v>1036</v>
      </c>
      <c r="N265">
        <v>36.200000000000003</v>
      </c>
    </row>
    <row r="266" spans="1:14" x14ac:dyDescent="0.3">
      <c r="A266" t="s">
        <v>274</v>
      </c>
      <c r="B266" t="s">
        <v>1016</v>
      </c>
      <c r="C266" t="s">
        <v>1022</v>
      </c>
      <c r="D266">
        <v>50</v>
      </c>
      <c r="E266">
        <v>11</v>
      </c>
      <c r="F266" s="3">
        <v>74895</v>
      </c>
      <c r="G266">
        <v>43</v>
      </c>
      <c r="H266">
        <v>2</v>
      </c>
      <c r="I266">
        <v>4</v>
      </c>
      <c r="J266">
        <v>5</v>
      </c>
      <c r="K266">
        <v>2.6</v>
      </c>
      <c r="L266" s="3">
        <v>6.1</v>
      </c>
      <c r="M266" t="s">
        <v>1035</v>
      </c>
      <c r="N266">
        <v>47.73</v>
      </c>
    </row>
    <row r="267" spans="1:14" hidden="1" x14ac:dyDescent="0.3">
      <c r="A267" t="s">
        <v>275</v>
      </c>
      <c r="B267" t="s">
        <v>1015</v>
      </c>
      <c r="C267" t="s">
        <v>1021</v>
      </c>
      <c r="D267">
        <v>48</v>
      </c>
      <c r="E267">
        <v>3</v>
      </c>
      <c r="F267" s="3">
        <v>26721</v>
      </c>
      <c r="G267">
        <v>37</v>
      </c>
      <c r="H267">
        <v>6</v>
      </c>
      <c r="I267">
        <v>17</v>
      </c>
      <c r="J267">
        <v>5</v>
      </c>
      <c r="K267">
        <v>3.8</v>
      </c>
      <c r="L267" s="3">
        <v>8.5</v>
      </c>
      <c r="M267" t="s">
        <v>1034</v>
      </c>
      <c r="N267">
        <v>72.400000000000006</v>
      </c>
    </row>
    <row r="268" spans="1:14" hidden="1" x14ac:dyDescent="0.3">
      <c r="A268" t="s">
        <v>276</v>
      </c>
      <c r="B268" t="s">
        <v>1014</v>
      </c>
      <c r="C268" t="s">
        <v>1031</v>
      </c>
      <c r="D268">
        <v>40</v>
      </c>
      <c r="E268">
        <v>13</v>
      </c>
      <c r="F268" s="3">
        <v>50414</v>
      </c>
      <c r="G268">
        <v>37</v>
      </c>
      <c r="H268">
        <v>12</v>
      </c>
      <c r="I268">
        <v>17</v>
      </c>
      <c r="J268">
        <v>15</v>
      </c>
      <c r="K268">
        <v>3.7</v>
      </c>
      <c r="L268" s="3">
        <v>4.2</v>
      </c>
      <c r="M268" t="s">
        <v>1036</v>
      </c>
      <c r="N268">
        <v>56.3</v>
      </c>
    </row>
    <row r="269" spans="1:14" hidden="1" x14ac:dyDescent="0.3">
      <c r="A269" t="s">
        <v>277</v>
      </c>
      <c r="B269" t="s">
        <v>1018</v>
      </c>
      <c r="C269" t="s">
        <v>1032</v>
      </c>
      <c r="D269">
        <v>30</v>
      </c>
      <c r="E269">
        <v>4</v>
      </c>
      <c r="F269" s="3">
        <v>44734</v>
      </c>
      <c r="G269">
        <v>43</v>
      </c>
      <c r="H269">
        <v>8</v>
      </c>
      <c r="I269">
        <v>4</v>
      </c>
      <c r="J269">
        <v>4</v>
      </c>
      <c r="K269">
        <v>2.5</v>
      </c>
      <c r="L269" s="3">
        <v>4.9000000000000004</v>
      </c>
      <c r="M269" t="s">
        <v>1036</v>
      </c>
      <c r="N269">
        <v>50.23</v>
      </c>
    </row>
    <row r="270" spans="1:14" hidden="1" x14ac:dyDescent="0.3">
      <c r="A270" t="s">
        <v>278</v>
      </c>
      <c r="B270" t="s">
        <v>1017</v>
      </c>
      <c r="C270" t="s">
        <v>1030</v>
      </c>
      <c r="D270">
        <v>26</v>
      </c>
      <c r="E270">
        <v>2</v>
      </c>
      <c r="F270" s="3">
        <v>41495</v>
      </c>
      <c r="G270">
        <v>42</v>
      </c>
      <c r="H270">
        <v>12</v>
      </c>
      <c r="I270">
        <v>20</v>
      </c>
      <c r="J270">
        <v>31</v>
      </c>
      <c r="K270">
        <v>3.8</v>
      </c>
      <c r="L270" s="3">
        <v>4.4000000000000004</v>
      </c>
      <c r="M270" t="s">
        <v>1036</v>
      </c>
      <c r="N270">
        <v>57.8</v>
      </c>
    </row>
    <row r="271" spans="1:14" hidden="1" x14ac:dyDescent="0.3">
      <c r="A271" t="s">
        <v>279</v>
      </c>
      <c r="B271" t="s">
        <v>1018</v>
      </c>
      <c r="C271" t="s">
        <v>1032</v>
      </c>
      <c r="D271">
        <v>41</v>
      </c>
      <c r="E271">
        <v>0</v>
      </c>
      <c r="F271" s="3">
        <v>87182</v>
      </c>
      <c r="G271">
        <v>47</v>
      </c>
      <c r="H271">
        <v>6</v>
      </c>
      <c r="I271">
        <v>19</v>
      </c>
      <c r="J271">
        <v>24</v>
      </c>
      <c r="K271">
        <v>4.4000000000000004</v>
      </c>
      <c r="L271" s="3">
        <v>5.3</v>
      </c>
      <c r="M271" t="s">
        <v>1036</v>
      </c>
      <c r="N271">
        <v>55</v>
      </c>
    </row>
    <row r="272" spans="1:14" hidden="1" x14ac:dyDescent="0.3">
      <c r="A272" t="s">
        <v>280</v>
      </c>
      <c r="B272" t="s">
        <v>1017</v>
      </c>
      <c r="C272" t="s">
        <v>1026</v>
      </c>
      <c r="D272">
        <v>30</v>
      </c>
      <c r="E272">
        <v>4</v>
      </c>
      <c r="F272" s="3">
        <v>46015</v>
      </c>
      <c r="G272">
        <v>54</v>
      </c>
      <c r="H272">
        <v>12</v>
      </c>
      <c r="I272">
        <v>6</v>
      </c>
      <c r="J272">
        <v>30</v>
      </c>
      <c r="K272">
        <v>2.9</v>
      </c>
      <c r="L272" s="3">
        <v>9.8000000000000007</v>
      </c>
      <c r="M272" t="s">
        <v>1034</v>
      </c>
      <c r="N272">
        <v>87.5</v>
      </c>
    </row>
    <row r="273" spans="1:14" x14ac:dyDescent="0.3">
      <c r="A273" t="s">
        <v>281</v>
      </c>
      <c r="B273" t="s">
        <v>1016</v>
      </c>
      <c r="C273" t="s">
        <v>1023</v>
      </c>
      <c r="D273">
        <v>53</v>
      </c>
      <c r="E273">
        <v>7</v>
      </c>
      <c r="F273" s="3">
        <v>46357</v>
      </c>
      <c r="G273">
        <v>47</v>
      </c>
      <c r="H273">
        <v>5</v>
      </c>
      <c r="I273">
        <v>25</v>
      </c>
      <c r="J273">
        <v>25</v>
      </c>
      <c r="K273">
        <v>3.1</v>
      </c>
      <c r="L273" s="3">
        <v>9.5</v>
      </c>
      <c r="M273" t="s">
        <v>1034</v>
      </c>
      <c r="N273">
        <v>74.63</v>
      </c>
    </row>
    <row r="274" spans="1:14" x14ac:dyDescent="0.3">
      <c r="A274" t="s">
        <v>282</v>
      </c>
      <c r="B274" t="s">
        <v>1015</v>
      </c>
      <c r="C274" t="s">
        <v>1021</v>
      </c>
      <c r="D274">
        <v>33</v>
      </c>
      <c r="E274">
        <v>10</v>
      </c>
      <c r="F274" s="3">
        <v>75306</v>
      </c>
      <c r="G274">
        <v>52</v>
      </c>
      <c r="H274">
        <v>1</v>
      </c>
      <c r="I274">
        <v>23</v>
      </c>
      <c r="J274">
        <v>29</v>
      </c>
      <c r="K274">
        <v>4.8</v>
      </c>
      <c r="L274" s="3">
        <v>4.5</v>
      </c>
      <c r="M274" t="s">
        <v>1036</v>
      </c>
      <c r="N274">
        <v>43.07</v>
      </c>
    </row>
    <row r="275" spans="1:14" x14ac:dyDescent="0.3">
      <c r="A275" t="s">
        <v>283</v>
      </c>
      <c r="B275" t="s">
        <v>1014</v>
      </c>
      <c r="C275" t="s">
        <v>1031</v>
      </c>
      <c r="D275">
        <v>48</v>
      </c>
      <c r="E275">
        <v>15</v>
      </c>
      <c r="F275" s="3">
        <v>34121</v>
      </c>
      <c r="G275">
        <v>55</v>
      </c>
      <c r="H275">
        <v>5</v>
      </c>
      <c r="I275">
        <v>7</v>
      </c>
      <c r="J275">
        <v>16</v>
      </c>
      <c r="K275">
        <v>4</v>
      </c>
      <c r="L275" s="3">
        <v>8</v>
      </c>
      <c r="M275" t="s">
        <v>1034</v>
      </c>
      <c r="N275">
        <v>68.33</v>
      </c>
    </row>
    <row r="276" spans="1:14" x14ac:dyDescent="0.3">
      <c r="A276" t="s">
        <v>284</v>
      </c>
      <c r="B276" t="s">
        <v>1014</v>
      </c>
      <c r="C276" t="s">
        <v>1031</v>
      </c>
      <c r="D276">
        <v>50</v>
      </c>
      <c r="E276">
        <v>15</v>
      </c>
      <c r="F276" s="3">
        <v>63157</v>
      </c>
      <c r="G276">
        <v>47</v>
      </c>
      <c r="H276">
        <v>9</v>
      </c>
      <c r="I276">
        <v>16</v>
      </c>
      <c r="J276">
        <v>26</v>
      </c>
      <c r="K276">
        <v>3.6</v>
      </c>
      <c r="L276" s="3">
        <v>8.5</v>
      </c>
      <c r="M276" t="s">
        <v>1034</v>
      </c>
      <c r="N276">
        <v>76.8</v>
      </c>
    </row>
    <row r="277" spans="1:14" hidden="1" x14ac:dyDescent="0.3">
      <c r="A277" t="s">
        <v>285</v>
      </c>
      <c r="B277" t="s">
        <v>1015</v>
      </c>
      <c r="C277" t="s">
        <v>1020</v>
      </c>
      <c r="D277">
        <v>27</v>
      </c>
      <c r="E277">
        <v>0</v>
      </c>
      <c r="F277" s="3">
        <v>75394</v>
      </c>
      <c r="G277">
        <v>42</v>
      </c>
      <c r="H277">
        <v>11</v>
      </c>
      <c r="I277">
        <v>21</v>
      </c>
      <c r="J277">
        <v>22</v>
      </c>
      <c r="K277">
        <v>2.5</v>
      </c>
      <c r="L277" s="3">
        <v>7.3</v>
      </c>
      <c r="M277" t="s">
        <v>1035</v>
      </c>
      <c r="N277">
        <v>69.63</v>
      </c>
    </row>
    <row r="278" spans="1:14" hidden="1" x14ac:dyDescent="0.3">
      <c r="A278" t="s">
        <v>286</v>
      </c>
      <c r="B278" t="s">
        <v>1017</v>
      </c>
      <c r="C278" t="s">
        <v>1024</v>
      </c>
      <c r="D278">
        <v>43</v>
      </c>
      <c r="E278">
        <v>13</v>
      </c>
      <c r="F278" s="3">
        <v>31943</v>
      </c>
      <c r="G278">
        <v>35</v>
      </c>
      <c r="H278">
        <v>2</v>
      </c>
      <c r="I278">
        <v>8</v>
      </c>
      <c r="J278">
        <v>14</v>
      </c>
      <c r="K278">
        <v>3.5</v>
      </c>
      <c r="L278" s="3">
        <v>6.6</v>
      </c>
      <c r="M278" t="s">
        <v>1035</v>
      </c>
      <c r="N278">
        <v>53.43</v>
      </c>
    </row>
    <row r="279" spans="1:14" x14ac:dyDescent="0.3">
      <c r="A279" t="s">
        <v>287</v>
      </c>
      <c r="B279" t="s">
        <v>1015</v>
      </c>
      <c r="C279" t="s">
        <v>1029</v>
      </c>
      <c r="D279">
        <v>36</v>
      </c>
      <c r="E279">
        <v>14</v>
      </c>
      <c r="F279" s="3">
        <v>49518</v>
      </c>
      <c r="G279">
        <v>47</v>
      </c>
      <c r="H279">
        <v>8</v>
      </c>
      <c r="I279">
        <v>24</v>
      </c>
      <c r="J279">
        <v>37</v>
      </c>
      <c r="K279">
        <v>4.0999999999999996</v>
      </c>
      <c r="L279" s="3">
        <v>4.0999999999999996</v>
      </c>
      <c r="M279" t="s">
        <v>1036</v>
      </c>
      <c r="N279">
        <v>50.23</v>
      </c>
    </row>
    <row r="280" spans="1:14" hidden="1" x14ac:dyDescent="0.3">
      <c r="A280" t="s">
        <v>288</v>
      </c>
      <c r="B280" t="s">
        <v>1017</v>
      </c>
      <c r="C280" t="s">
        <v>1030</v>
      </c>
      <c r="D280">
        <v>28</v>
      </c>
      <c r="E280">
        <v>4</v>
      </c>
      <c r="F280" s="3">
        <v>52261</v>
      </c>
      <c r="G280">
        <v>37</v>
      </c>
      <c r="H280">
        <v>2</v>
      </c>
      <c r="I280">
        <v>23</v>
      </c>
      <c r="J280">
        <v>9</v>
      </c>
      <c r="K280">
        <v>3</v>
      </c>
      <c r="L280" s="3">
        <v>5.4</v>
      </c>
      <c r="M280" t="s">
        <v>1036</v>
      </c>
      <c r="N280">
        <v>44.73</v>
      </c>
    </row>
    <row r="281" spans="1:14" hidden="1" x14ac:dyDescent="0.3">
      <c r="A281" t="s">
        <v>289</v>
      </c>
      <c r="B281" t="s">
        <v>1015</v>
      </c>
      <c r="C281" t="s">
        <v>1020</v>
      </c>
      <c r="D281">
        <v>52</v>
      </c>
      <c r="E281">
        <v>11</v>
      </c>
      <c r="F281" s="3">
        <v>56205</v>
      </c>
      <c r="G281">
        <v>38</v>
      </c>
      <c r="H281">
        <v>8</v>
      </c>
      <c r="I281">
        <v>23</v>
      </c>
      <c r="J281">
        <v>28</v>
      </c>
      <c r="K281">
        <v>3</v>
      </c>
      <c r="L281" s="3">
        <v>5.0999999999999996</v>
      </c>
      <c r="M281" t="s">
        <v>1036</v>
      </c>
      <c r="N281">
        <v>52.93</v>
      </c>
    </row>
    <row r="282" spans="1:14" hidden="1" x14ac:dyDescent="0.3">
      <c r="A282" t="s">
        <v>290</v>
      </c>
      <c r="B282" t="s">
        <v>1014</v>
      </c>
      <c r="C282" t="s">
        <v>1025</v>
      </c>
      <c r="D282">
        <v>23</v>
      </c>
      <c r="E282">
        <v>1</v>
      </c>
      <c r="F282" s="3">
        <v>67465</v>
      </c>
      <c r="G282">
        <v>38</v>
      </c>
      <c r="H282">
        <v>11</v>
      </c>
      <c r="I282">
        <v>25</v>
      </c>
      <c r="J282">
        <v>10</v>
      </c>
      <c r="K282">
        <v>4.8</v>
      </c>
      <c r="L282" s="3">
        <v>8.1999999999999993</v>
      </c>
      <c r="M282" t="s">
        <v>1034</v>
      </c>
      <c r="N282">
        <v>81.93</v>
      </c>
    </row>
    <row r="283" spans="1:14" hidden="1" x14ac:dyDescent="0.3">
      <c r="A283" t="s">
        <v>291</v>
      </c>
      <c r="B283" t="s">
        <v>1018</v>
      </c>
      <c r="C283" t="s">
        <v>1027</v>
      </c>
      <c r="D283">
        <v>32</v>
      </c>
      <c r="E283">
        <v>5</v>
      </c>
      <c r="F283" s="3">
        <v>61690</v>
      </c>
      <c r="G283">
        <v>48</v>
      </c>
      <c r="H283">
        <v>8</v>
      </c>
      <c r="I283">
        <v>7</v>
      </c>
      <c r="J283">
        <v>25</v>
      </c>
      <c r="K283">
        <v>3.9</v>
      </c>
      <c r="L283" s="3">
        <v>4.3</v>
      </c>
      <c r="M283" t="s">
        <v>1036</v>
      </c>
      <c r="N283">
        <v>50.83</v>
      </c>
    </row>
    <row r="284" spans="1:14" hidden="1" x14ac:dyDescent="0.3">
      <c r="A284" t="s">
        <v>292</v>
      </c>
      <c r="B284" t="s">
        <v>1017</v>
      </c>
      <c r="C284" t="s">
        <v>1024</v>
      </c>
      <c r="D284">
        <v>47</v>
      </c>
      <c r="E284">
        <v>0</v>
      </c>
      <c r="F284" s="3">
        <v>73325</v>
      </c>
      <c r="G284">
        <v>54</v>
      </c>
      <c r="H284">
        <v>15</v>
      </c>
      <c r="I284">
        <v>6</v>
      </c>
      <c r="J284">
        <v>28</v>
      </c>
      <c r="K284">
        <v>3.8</v>
      </c>
      <c r="L284" s="3">
        <v>5.7</v>
      </c>
      <c r="M284" t="s">
        <v>1036</v>
      </c>
      <c r="N284">
        <v>70.599999999999994</v>
      </c>
    </row>
    <row r="285" spans="1:14" hidden="1" x14ac:dyDescent="0.3">
      <c r="A285" t="s">
        <v>293</v>
      </c>
      <c r="B285" t="s">
        <v>1018</v>
      </c>
      <c r="C285" t="s">
        <v>1032</v>
      </c>
      <c r="D285">
        <v>35</v>
      </c>
      <c r="E285">
        <v>4</v>
      </c>
      <c r="F285" s="3">
        <v>74304</v>
      </c>
      <c r="G285">
        <v>37</v>
      </c>
      <c r="H285">
        <v>10</v>
      </c>
      <c r="I285">
        <v>3</v>
      </c>
      <c r="J285">
        <v>34</v>
      </c>
      <c r="K285">
        <v>2.6</v>
      </c>
      <c r="L285" s="3">
        <v>5.3</v>
      </c>
      <c r="M285" t="s">
        <v>1036</v>
      </c>
      <c r="N285">
        <v>56.27</v>
      </c>
    </row>
    <row r="286" spans="1:14" x14ac:dyDescent="0.3">
      <c r="A286" t="s">
        <v>294</v>
      </c>
      <c r="B286" t="s">
        <v>1014</v>
      </c>
      <c r="C286" t="s">
        <v>1031</v>
      </c>
      <c r="D286">
        <v>38</v>
      </c>
      <c r="E286">
        <v>15</v>
      </c>
      <c r="F286" s="3">
        <v>59584</v>
      </c>
      <c r="G286">
        <v>55</v>
      </c>
      <c r="H286">
        <v>6</v>
      </c>
      <c r="I286">
        <v>19</v>
      </c>
      <c r="J286">
        <v>24</v>
      </c>
      <c r="K286">
        <v>3.8</v>
      </c>
      <c r="L286" s="3">
        <v>7.1</v>
      </c>
      <c r="M286" t="s">
        <v>1035</v>
      </c>
      <c r="N286">
        <v>64</v>
      </c>
    </row>
    <row r="287" spans="1:14" hidden="1" x14ac:dyDescent="0.3">
      <c r="A287" t="s">
        <v>295</v>
      </c>
      <c r="B287" t="s">
        <v>1016</v>
      </c>
      <c r="C287" t="s">
        <v>1023</v>
      </c>
      <c r="D287">
        <v>51</v>
      </c>
      <c r="E287">
        <v>5</v>
      </c>
      <c r="F287" s="3">
        <v>78329</v>
      </c>
      <c r="G287">
        <v>44</v>
      </c>
      <c r="H287">
        <v>15</v>
      </c>
      <c r="I287">
        <v>19</v>
      </c>
      <c r="J287">
        <v>37</v>
      </c>
      <c r="K287">
        <v>2.2999999999999998</v>
      </c>
      <c r="L287" s="3">
        <v>3.9</v>
      </c>
      <c r="M287" t="s">
        <v>1036</v>
      </c>
      <c r="N287">
        <v>55.3</v>
      </c>
    </row>
    <row r="288" spans="1:14" hidden="1" x14ac:dyDescent="0.3">
      <c r="A288" t="s">
        <v>296</v>
      </c>
      <c r="B288" t="s">
        <v>1018</v>
      </c>
      <c r="C288" t="s">
        <v>1027</v>
      </c>
      <c r="D288">
        <v>41</v>
      </c>
      <c r="E288">
        <v>3</v>
      </c>
      <c r="F288" s="3">
        <v>36996</v>
      </c>
      <c r="G288">
        <v>46</v>
      </c>
      <c r="H288">
        <v>12</v>
      </c>
      <c r="I288">
        <v>4</v>
      </c>
      <c r="J288">
        <v>32</v>
      </c>
      <c r="K288">
        <v>3.2</v>
      </c>
      <c r="L288" s="3">
        <v>7.2</v>
      </c>
      <c r="M288" t="s">
        <v>1035</v>
      </c>
      <c r="N288">
        <v>72.8</v>
      </c>
    </row>
    <row r="289" spans="1:14" hidden="1" x14ac:dyDescent="0.3">
      <c r="A289" t="s">
        <v>297</v>
      </c>
      <c r="B289" t="s">
        <v>1017</v>
      </c>
      <c r="C289" t="s">
        <v>1030</v>
      </c>
      <c r="D289">
        <v>49</v>
      </c>
      <c r="E289">
        <v>5</v>
      </c>
      <c r="F289" s="3">
        <v>56894</v>
      </c>
      <c r="G289">
        <v>55</v>
      </c>
      <c r="H289">
        <v>9</v>
      </c>
      <c r="I289">
        <v>22</v>
      </c>
      <c r="J289">
        <v>11</v>
      </c>
      <c r="K289">
        <v>3.7</v>
      </c>
      <c r="L289" s="3">
        <v>6.4</v>
      </c>
      <c r="M289" t="s">
        <v>1035</v>
      </c>
      <c r="N289">
        <v>64.5</v>
      </c>
    </row>
    <row r="290" spans="1:14" hidden="1" x14ac:dyDescent="0.3">
      <c r="A290" t="s">
        <v>298</v>
      </c>
      <c r="B290" t="s">
        <v>1018</v>
      </c>
      <c r="C290" t="s">
        <v>1032</v>
      </c>
      <c r="D290">
        <v>42</v>
      </c>
      <c r="E290">
        <v>14</v>
      </c>
      <c r="F290" s="3">
        <v>65593</v>
      </c>
      <c r="G290">
        <v>36</v>
      </c>
      <c r="H290">
        <v>14</v>
      </c>
      <c r="I290">
        <v>11</v>
      </c>
      <c r="J290">
        <v>0</v>
      </c>
      <c r="K290">
        <v>3.5</v>
      </c>
      <c r="L290" s="3">
        <v>4.4000000000000004</v>
      </c>
      <c r="M290" t="s">
        <v>1036</v>
      </c>
      <c r="N290">
        <v>60.23</v>
      </c>
    </row>
    <row r="291" spans="1:14" x14ac:dyDescent="0.3">
      <c r="A291" t="s">
        <v>299</v>
      </c>
      <c r="B291" t="s">
        <v>1015</v>
      </c>
      <c r="C291" t="s">
        <v>1029</v>
      </c>
      <c r="D291">
        <v>54</v>
      </c>
      <c r="E291">
        <v>15</v>
      </c>
      <c r="F291" s="3">
        <v>51813</v>
      </c>
      <c r="G291">
        <v>50</v>
      </c>
      <c r="H291">
        <v>7</v>
      </c>
      <c r="I291">
        <v>22</v>
      </c>
      <c r="J291">
        <v>28</v>
      </c>
      <c r="K291">
        <v>3.5</v>
      </c>
      <c r="L291" s="3">
        <v>3.6</v>
      </c>
      <c r="M291" t="s">
        <v>1036</v>
      </c>
      <c r="N291">
        <v>43.77</v>
      </c>
    </row>
    <row r="292" spans="1:14" hidden="1" x14ac:dyDescent="0.3">
      <c r="A292" t="s">
        <v>300</v>
      </c>
      <c r="B292" t="s">
        <v>1018</v>
      </c>
      <c r="C292" t="s">
        <v>1032</v>
      </c>
      <c r="D292">
        <v>40</v>
      </c>
      <c r="E292">
        <v>1</v>
      </c>
      <c r="F292" s="3">
        <v>43012</v>
      </c>
      <c r="G292">
        <v>42</v>
      </c>
      <c r="H292">
        <v>9</v>
      </c>
      <c r="I292">
        <v>9</v>
      </c>
      <c r="J292">
        <v>10</v>
      </c>
      <c r="K292">
        <v>4.3</v>
      </c>
      <c r="L292" s="3">
        <v>7</v>
      </c>
      <c r="M292" t="s">
        <v>1035</v>
      </c>
      <c r="N292">
        <v>69.900000000000006</v>
      </c>
    </row>
    <row r="293" spans="1:14" hidden="1" x14ac:dyDescent="0.3">
      <c r="A293" t="s">
        <v>301</v>
      </c>
      <c r="B293" t="s">
        <v>1015</v>
      </c>
      <c r="C293" t="s">
        <v>1029</v>
      </c>
      <c r="D293">
        <v>54</v>
      </c>
      <c r="E293">
        <v>3</v>
      </c>
      <c r="F293" s="3">
        <v>62533</v>
      </c>
      <c r="G293">
        <v>38</v>
      </c>
      <c r="H293">
        <v>5</v>
      </c>
      <c r="I293">
        <v>24</v>
      </c>
      <c r="J293">
        <v>34</v>
      </c>
      <c r="K293">
        <v>4.5</v>
      </c>
      <c r="L293" s="3">
        <v>5.6</v>
      </c>
      <c r="M293" t="s">
        <v>1036</v>
      </c>
      <c r="N293">
        <v>55.43</v>
      </c>
    </row>
    <row r="294" spans="1:14" x14ac:dyDescent="0.3">
      <c r="A294" t="s">
        <v>302</v>
      </c>
      <c r="B294" t="s">
        <v>1017</v>
      </c>
      <c r="C294" t="s">
        <v>1026</v>
      </c>
      <c r="D294">
        <v>35</v>
      </c>
      <c r="E294">
        <v>6</v>
      </c>
      <c r="F294" s="3">
        <v>31711</v>
      </c>
      <c r="G294">
        <v>55</v>
      </c>
      <c r="H294">
        <v>13</v>
      </c>
      <c r="I294">
        <v>7</v>
      </c>
      <c r="J294">
        <v>19</v>
      </c>
      <c r="K294">
        <v>4.5999999999999996</v>
      </c>
      <c r="L294" s="3">
        <v>3.2</v>
      </c>
      <c r="M294" t="s">
        <v>1036</v>
      </c>
      <c r="N294">
        <v>54.67</v>
      </c>
    </row>
    <row r="295" spans="1:14" hidden="1" x14ac:dyDescent="0.3">
      <c r="A295" t="s">
        <v>303</v>
      </c>
      <c r="B295" t="s">
        <v>1016</v>
      </c>
      <c r="C295" t="s">
        <v>1022</v>
      </c>
      <c r="D295">
        <v>27</v>
      </c>
      <c r="E295">
        <v>3</v>
      </c>
      <c r="F295" s="3">
        <v>81707</v>
      </c>
      <c r="G295">
        <v>38</v>
      </c>
      <c r="H295">
        <v>13</v>
      </c>
      <c r="I295">
        <v>25</v>
      </c>
      <c r="J295">
        <v>15</v>
      </c>
      <c r="K295">
        <v>2.6</v>
      </c>
      <c r="L295" s="3">
        <v>8.1999999999999993</v>
      </c>
      <c r="M295" t="s">
        <v>1034</v>
      </c>
      <c r="N295">
        <v>78.67</v>
      </c>
    </row>
    <row r="296" spans="1:14" hidden="1" x14ac:dyDescent="0.3">
      <c r="A296" t="s">
        <v>304</v>
      </c>
      <c r="B296" t="s">
        <v>1016</v>
      </c>
      <c r="C296" t="s">
        <v>1022</v>
      </c>
      <c r="D296">
        <v>49</v>
      </c>
      <c r="E296">
        <v>5</v>
      </c>
      <c r="F296" s="3">
        <v>65380</v>
      </c>
      <c r="G296">
        <v>39</v>
      </c>
      <c r="H296">
        <v>13</v>
      </c>
      <c r="I296">
        <v>6</v>
      </c>
      <c r="J296">
        <v>13</v>
      </c>
      <c r="K296">
        <v>4.4000000000000004</v>
      </c>
      <c r="L296" s="3">
        <v>7</v>
      </c>
      <c r="M296" t="s">
        <v>1035</v>
      </c>
      <c r="N296">
        <v>76.87</v>
      </c>
    </row>
    <row r="297" spans="1:14" hidden="1" x14ac:dyDescent="0.3">
      <c r="A297" t="s">
        <v>305</v>
      </c>
      <c r="B297" t="s">
        <v>1016</v>
      </c>
      <c r="C297" t="s">
        <v>1022</v>
      </c>
      <c r="D297">
        <v>32</v>
      </c>
      <c r="E297">
        <v>5</v>
      </c>
      <c r="F297" s="3">
        <v>89159</v>
      </c>
      <c r="G297">
        <v>44</v>
      </c>
      <c r="H297">
        <v>5</v>
      </c>
      <c r="I297">
        <v>18</v>
      </c>
      <c r="J297">
        <v>17</v>
      </c>
      <c r="K297">
        <v>4.9000000000000004</v>
      </c>
      <c r="L297" s="3">
        <v>6.6</v>
      </c>
      <c r="M297" t="s">
        <v>1035</v>
      </c>
      <c r="N297">
        <v>62.63</v>
      </c>
    </row>
    <row r="298" spans="1:14" hidden="1" x14ac:dyDescent="0.3">
      <c r="A298" t="s">
        <v>306</v>
      </c>
      <c r="B298" t="s">
        <v>1014</v>
      </c>
      <c r="C298" t="s">
        <v>1019</v>
      </c>
      <c r="D298">
        <v>30</v>
      </c>
      <c r="E298">
        <v>6</v>
      </c>
      <c r="F298" s="3">
        <v>85212</v>
      </c>
      <c r="G298">
        <v>36</v>
      </c>
      <c r="H298">
        <v>5</v>
      </c>
      <c r="I298">
        <v>20</v>
      </c>
      <c r="J298">
        <v>8</v>
      </c>
      <c r="K298">
        <v>4.0999999999999996</v>
      </c>
      <c r="L298" s="3">
        <v>3.9</v>
      </c>
      <c r="M298" t="s">
        <v>1036</v>
      </c>
      <c r="N298">
        <v>44.03</v>
      </c>
    </row>
    <row r="299" spans="1:14" hidden="1" x14ac:dyDescent="0.3">
      <c r="A299" t="s">
        <v>307</v>
      </c>
      <c r="B299" t="s">
        <v>1016</v>
      </c>
      <c r="C299" t="s">
        <v>1023</v>
      </c>
      <c r="D299">
        <v>37</v>
      </c>
      <c r="E299">
        <v>12</v>
      </c>
      <c r="F299" s="3">
        <v>57077</v>
      </c>
      <c r="G299">
        <v>39</v>
      </c>
      <c r="H299">
        <v>10</v>
      </c>
      <c r="I299">
        <v>20</v>
      </c>
      <c r="J299">
        <v>17</v>
      </c>
      <c r="K299">
        <v>3.9</v>
      </c>
      <c r="L299" s="3">
        <v>5.6</v>
      </c>
      <c r="M299" t="s">
        <v>1036</v>
      </c>
      <c r="N299">
        <v>61.97</v>
      </c>
    </row>
    <row r="300" spans="1:14" x14ac:dyDescent="0.3">
      <c r="A300" t="s">
        <v>308</v>
      </c>
      <c r="B300" t="s">
        <v>1014</v>
      </c>
      <c r="C300" t="s">
        <v>1025</v>
      </c>
      <c r="D300">
        <v>47</v>
      </c>
      <c r="E300">
        <v>8</v>
      </c>
      <c r="F300" s="3">
        <v>70528</v>
      </c>
      <c r="G300">
        <v>46</v>
      </c>
      <c r="H300">
        <v>8</v>
      </c>
      <c r="I300">
        <v>15</v>
      </c>
      <c r="J300">
        <v>20</v>
      </c>
      <c r="K300">
        <v>3.7</v>
      </c>
      <c r="L300" s="3">
        <v>9.1</v>
      </c>
      <c r="M300" t="s">
        <v>1034</v>
      </c>
      <c r="N300">
        <v>79.03</v>
      </c>
    </row>
    <row r="301" spans="1:14" hidden="1" x14ac:dyDescent="0.3">
      <c r="A301" t="s">
        <v>309</v>
      </c>
      <c r="B301" t="s">
        <v>1014</v>
      </c>
      <c r="C301" t="s">
        <v>1019</v>
      </c>
      <c r="D301">
        <v>51</v>
      </c>
      <c r="E301">
        <v>11</v>
      </c>
      <c r="F301" s="3">
        <v>80712</v>
      </c>
      <c r="G301">
        <v>37</v>
      </c>
      <c r="H301">
        <v>13</v>
      </c>
      <c r="I301">
        <v>17</v>
      </c>
      <c r="J301">
        <v>25</v>
      </c>
      <c r="K301">
        <v>2.7</v>
      </c>
      <c r="L301" s="3">
        <v>6</v>
      </c>
      <c r="M301" t="s">
        <v>1035</v>
      </c>
      <c r="N301">
        <v>65.77</v>
      </c>
    </row>
    <row r="302" spans="1:14" x14ac:dyDescent="0.3">
      <c r="A302" t="s">
        <v>310</v>
      </c>
      <c r="B302" t="s">
        <v>1017</v>
      </c>
      <c r="C302" t="s">
        <v>1026</v>
      </c>
      <c r="D302">
        <v>39</v>
      </c>
      <c r="E302">
        <v>10</v>
      </c>
      <c r="F302" s="3">
        <v>79286</v>
      </c>
      <c r="G302">
        <v>44</v>
      </c>
      <c r="H302">
        <v>6</v>
      </c>
      <c r="I302">
        <v>17</v>
      </c>
      <c r="J302">
        <v>36</v>
      </c>
      <c r="K302">
        <v>2.4</v>
      </c>
      <c r="L302" s="3">
        <v>9</v>
      </c>
      <c r="M302" t="s">
        <v>1034</v>
      </c>
      <c r="N302">
        <v>71.2</v>
      </c>
    </row>
    <row r="303" spans="1:14" hidden="1" x14ac:dyDescent="0.3">
      <c r="A303" t="s">
        <v>311</v>
      </c>
      <c r="B303" t="s">
        <v>1014</v>
      </c>
      <c r="C303" t="s">
        <v>1031</v>
      </c>
      <c r="D303">
        <v>24</v>
      </c>
      <c r="E303">
        <v>0</v>
      </c>
      <c r="F303" s="3">
        <v>66037</v>
      </c>
      <c r="G303">
        <v>49</v>
      </c>
      <c r="H303">
        <v>1</v>
      </c>
      <c r="I303">
        <v>3</v>
      </c>
      <c r="J303">
        <v>10</v>
      </c>
      <c r="K303">
        <v>3.3</v>
      </c>
      <c r="L303" s="3">
        <v>3</v>
      </c>
      <c r="M303" t="s">
        <v>1036</v>
      </c>
      <c r="N303">
        <v>29.57</v>
      </c>
    </row>
    <row r="304" spans="1:14" hidden="1" x14ac:dyDescent="0.3">
      <c r="A304" t="s">
        <v>312</v>
      </c>
      <c r="B304" t="s">
        <v>1018</v>
      </c>
      <c r="C304" t="s">
        <v>1027</v>
      </c>
      <c r="D304">
        <v>30</v>
      </c>
      <c r="E304">
        <v>4</v>
      </c>
      <c r="F304" s="3">
        <v>35418</v>
      </c>
      <c r="G304">
        <v>43</v>
      </c>
      <c r="H304">
        <v>2</v>
      </c>
      <c r="I304">
        <v>20</v>
      </c>
      <c r="J304">
        <v>23</v>
      </c>
      <c r="K304">
        <v>2.8</v>
      </c>
      <c r="L304" s="3">
        <v>5.6</v>
      </c>
      <c r="M304" t="s">
        <v>1036</v>
      </c>
      <c r="N304">
        <v>45.33</v>
      </c>
    </row>
    <row r="305" spans="1:14" hidden="1" x14ac:dyDescent="0.3">
      <c r="A305" t="s">
        <v>313</v>
      </c>
      <c r="B305" t="s">
        <v>1018</v>
      </c>
      <c r="C305" t="s">
        <v>1028</v>
      </c>
      <c r="D305">
        <v>25</v>
      </c>
      <c r="E305">
        <v>3</v>
      </c>
      <c r="F305" s="3">
        <v>65999</v>
      </c>
      <c r="G305">
        <v>44</v>
      </c>
      <c r="H305">
        <v>12</v>
      </c>
      <c r="I305">
        <v>22</v>
      </c>
      <c r="J305">
        <v>14</v>
      </c>
      <c r="K305">
        <v>3.3</v>
      </c>
      <c r="L305" s="3">
        <v>3.6</v>
      </c>
      <c r="M305" t="s">
        <v>1036</v>
      </c>
      <c r="N305">
        <v>51.5</v>
      </c>
    </row>
    <row r="306" spans="1:14" hidden="1" x14ac:dyDescent="0.3">
      <c r="A306" t="s">
        <v>314</v>
      </c>
      <c r="B306" t="s">
        <v>1014</v>
      </c>
      <c r="C306" t="s">
        <v>1025</v>
      </c>
      <c r="D306">
        <v>35</v>
      </c>
      <c r="E306">
        <v>7</v>
      </c>
      <c r="F306" s="3">
        <v>30107</v>
      </c>
      <c r="G306">
        <v>39</v>
      </c>
      <c r="H306">
        <v>10</v>
      </c>
      <c r="I306">
        <v>7</v>
      </c>
      <c r="J306">
        <v>33</v>
      </c>
      <c r="K306">
        <v>4</v>
      </c>
      <c r="L306" s="3">
        <v>3.1</v>
      </c>
      <c r="M306" t="s">
        <v>1036</v>
      </c>
      <c r="N306">
        <v>47.27</v>
      </c>
    </row>
    <row r="307" spans="1:14" hidden="1" x14ac:dyDescent="0.3">
      <c r="A307" t="s">
        <v>315</v>
      </c>
      <c r="B307" t="s">
        <v>1016</v>
      </c>
      <c r="C307" t="s">
        <v>1023</v>
      </c>
      <c r="D307">
        <v>29</v>
      </c>
      <c r="E307">
        <v>6</v>
      </c>
      <c r="F307" s="3">
        <v>70484</v>
      </c>
      <c r="G307">
        <v>39</v>
      </c>
      <c r="H307">
        <v>8</v>
      </c>
      <c r="I307">
        <v>2</v>
      </c>
      <c r="J307">
        <v>14</v>
      </c>
      <c r="K307">
        <v>3.1</v>
      </c>
      <c r="L307" s="3">
        <v>8.1</v>
      </c>
      <c r="M307" t="s">
        <v>1034</v>
      </c>
      <c r="N307">
        <v>71.23</v>
      </c>
    </row>
    <row r="308" spans="1:14" x14ac:dyDescent="0.3">
      <c r="A308" t="s">
        <v>316</v>
      </c>
      <c r="B308" t="s">
        <v>1014</v>
      </c>
      <c r="C308" t="s">
        <v>1019</v>
      </c>
      <c r="D308">
        <v>42</v>
      </c>
      <c r="E308">
        <v>11</v>
      </c>
      <c r="F308" s="3">
        <v>82736</v>
      </c>
      <c r="G308">
        <v>44</v>
      </c>
      <c r="H308">
        <v>3</v>
      </c>
      <c r="I308">
        <v>12</v>
      </c>
      <c r="J308">
        <v>8</v>
      </c>
      <c r="K308">
        <v>3.9</v>
      </c>
      <c r="L308" s="3">
        <v>7.7</v>
      </c>
      <c r="M308" t="s">
        <v>1035</v>
      </c>
      <c r="N308">
        <v>62.9</v>
      </c>
    </row>
    <row r="309" spans="1:14" hidden="1" x14ac:dyDescent="0.3">
      <c r="A309" t="s">
        <v>317</v>
      </c>
      <c r="B309" t="s">
        <v>1015</v>
      </c>
      <c r="C309" t="s">
        <v>1020</v>
      </c>
      <c r="D309">
        <v>22</v>
      </c>
      <c r="E309">
        <v>0</v>
      </c>
      <c r="F309" s="3">
        <v>53842</v>
      </c>
      <c r="G309">
        <v>46</v>
      </c>
      <c r="H309">
        <v>12</v>
      </c>
      <c r="I309">
        <v>6</v>
      </c>
      <c r="J309">
        <v>40</v>
      </c>
      <c r="K309">
        <v>4.2</v>
      </c>
      <c r="L309" s="3">
        <v>9.4</v>
      </c>
      <c r="M309" t="s">
        <v>1034</v>
      </c>
      <c r="N309">
        <v>89</v>
      </c>
    </row>
    <row r="310" spans="1:14" hidden="1" x14ac:dyDescent="0.3">
      <c r="A310" t="s">
        <v>318</v>
      </c>
      <c r="B310" t="s">
        <v>1017</v>
      </c>
      <c r="C310" t="s">
        <v>1026</v>
      </c>
      <c r="D310">
        <v>35</v>
      </c>
      <c r="E310">
        <v>1</v>
      </c>
      <c r="F310" s="3">
        <v>83759</v>
      </c>
      <c r="G310">
        <v>38</v>
      </c>
      <c r="H310">
        <v>3</v>
      </c>
      <c r="I310">
        <v>24</v>
      </c>
      <c r="J310">
        <v>7</v>
      </c>
      <c r="K310">
        <v>3.8</v>
      </c>
      <c r="L310" s="3">
        <v>5.7</v>
      </c>
      <c r="M310" t="s">
        <v>1036</v>
      </c>
      <c r="N310">
        <v>50.6</v>
      </c>
    </row>
    <row r="311" spans="1:14" hidden="1" x14ac:dyDescent="0.3">
      <c r="A311" t="s">
        <v>319</v>
      </c>
      <c r="B311" t="s">
        <v>1016</v>
      </c>
      <c r="C311" t="s">
        <v>1033</v>
      </c>
      <c r="D311">
        <v>30</v>
      </c>
      <c r="E311">
        <v>3</v>
      </c>
      <c r="F311" s="3">
        <v>43151</v>
      </c>
      <c r="G311">
        <v>55</v>
      </c>
      <c r="H311">
        <v>2</v>
      </c>
      <c r="I311">
        <v>7</v>
      </c>
      <c r="J311">
        <v>35</v>
      </c>
      <c r="K311">
        <v>3.8</v>
      </c>
      <c r="L311" s="3">
        <v>8</v>
      </c>
      <c r="M311" t="s">
        <v>1034</v>
      </c>
      <c r="N311">
        <v>62.73</v>
      </c>
    </row>
    <row r="312" spans="1:14" x14ac:dyDescent="0.3">
      <c r="A312" t="s">
        <v>320</v>
      </c>
      <c r="B312" t="s">
        <v>1014</v>
      </c>
      <c r="C312" t="s">
        <v>1019</v>
      </c>
      <c r="D312">
        <v>41</v>
      </c>
      <c r="E312">
        <v>6</v>
      </c>
      <c r="F312" s="3">
        <v>58931</v>
      </c>
      <c r="G312">
        <v>54</v>
      </c>
      <c r="H312">
        <v>9</v>
      </c>
      <c r="I312">
        <v>6</v>
      </c>
      <c r="J312">
        <v>25</v>
      </c>
      <c r="K312">
        <v>2.9</v>
      </c>
      <c r="L312" s="3">
        <v>3.4</v>
      </c>
      <c r="M312" t="s">
        <v>1036</v>
      </c>
      <c r="N312">
        <v>44.1</v>
      </c>
    </row>
    <row r="313" spans="1:14" hidden="1" x14ac:dyDescent="0.3">
      <c r="A313" t="s">
        <v>321</v>
      </c>
      <c r="B313" t="s">
        <v>1017</v>
      </c>
      <c r="C313" t="s">
        <v>1026</v>
      </c>
      <c r="D313">
        <v>46</v>
      </c>
      <c r="E313">
        <v>3</v>
      </c>
      <c r="F313" s="3">
        <v>40799</v>
      </c>
      <c r="G313">
        <v>50</v>
      </c>
      <c r="H313">
        <v>11</v>
      </c>
      <c r="I313">
        <v>19</v>
      </c>
      <c r="J313">
        <v>4</v>
      </c>
      <c r="K313">
        <v>3.6</v>
      </c>
      <c r="L313" s="3">
        <v>9.8000000000000007</v>
      </c>
      <c r="M313" t="s">
        <v>1034</v>
      </c>
      <c r="N313">
        <v>87.93</v>
      </c>
    </row>
    <row r="314" spans="1:14" x14ac:dyDescent="0.3">
      <c r="A314" t="s">
        <v>322</v>
      </c>
      <c r="B314" t="s">
        <v>1016</v>
      </c>
      <c r="C314" t="s">
        <v>1023</v>
      </c>
      <c r="D314">
        <v>30</v>
      </c>
      <c r="E314">
        <v>6</v>
      </c>
      <c r="F314" s="3">
        <v>81414</v>
      </c>
      <c r="G314">
        <v>53</v>
      </c>
      <c r="H314">
        <v>7</v>
      </c>
      <c r="I314">
        <v>11</v>
      </c>
      <c r="J314">
        <v>34</v>
      </c>
      <c r="K314">
        <v>4</v>
      </c>
      <c r="L314" s="3">
        <v>8.3000000000000007</v>
      </c>
      <c r="M314" t="s">
        <v>1034</v>
      </c>
      <c r="N314">
        <v>73.47</v>
      </c>
    </row>
    <row r="315" spans="1:14" hidden="1" x14ac:dyDescent="0.3">
      <c r="A315" t="s">
        <v>323</v>
      </c>
      <c r="B315" t="s">
        <v>1014</v>
      </c>
      <c r="C315" t="s">
        <v>1025</v>
      </c>
      <c r="D315">
        <v>26</v>
      </c>
      <c r="E315">
        <v>0</v>
      </c>
      <c r="F315" s="3">
        <v>42182</v>
      </c>
      <c r="G315">
        <v>41</v>
      </c>
      <c r="H315">
        <v>1</v>
      </c>
      <c r="I315">
        <v>1</v>
      </c>
      <c r="J315">
        <v>25</v>
      </c>
      <c r="K315">
        <v>3.5</v>
      </c>
      <c r="L315" s="3">
        <v>7.4</v>
      </c>
      <c r="M315" t="s">
        <v>1035</v>
      </c>
      <c r="N315">
        <v>56.57</v>
      </c>
    </row>
    <row r="316" spans="1:14" x14ac:dyDescent="0.3">
      <c r="A316" t="s">
        <v>324</v>
      </c>
      <c r="B316" t="s">
        <v>1017</v>
      </c>
      <c r="C316" t="s">
        <v>1030</v>
      </c>
      <c r="D316">
        <v>49</v>
      </c>
      <c r="E316">
        <v>12</v>
      </c>
      <c r="F316" s="3">
        <v>30401</v>
      </c>
      <c r="G316">
        <v>55</v>
      </c>
      <c r="H316">
        <v>9</v>
      </c>
      <c r="I316">
        <v>17</v>
      </c>
      <c r="J316">
        <v>39</v>
      </c>
      <c r="K316">
        <v>2.5</v>
      </c>
      <c r="L316" s="3">
        <v>3.6</v>
      </c>
      <c r="M316" t="s">
        <v>1036</v>
      </c>
      <c r="N316">
        <v>44.1</v>
      </c>
    </row>
    <row r="317" spans="1:14" x14ac:dyDescent="0.3">
      <c r="A317" t="s">
        <v>325</v>
      </c>
      <c r="B317" t="s">
        <v>1015</v>
      </c>
      <c r="C317" t="s">
        <v>1020</v>
      </c>
      <c r="D317">
        <v>35</v>
      </c>
      <c r="E317">
        <v>12</v>
      </c>
      <c r="F317" s="3">
        <v>35182</v>
      </c>
      <c r="G317">
        <v>52</v>
      </c>
      <c r="H317">
        <v>6</v>
      </c>
      <c r="I317">
        <v>12</v>
      </c>
      <c r="J317">
        <v>37</v>
      </c>
      <c r="K317">
        <v>3.9</v>
      </c>
      <c r="L317" s="3">
        <v>8.8000000000000007</v>
      </c>
      <c r="M317" t="s">
        <v>1034</v>
      </c>
      <c r="N317">
        <v>74.5</v>
      </c>
    </row>
    <row r="318" spans="1:14" x14ac:dyDescent="0.3">
      <c r="A318" t="s">
        <v>326</v>
      </c>
      <c r="B318" t="s">
        <v>1014</v>
      </c>
      <c r="C318" t="s">
        <v>1025</v>
      </c>
      <c r="D318">
        <v>41</v>
      </c>
      <c r="E318">
        <v>13</v>
      </c>
      <c r="F318" s="3">
        <v>72838</v>
      </c>
      <c r="G318">
        <v>42</v>
      </c>
      <c r="H318">
        <v>1</v>
      </c>
      <c r="I318">
        <v>7</v>
      </c>
      <c r="J318">
        <v>5</v>
      </c>
      <c r="K318">
        <v>4.8</v>
      </c>
      <c r="L318" s="3">
        <v>3.8</v>
      </c>
      <c r="M318" t="s">
        <v>1036</v>
      </c>
      <c r="N318">
        <v>38.869999999999997</v>
      </c>
    </row>
    <row r="319" spans="1:14" hidden="1" x14ac:dyDescent="0.3">
      <c r="A319" t="s">
        <v>327</v>
      </c>
      <c r="B319" t="s">
        <v>1015</v>
      </c>
      <c r="C319" t="s">
        <v>1021</v>
      </c>
      <c r="D319">
        <v>25</v>
      </c>
      <c r="E319">
        <v>2</v>
      </c>
      <c r="F319" s="3">
        <v>68652</v>
      </c>
      <c r="G319">
        <v>40</v>
      </c>
      <c r="H319">
        <v>2</v>
      </c>
      <c r="I319">
        <v>0</v>
      </c>
      <c r="J319">
        <v>8</v>
      </c>
      <c r="K319">
        <v>4.0999999999999996</v>
      </c>
      <c r="L319" s="3">
        <v>4.0999999999999996</v>
      </c>
      <c r="M319" t="s">
        <v>1036</v>
      </c>
      <c r="N319">
        <v>40.229999999999997</v>
      </c>
    </row>
    <row r="320" spans="1:14" x14ac:dyDescent="0.3">
      <c r="A320" t="s">
        <v>328</v>
      </c>
      <c r="B320" t="s">
        <v>1015</v>
      </c>
      <c r="C320" t="s">
        <v>1029</v>
      </c>
      <c r="D320">
        <v>55</v>
      </c>
      <c r="E320">
        <v>8</v>
      </c>
      <c r="F320" s="3">
        <v>35942</v>
      </c>
      <c r="G320">
        <v>46</v>
      </c>
      <c r="H320">
        <v>3</v>
      </c>
      <c r="I320">
        <v>23</v>
      </c>
      <c r="J320">
        <v>17</v>
      </c>
      <c r="K320">
        <v>4.2</v>
      </c>
      <c r="L320" s="3">
        <v>3.8</v>
      </c>
      <c r="M320" t="s">
        <v>1036</v>
      </c>
      <c r="N320">
        <v>40.4</v>
      </c>
    </row>
    <row r="321" spans="1:14" hidden="1" x14ac:dyDescent="0.3">
      <c r="A321" t="s">
        <v>329</v>
      </c>
      <c r="B321" t="s">
        <v>1016</v>
      </c>
      <c r="C321" t="s">
        <v>1022</v>
      </c>
      <c r="D321">
        <v>49</v>
      </c>
      <c r="E321">
        <v>8</v>
      </c>
      <c r="F321" s="3">
        <v>59331</v>
      </c>
      <c r="G321">
        <v>37</v>
      </c>
      <c r="H321">
        <v>5</v>
      </c>
      <c r="I321">
        <v>22</v>
      </c>
      <c r="J321">
        <v>36</v>
      </c>
      <c r="K321">
        <v>3.9</v>
      </c>
      <c r="L321" s="3">
        <v>6.5</v>
      </c>
      <c r="M321" t="s">
        <v>1035</v>
      </c>
      <c r="N321">
        <v>59.03</v>
      </c>
    </row>
    <row r="322" spans="1:14" hidden="1" x14ac:dyDescent="0.3">
      <c r="A322" t="s">
        <v>330</v>
      </c>
      <c r="B322" t="s">
        <v>1016</v>
      </c>
      <c r="C322" t="s">
        <v>1022</v>
      </c>
      <c r="D322">
        <v>25</v>
      </c>
      <c r="E322">
        <v>3</v>
      </c>
      <c r="F322" s="3">
        <v>81319</v>
      </c>
      <c r="G322">
        <v>53</v>
      </c>
      <c r="H322">
        <v>3</v>
      </c>
      <c r="I322">
        <v>11</v>
      </c>
      <c r="J322">
        <v>10</v>
      </c>
      <c r="K322">
        <v>2.8</v>
      </c>
      <c r="L322" s="3">
        <v>3.7</v>
      </c>
      <c r="M322" t="s">
        <v>1036</v>
      </c>
      <c r="N322">
        <v>35.6</v>
      </c>
    </row>
    <row r="323" spans="1:14" hidden="1" x14ac:dyDescent="0.3">
      <c r="A323" t="s">
        <v>331</v>
      </c>
      <c r="B323" t="s">
        <v>1014</v>
      </c>
      <c r="C323" t="s">
        <v>1019</v>
      </c>
      <c r="D323">
        <v>36</v>
      </c>
      <c r="E323">
        <v>0</v>
      </c>
      <c r="F323" s="3">
        <v>27886</v>
      </c>
      <c r="G323">
        <v>35</v>
      </c>
      <c r="H323">
        <v>4</v>
      </c>
      <c r="I323">
        <v>1</v>
      </c>
      <c r="J323">
        <v>30</v>
      </c>
      <c r="K323">
        <v>3.1</v>
      </c>
      <c r="L323" s="3">
        <v>9.4</v>
      </c>
      <c r="M323" t="s">
        <v>1034</v>
      </c>
      <c r="N323">
        <v>72.37</v>
      </c>
    </row>
    <row r="324" spans="1:14" x14ac:dyDescent="0.3">
      <c r="A324" t="s">
        <v>332</v>
      </c>
      <c r="B324" t="s">
        <v>1014</v>
      </c>
      <c r="C324" t="s">
        <v>1031</v>
      </c>
      <c r="D324">
        <v>48</v>
      </c>
      <c r="E324">
        <v>7</v>
      </c>
      <c r="F324" s="3">
        <v>46089</v>
      </c>
      <c r="G324">
        <v>42</v>
      </c>
      <c r="H324">
        <v>7</v>
      </c>
      <c r="I324">
        <v>23</v>
      </c>
      <c r="J324">
        <v>20</v>
      </c>
      <c r="K324">
        <v>2.8</v>
      </c>
      <c r="L324" s="3">
        <v>3.5</v>
      </c>
      <c r="M324" t="s">
        <v>1036</v>
      </c>
      <c r="N324">
        <v>41.07</v>
      </c>
    </row>
    <row r="325" spans="1:14" hidden="1" x14ac:dyDescent="0.3">
      <c r="A325" t="s">
        <v>333</v>
      </c>
      <c r="B325" t="s">
        <v>1014</v>
      </c>
      <c r="C325" t="s">
        <v>1031</v>
      </c>
      <c r="D325">
        <v>54</v>
      </c>
      <c r="E325">
        <v>1</v>
      </c>
      <c r="F325" s="3">
        <v>36753</v>
      </c>
      <c r="G325">
        <v>42</v>
      </c>
      <c r="H325">
        <v>13</v>
      </c>
      <c r="I325">
        <v>16</v>
      </c>
      <c r="J325">
        <v>2</v>
      </c>
      <c r="K325">
        <v>4.9000000000000004</v>
      </c>
      <c r="L325" s="3">
        <v>3.5</v>
      </c>
      <c r="M325" t="s">
        <v>1036</v>
      </c>
      <c r="N325">
        <v>57.37</v>
      </c>
    </row>
    <row r="326" spans="1:14" x14ac:dyDescent="0.3">
      <c r="A326" t="s">
        <v>334</v>
      </c>
      <c r="B326" t="s">
        <v>1016</v>
      </c>
      <c r="C326" t="s">
        <v>1033</v>
      </c>
      <c r="D326">
        <v>41</v>
      </c>
      <c r="E326">
        <v>10</v>
      </c>
      <c r="F326" s="3">
        <v>30661</v>
      </c>
      <c r="G326">
        <v>52</v>
      </c>
      <c r="H326">
        <v>8</v>
      </c>
      <c r="I326">
        <v>0</v>
      </c>
      <c r="J326">
        <v>23</v>
      </c>
      <c r="K326">
        <v>2.6</v>
      </c>
      <c r="L326" s="3">
        <v>6.9</v>
      </c>
      <c r="M326" t="s">
        <v>1035</v>
      </c>
      <c r="N326">
        <v>62.53</v>
      </c>
    </row>
    <row r="327" spans="1:14" x14ac:dyDescent="0.3">
      <c r="A327" t="s">
        <v>335</v>
      </c>
      <c r="B327" t="s">
        <v>1015</v>
      </c>
      <c r="C327" t="s">
        <v>1029</v>
      </c>
      <c r="D327">
        <v>37</v>
      </c>
      <c r="E327">
        <v>14</v>
      </c>
      <c r="F327" s="3">
        <v>49135</v>
      </c>
      <c r="G327">
        <v>53</v>
      </c>
      <c r="H327">
        <v>8</v>
      </c>
      <c r="I327">
        <v>24</v>
      </c>
      <c r="J327">
        <v>12</v>
      </c>
      <c r="K327">
        <v>4.2</v>
      </c>
      <c r="L327" s="3">
        <v>6.8</v>
      </c>
      <c r="M327" t="s">
        <v>1035</v>
      </c>
      <c r="N327">
        <v>66.73</v>
      </c>
    </row>
    <row r="328" spans="1:14" hidden="1" x14ac:dyDescent="0.3">
      <c r="A328" t="s">
        <v>336</v>
      </c>
      <c r="B328" t="s">
        <v>1018</v>
      </c>
      <c r="C328" t="s">
        <v>1032</v>
      </c>
      <c r="D328">
        <v>22</v>
      </c>
      <c r="E328">
        <v>1</v>
      </c>
      <c r="F328" s="3">
        <v>26566</v>
      </c>
      <c r="G328">
        <v>42</v>
      </c>
      <c r="H328">
        <v>9</v>
      </c>
      <c r="I328">
        <v>11</v>
      </c>
      <c r="J328">
        <v>40</v>
      </c>
      <c r="K328">
        <v>4.5</v>
      </c>
      <c r="L328" s="3">
        <v>9.1</v>
      </c>
      <c r="M328" t="s">
        <v>1034</v>
      </c>
      <c r="N328">
        <v>83.1</v>
      </c>
    </row>
    <row r="329" spans="1:14" x14ac:dyDescent="0.3">
      <c r="A329" t="s">
        <v>337</v>
      </c>
      <c r="B329" t="s">
        <v>1014</v>
      </c>
      <c r="C329" t="s">
        <v>1019</v>
      </c>
      <c r="D329">
        <v>46</v>
      </c>
      <c r="E329">
        <v>9</v>
      </c>
      <c r="F329" s="3">
        <v>31812</v>
      </c>
      <c r="G329">
        <v>41</v>
      </c>
      <c r="H329">
        <v>9</v>
      </c>
      <c r="I329">
        <v>7</v>
      </c>
      <c r="J329">
        <v>26</v>
      </c>
      <c r="K329">
        <v>3.5</v>
      </c>
      <c r="L329" s="3">
        <v>3.4</v>
      </c>
      <c r="M329" t="s">
        <v>1036</v>
      </c>
      <c r="N329">
        <v>45.9</v>
      </c>
    </row>
    <row r="330" spans="1:14" hidden="1" x14ac:dyDescent="0.3">
      <c r="A330" t="s">
        <v>338</v>
      </c>
      <c r="B330" t="s">
        <v>1016</v>
      </c>
      <c r="C330" t="s">
        <v>1022</v>
      </c>
      <c r="D330">
        <v>27</v>
      </c>
      <c r="E330">
        <v>0</v>
      </c>
      <c r="F330" s="3">
        <v>85376</v>
      </c>
      <c r="G330">
        <v>42</v>
      </c>
      <c r="H330">
        <v>15</v>
      </c>
      <c r="I330">
        <v>16</v>
      </c>
      <c r="J330">
        <v>26</v>
      </c>
      <c r="K330">
        <v>4.0999999999999996</v>
      </c>
      <c r="L330" s="3">
        <v>5.6</v>
      </c>
      <c r="M330" t="s">
        <v>1036</v>
      </c>
      <c r="N330">
        <v>70.900000000000006</v>
      </c>
    </row>
    <row r="331" spans="1:14" hidden="1" x14ac:dyDescent="0.3">
      <c r="A331" t="s">
        <v>339</v>
      </c>
      <c r="B331" t="s">
        <v>1014</v>
      </c>
      <c r="C331" t="s">
        <v>1019</v>
      </c>
      <c r="D331">
        <v>28</v>
      </c>
      <c r="E331">
        <v>2</v>
      </c>
      <c r="F331" s="3">
        <v>66760</v>
      </c>
      <c r="G331">
        <v>47</v>
      </c>
      <c r="H331">
        <v>2</v>
      </c>
      <c r="I331">
        <v>18</v>
      </c>
      <c r="J331">
        <v>36</v>
      </c>
      <c r="K331">
        <v>2.2000000000000002</v>
      </c>
      <c r="L331" s="3">
        <v>7.6</v>
      </c>
      <c r="M331" t="s">
        <v>1035</v>
      </c>
      <c r="N331">
        <v>55.53</v>
      </c>
    </row>
    <row r="332" spans="1:14" x14ac:dyDescent="0.3">
      <c r="A332" t="s">
        <v>340</v>
      </c>
      <c r="B332" t="s">
        <v>1018</v>
      </c>
      <c r="C332" t="s">
        <v>1032</v>
      </c>
      <c r="D332">
        <v>40</v>
      </c>
      <c r="E332">
        <v>8</v>
      </c>
      <c r="F332" s="3">
        <v>80765</v>
      </c>
      <c r="G332">
        <v>45</v>
      </c>
      <c r="H332">
        <v>15</v>
      </c>
      <c r="I332">
        <v>25</v>
      </c>
      <c r="J332">
        <v>25</v>
      </c>
      <c r="K332">
        <v>4.0999999999999996</v>
      </c>
      <c r="L332" s="3">
        <v>8.1</v>
      </c>
      <c r="M332" t="s">
        <v>1034</v>
      </c>
      <c r="N332">
        <v>85.9</v>
      </c>
    </row>
    <row r="333" spans="1:14" x14ac:dyDescent="0.3">
      <c r="A333" t="s">
        <v>341</v>
      </c>
      <c r="B333" t="s">
        <v>1017</v>
      </c>
      <c r="C333" t="s">
        <v>1026</v>
      </c>
      <c r="D333">
        <v>39</v>
      </c>
      <c r="E333">
        <v>7</v>
      </c>
      <c r="F333" s="3">
        <v>29894</v>
      </c>
      <c r="G333">
        <v>41</v>
      </c>
      <c r="H333">
        <v>3</v>
      </c>
      <c r="I333">
        <v>24</v>
      </c>
      <c r="J333">
        <v>37</v>
      </c>
      <c r="K333">
        <v>2.2999999999999998</v>
      </c>
      <c r="L333" s="3">
        <v>3.7</v>
      </c>
      <c r="M333" t="s">
        <v>1036</v>
      </c>
      <c r="N333">
        <v>34.1</v>
      </c>
    </row>
    <row r="334" spans="1:14" x14ac:dyDescent="0.3">
      <c r="A334" t="s">
        <v>342</v>
      </c>
      <c r="B334" t="s">
        <v>1017</v>
      </c>
      <c r="C334" t="s">
        <v>1030</v>
      </c>
      <c r="D334">
        <v>42</v>
      </c>
      <c r="E334">
        <v>13</v>
      </c>
      <c r="F334" s="3">
        <v>32912</v>
      </c>
      <c r="G334">
        <v>52</v>
      </c>
      <c r="H334">
        <v>6</v>
      </c>
      <c r="I334">
        <v>24</v>
      </c>
      <c r="J334">
        <v>13</v>
      </c>
      <c r="K334">
        <v>3.4</v>
      </c>
      <c r="L334" s="3">
        <v>6.2</v>
      </c>
      <c r="M334" t="s">
        <v>1035</v>
      </c>
      <c r="N334">
        <v>57.4</v>
      </c>
    </row>
    <row r="335" spans="1:14" x14ac:dyDescent="0.3">
      <c r="A335" t="s">
        <v>343</v>
      </c>
      <c r="B335" t="s">
        <v>1014</v>
      </c>
      <c r="C335" t="s">
        <v>1031</v>
      </c>
      <c r="D335">
        <v>32</v>
      </c>
      <c r="E335">
        <v>10</v>
      </c>
      <c r="F335" s="3">
        <v>44937</v>
      </c>
      <c r="G335">
        <v>54</v>
      </c>
      <c r="H335">
        <v>1</v>
      </c>
      <c r="I335">
        <v>6</v>
      </c>
      <c r="J335">
        <v>20</v>
      </c>
      <c r="K335">
        <v>2.4</v>
      </c>
      <c r="L335" s="3">
        <v>8</v>
      </c>
      <c r="M335" t="s">
        <v>1034</v>
      </c>
      <c r="N335">
        <v>56.87</v>
      </c>
    </row>
    <row r="336" spans="1:14" hidden="1" x14ac:dyDescent="0.3">
      <c r="A336" t="s">
        <v>344</v>
      </c>
      <c r="B336" t="s">
        <v>1017</v>
      </c>
      <c r="C336" t="s">
        <v>1024</v>
      </c>
      <c r="D336">
        <v>54</v>
      </c>
      <c r="E336">
        <v>1</v>
      </c>
      <c r="F336" s="3">
        <v>69379</v>
      </c>
      <c r="G336">
        <v>44</v>
      </c>
      <c r="H336">
        <v>5</v>
      </c>
      <c r="I336">
        <v>5</v>
      </c>
      <c r="J336">
        <v>1</v>
      </c>
      <c r="K336">
        <v>4.9000000000000004</v>
      </c>
      <c r="L336" s="3">
        <v>9</v>
      </c>
      <c r="M336" t="s">
        <v>1034</v>
      </c>
      <c r="N336">
        <v>77.03</v>
      </c>
    </row>
    <row r="337" spans="1:14" hidden="1" x14ac:dyDescent="0.3">
      <c r="A337" t="s">
        <v>345</v>
      </c>
      <c r="B337" t="s">
        <v>1015</v>
      </c>
      <c r="C337" t="s">
        <v>1029</v>
      </c>
      <c r="D337">
        <v>37</v>
      </c>
      <c r="E337">
        <v>3</v>
      </c>
      <c r="F337" s="3">
        <v>55280</v>
      </c>
      <c r="G337">
        <v>38</v>
      </c>
      <c r="H337">
        <v>13</v>
      </c>
      <c r="I337">
        <v>25</v>
      </c>
      <c r="J337">
        <v>8</v>
      </c>
      <c r="K337">
        <v>2.4</v>
      </c>
      <c r="L337" s="3">
        <v>3.4</v>
      </c>
      <c r="M337" t="s">
        <v>1036</v>
      </c>
      <c r="N337">
        <v>49.27</v>
      </c>
    </row>
    <row r="338" spans="1:14" x14ac:dyDescent="0.3">
      <c r="A338" t="s">
        <v>346</v>
      </c>
      <c r="B338" t="s">
        <v>1018</v>
      </c>
      <c r="C338" t="s">
        <v>1028</v>
      </c>
      <c r="D338">
        <v>34</v>
      </c>
      <c r="E338">
        <v>13</v>
      </c>
      <c r="F338" s="3">
        <v>51252</v>
      </c>
      <c r="G338">
        <v>46</v>
      </c>
      <c r="H338">
        <v>11</v>
      </c>
      <c r="I338">
        <v>20</v>
      </c>
      <c r="J338">
        <v>5</v>
      </c>
      <c r="K338">
        <v>3.7</v>
      </c>
      <c r="L338" s="3">
        <v>4.8</v>
      </c>
      <c r="M338" t="s">
        <v>1036</v>
      </c>
      <c r="N338">
        <v>58.23</v>
      </c>
    </row>
    <row r="339" spans="1:14" hidden="1" x14ac:dyDescent="0.3">
      <c r="A339" t="s">
        <v>347</v>
      </c>
      <c r="B339" t="s">
        <v>1014</v>
      </c>
      <c r="C339" t="s">
        <v>1031</v>
      </c>
      <c r="D339">
        <v>26</v>
      </c>
      <c r="E339">
        <v>1</v>
      </c>
      <c r="F339" s="3">
        <v>84145</v>
      </c>
      <c r="G339">
        <v>55</v>
      </c>
      <c r="H339">
        <v>8</v>
      </c>
      <c r="I339">
        <v>25</v>
      </c>
      <c r="J339">
        <v>8</v>
      </c>
      <c r="K339">
        <v>2.2999999999999998</v>
      </c>
      <c r="L339" s="3">
        <v>8.9</v>
      </c>
      <c r="M339" t="s">
        <v>1034</v>
      </c>
      <c r="N339">
        <v>73.63</v>
      </c>
    </row>
    <row r="340" spans="1:14" hidden="1" x14ac:dyDescent="0.3">
      <c r="A340" t="s">
        <v>348</v>
      </c>
      <c r="B340" t="s">
        <v>1014</v>
      </c>
      <c r="C340" t="s">
        <v>1019</v>
      </c>
      <c r="D340">
        <v>24</v>
      </c>
      <c r="E340">
        <v>3</v>
      </c>
      <c r="F340" s="3">
        <v>28318</v>
      </c>
      <c r="G340">
        <v>40</v>
      </c>
      <c r="H340">
        <v>15</v>
      </c>
      <c r="I340">
        <v>18</v>
      </c>
      <c r="J340">
        <v>27</v>
      </c>
      <c r="K340">
        <v>4.5</v>
      </c>
      <c r="L340" s="3">
        <v>5.8</v>
      </c>
      <c r="M340" t="s">
        <v>1036</v>
      </c>
      <c r="N340">
        <v>73.3</v>
      </c>
    </row>
    <row r="341" spans="1:14" hidden="1" x14ac:dyDescent="0.3">
      <c r="A341" t="s">
        <v>349</v>
      </c>
      <c r="B341" t="s">
        <v>1017</v>
      </c>
      <c r="C341" t="s">
        <v>1030</v>
      </c>
      <c r="D341">
        <v>49</v>
      </c>
      <c r="E341">
        <v>5</v>
      </c>
      <c r="F341" s="3">
        <v>48196</v>
      </c>
      <c r="G341">
        <v>41</v>
      </c>
      <c r="H341">
        <v>15</v>
      </c>
      <c r="I341">
        <v>5</v>
      </c>
      <c r="J341">
        <v>17</v>
      </c>
      <c r="K341">
        <v>2.8</v>
      </c>
      <c r="L341" s="3">
        <v>9.1999999999999993</v>
      </c>
      <c r="M341" t="s">
        <v>1034</v>
      </c>
      <c r="N341">
        <v>88.6</v>
      </c>
    </row>
    <row r="342" spans="1:14" x14ac:dyDescent="0.3">
      <c r="A342" t="s">
        <v>350</v>
      </c>
      <c r="B342" t="s">
        <v>1015</v>
      </c>
      <c r="C342" t="s">
        <v>1029</v>
      </c>
      <c r="D342">
        <v>37</v>
      </c>
      <c r="E342">
        <v>9</v>
      </c>
      <c r="F342" s="3">
        <v>57695</v>
      </c>
      <c r="G342">
        <v>48</v>
      </c>
      <c r="H342">
        <v>15</v>
      </c>
      <c r="I342">
        <v>17</v>
      </c>
      <c r="J342">
        <v>30</v>
      </c>
      <c r="K342">
        <v>2.2000000000000002</v>
      </c>
      <c r="L342" s="3">
        <v>5</v>
      </c>
      <c r="M342" t="s">
        <v>1036</v>
      </c>
      <c r="N342">
        <v>61.6</v>
      </c>
    </row>
    <row r="343" spans="1:14" x14ac:dyDescent="0.3">
      <c r="A343" t="s">
        <v>351</v>
      </c>
      <c r="B343" t="s">
        <v>1017</v>
      </c>
      <c r="C343" t="s">
        <v>1024</v>
      </c>
      <c r="D343">
        <v>34</v>
      </c>
      <c r="E343">
        <v>10</v>
      </c>
      <c r="F343" s="3">
        <v>82976</v>
      </c>
      <c r="G343">
        <v>51</v>
      </c>
      <c r="H343">
        <v>4</v>
      </c>
      <c r="I343">
        <v>20</v>
      </c>
      <c r="J343">
        <v>34</v>
      </c>
      <c r="K343">
        <v>4.4000000000000004</v>
      </c>
      <c r="L343" s="3">
        <v>9.9</v>
      </c>
      <c r="M343" t="s">
        <v>1034</v>
      </c>
      <c r="N343">
        <v>79.27</v>
      </c>
    </row>
    <row r="344" spans="1:14" x14ac:dyDescent="0.3">
      <c r="A344" t="s">
        <v>352</v>
      </c>
      <c r="B344" t="s">
        <v>1016</v>
      </c>
      <c r="C344" t="s">
        <v>1022</v>
      </c>
      <c r="D344">
        <v>52</v>
      </c>
      <c r="E344">
        <v>15</v>
      </c>
      <c r="F344" s="3">
        <v>47546</v>
      </c>
      <c r="G344">
        <v>53</v>
      </c>
      <c r="H344">
        <v>9</v>
      </c>
      <c r="I344">
        <v>10</v>
      </c>
      <c r="J344">
        <v>24</v>
      </c>
      <c r="K344">
        <v>2.8</v>
      </c>
      <c r="L344" s="3">
        <v>3.2</v>
      </c>
      <c r="M344" t="s">
        <v>1036</v>
      </c>
      <c r="N344">
        <v>42.6</v>
      </c>
    </row>
    <row r="345" spans="1:14" hidden="1" x14ac:dyDescent="0.3">
      <c r="A345" t="s">
        <v>353</v>
      </c>
      <c r="B345" t="s">
        <v>1018</v>
      </c>
      <c r="C345" t="s">
        <v>1028</v>
      </c>
      <c r="D345">
        <v>23</v>
      </c>
      <c r="E345">
        <v>1</v>
      </c>
      <c r="F345" s="3">
        <v>28839</v>
      </c>
      <c r="G345">
        <v>50</v>
      </c>
      <c r="H345">
        <v>9</v>
      </c>
      <c r="I345">
        <v>11</v>
      </c>
      <c r="J345">
        <v>37</v>
      </c>
      <c r="K345">
        <v>5</v>
      </c>
      <c r="L345" s="3">
        <v>9.8000000000000007</v>
      </c>
      <c r="M345" t="s">
        <v>1034</v>
      </c>
      <c r="N345">
        <v>88.8</v>
      </c>
    </row>
    <row r="346" spans="1:14" hidden="1" x14ac:dyDescent="0.3">
      <c r="A346" t="s">
        <v>354</v>
      </c>
      <c r="B346" t="s">
        <v>1018</v>
      </c>
      <c r="C346" t="s">
        <v>1032</v>
      </c>
      <c r="D346">
        <v>37</v>
      </c>
      <c r="E346">
        <v>8</v>
      </c>
      <c r="F346" s="3">
        <v>59975</v>
      </c>
      <c r="G346">
        <v>36</v>
      </c>
      <c r="H346">
        <v>13</v>
      </c>
      <c r="I346">
        <v>7</v>
      </c>
      <c r="J346">
        <v>36</v>
      </c>
      <c r="K346">
        <v>4.5</v>
      </c>
      <c r="L346" s="3">
        <v>8.6</v>
      </c>
      <c r="M346" t="s">
        <v>1034</v>
      </c>
      <c r="N346">
        <v>86.77</v>
      </c>
    </row>
    <row r="347" spans="1:14" hidden="1" x14ac:dyDescent="0.3">
      <c r="A347" t="s">
        <v>355</v>
      </c>
      <c r="B347" t="s">
        <v>1018</v>
      </c>
      <c r="C347" t="s">
        <v>1027</v>
      </c>
      <c r="D347">
        <v>33</v>
      </c>
      <c r="E347">
        <v>3</v>
      </c>
      <c r="F347" s="3">
        <v>63831</v>
      </c>
      <c r="G347">
        <v>45</v>
      </c>
      <c r="H347">
        <v>13</v>
      </c>
      <c r="I347">
        <v>23</v>
      </c>
      <c r="J347">
        <v>22</v>
      </c>
      <c r="K347">
        <v>4.7</v>
      </c>
      <c r="L347" s="3">
        <v>3.2</v>
      </c>
      <c r="M347" t="s">
        <v>1036</v>
      </c>
      <c r="N347">
        <v>54.97</v>
      </c>
    </row>
    <row r="348" spans="1:14" x14ac:dyDescent="0.3">
      <c r="A348" t="s">
        <v>356</v>
      </c>
      <c r="B348" t="s">
        <v>1016</v>
      </c>
      <c r="C348" t="s">
        <v>1023</v>
      </c>
      <c r="D348">
        <v>31</v>
      </c>
      <c r="E348">
        <v>9</v>
      </c>
      <c r="F348" s="3">
        <v>87152</v>
      </c>
      <c r="G348">
        <v>41</v>
      </c>
      <c r="H348">
        <v>14</v>
      </c>
      <c r="I348">
        <v>25</v>
      </c>
      <c r="J348">
        <v>31</v>
      </c>
      <c r="K348">
        <v>3.6</v>
      </c>
      <c r="L348" s="3">
        <v>4.2</v>
      </c>
      <c r="M348" t="s">
        <v>1036</v>
      </c>
      <c r="N348">
        <v>59.33</v>
      </c>
    </row>
    <row r="349" spans="1:14" hidden="1" x14ac:dyDescent="0.3">
      <c r="A349" t="s">
        <v>357</v>
      </c>
      <c r="B349" t="s">
        <v>1014</v>
      </c>
      <c r="C349" t="s">
        <v>1019</v>
      </c>
      <c r="D349">
        <v>25</v>
      </c>
      <c r="E349">
        <v>1</v>
      </c>
      <c r="F349" s="3">
        <v>64430</v>
      </c>
      <c r="G349">
        <v>42</v>
      </c>
      <c r="H349">
        <v>1</v>
      </c>
      <c r="I349">
        <v>16</v>
      </c>
      <c r="J349">
        <v>30</v>
      </c>
      <c r="K349">
        <v>2</v>
      </c>
      <c r="L349" s="3">
        <v>9.4</v>
      </c>
      <c r="M349" t="s">
        <v>1034</v>
      </c>
      <c r="N349">
        <v>64.069999999999993</v>
      </c>
    </row>
    <row r="350" spans="1:14" hidden="1" x14ac:dyDescent="0.3">
      <c r="A350" t="s">
        <v>358</v>
      </c>
      <c r="B350" t="s">
        <v>1018</v>
      </c>
      <c r="C350" t="s">
        <v>1028</v>
      </c>
      <c r="D350">
        <v>43</v>
      </c>
      <c r="E350">
        <v>5</v>
      </c>
      <c r="F350" s="3">
        <v>85213</v>
      </c>
      <c r="G350">
        <v>45</v>
      </c>
      <c r="H350">
        <v>1</v>
      </c>
      <c r="I350">
        <v>0</v>
      </c>
      <c r="J350">
        <v>9</v>
      </c>
      <c r="K350">
        <v>3.8</v>
      </c>
      <c r="L350" s="3">
        <v>9.4</v>
      </c>
      <c r="M350" t="s">
        <v>1034</v>
      </c>
      <c r="N350">
        <v>69.47</v>
      </c>
    </row>
    <row r="351" spans="1:14" hidden="1" x14ac:dyDescent="0.3">
      <c r="A351" t="s">
        <v>359</v>
      </c>
      <c r="B351" t="s">
        <v>1015</v>
      </c>
      <c r="C351" t="s">
        <v>1029</v>
      </c>
      <c r="D351">
        <v>45</v>
      </c>
      <c r="E351">
        <v>2</v>
      </c>
      <c r="F351" s="3">
        <v>49483</v>
      </c>
      <c r="G351">
        <v>47</v>
      </c>
      <c r="H351">
        <v>10</v>
      </c>
      <c r="I351">
        <v>3</v>
      </c>
      <c r="J351">
        <v>21</v>
      </c>
      <c r="K351">
        <v>2.9</v>
      </c>
      <c r="L351" s="3">
        <v>4</v>
      </c>
      <c r="M351" t="s">
        <v>1036</v>
      </c>
      <c r="N351">
        <v>49.37</v>
      </c>
    </row>
    <row r="352" spans="1:14" x14ac:dyDescent="0.3">
      <c r="A352" t="s">
        <v>360</v>
      </c>
      <c r="B352" t="s">
        <v>1017</v>
      </c>
      <c r="C352" t="s">
        <v>1030</v>
      </c>
      <c r="D352">
        <v>53</v>
      </c>
      <c r="E352">
        <v>10</v>
      </c>
      <c r="F352" s="3">
        <v>36416</v>
      </c>
      <c r="G352">
        <v>52</v>
      </c>
      <c r="H352">
        <v>12</v>
      </c>
      <c r="I352">
        <v>19</v>
      </c>
      <c r="J352">
        <v>22</v>
      </c>
      <c r="K352">
        <v>2.7</v>
      </c>
      <c r="L352" s="3">
        <v>7.1</v>
      </c>
      <c r="M352" t="s">
        <v>1035</v>
      </c>
      <c r="N352">
        <v>70.7</v>
      </c>
    </row>
    <row r="353" spans="1:14" hidden="1" x14ac:dyDescent="0.3">
      <c r="A353" t="s">
        <v>361</v>
      </c>
      <c r="B353" t="s">
        <v>1017</v>
      </c>
      <c r="C353" t="s">
        <v>1024</v>
      </c>
      <c r="D353">
        <v>41</v>
      </c>
      <c r="E353">
        <v>9</v>
      </c>
      <c r="F353" s="3">
        <v>33345</v>
      </c>
      <c r="G353">
        <v>40</v>
      </c>
      <c r="H353">
        <v>12</v>
      </c>
      <c r="I353">
        <v>0</v>
      </c>
      <c r="J353">
        <v>36</v>
      </c>
      <c r="K353">
        <v>3.2</v>
      </c>
      <c r="L353" s="3">
        <v>10</v>
      </c>
      <c r="M353" t="s">
        <v>1034</v>
      </c>
      <c r="N353">
        <v>89.6</v>
      </c>
    </row>
    <row r="354" spans="1:14" x14ac:dyDescent="0.3">
      <c r="A354" t="s">
        <v>362</v>
      </c>
      <c r="B354" t="s">
        <v>1014</v>
      </c>
      <c r="C354" t="s">
        <v>1031</v>
      </c>
      <c r="D354">
        <v>33</v>
      </c>
      <c r="E354">
        <v>9</v>
      </c>
      <c r="F354" s="3">
        <v>45854</v>
      </c>
      <c r="G354">
        <v>54</v>
      </c>
      <c r="H354">
        <v>4</v>
      </c>
      <c r="I354">
        <v>20</v>
      </c>
      <c r="J354">
        <v>36</v>
      </c>
      <c r="K354">
        <v>2.2999999999999998</v>
      </c>
      <c r="L354" s="3">
        <v>6.5</v>
      </c>
      <c r="M354" t="s">
        <v>1035</v>
      </c>
      <c r="N354">
        <v>52.57</v>
      </c>
    </row>
    <row r="355" spans="1:14" x14ac:dyDescent="0.3">
      <c r="A355" t="s">
        <v>363</v>
      </c>
      <c r="B355" t="s">
        <v>1014</v>
      </c>
      <c r="C355" t="s">
        <v>1025</v>
      </c>
      <c r="D355">
        <v>37</v>
      </c>
      <c r="E355">
        <v>11</v>
      </c>
      <c r="F355" s="3">
        <v>89381</v>
      </c>
      <c r="G355">
        <v>45</v>
      </c>
      <c r="H355">
        <v>3</v>
      </c>
      <c r="I355">
        <v>20</v>
      </c>
      <c r="J355">
        <v>5</v>
      </c>
      <c r="K355">
        <v>4.5</v>
      </c>
      <c r="L355" s="3">
        <v>7.7</v>
      </c>
      <c r="M355" t="s">
        <v>1035</v>
      </c>
      <c r="N355">
        <v>64.7</v>
      </c>
    </row>
    <row r="356" spans="1:14" hidden="1" x14ac:dyDescent="0.3">
      <c r="A356" t="s">
        <v>364</v>
      </c>
      <c r="B356" t="s">
        <v>1016</v>
      </c>
      <c r="C356" t="s">
        <v>1022</v>
      </c>
      <c r="D356">
        <v>50</v>
      </c>
      <c r="E356">
        <v>0</v>
      </c>
      <c r="F356" s="3">
        <v>42380</v>
      </c>
      <c r="G356">
        <v>41</v>
      </c>
      <c r="H356">
        <v>4</v>
      </c>
      <c r="I356">
        <v>22</v>
      </c>
      <c r="J356">
        <v>4</v>
      </c>
      <c r="K356">
        <v>3.1</v>
      </c>
      <c r="L356" s="3">
        <v>8.5</v>
      </c>
      <c r="M356" t="s">
        <v>1034</v>
      </c>
      <c r="N356">
        <v>66.97</v>
      </c>
    </row>
    <row r="357" spans="1:14" hidden="1" x14ac:dyDescent="0.3">
      <c r="A357" t="s">
        <v>365</v>
      </c>
      <c r="B357" t="s">
        <v>1014</v>
      </c>
      <c r="C357" t="s">
        <v>1031</v>
      </c>
      <c r="D357">
        <v>25</v>
      </c>
      <c r="E357">
        <v>3</v>
      </c>
      <c r="F357" s="3">
        <v>53719</v>
      </c>
      <c r="G357">
        <v>48</v>
      </c>
      <c r="H357">
        <v>3</v>
      </c>
      <c r="I357">
        <v>13</v>
      </c>
      <c r="J357">
        <v>31</v>
      </c>
      <c r="K357">
        <v>4.5999999999999996</v>
      </c>
      <c r="L357" s="3">
        <v>5.5</v>
      </c>
      <c r="M357" t="s">
        <v>1036</v>
      </c>
      <c r="N357">
        <v>51.8</v>
      </c>
    </row>
    <row r="358" spans="1:14" x14ac:dyDescent="0.3">
      <c r="A358" t="s">
        <v>366</v>
      </c>
      <c r="B358" t="s">
        <v>1014</v>
      </c>
      <c r="C358" t="s">
        <v>1019</v>
      </c>
      <c r="D358">
        <v>52</v>
      </c>
      <c r="E358">
        <v>7</v>
      </c>
      <c r="F358" s="3">
        <v>35659</v>
      </c>
      <c r="G358">
        <v>49</v>
      </c>
      <c r="H358">
        <v>2</v>
      </c>
      <c r="I358">
        <v>25</v>
      </c>
      <c r="J358">
        <v>2</v>
      </c>
      <c r="K358">
        <v>2.9</v>
      </c>
      <c r="L358" s="3">
        <v>5.2</v>
      </c>
      <c r="M358" t="s">
        <v>1036</v>
      </c>
      <c r="N358">
        <v>43.23</v>
      </c>
    </row>
    <row r="359" spans="1:14" hidden="1" x14ac:dyDescent="0.3">
      <c r="A359" t="s">
        <v>367</v>
      </c>
      <c r="B359" t="s">
        <v>1014</v>
      </c>
      <c r="C359" t="s">
        <v>1019</v>
      </c>
      <c r="D359">
        <v>43</v>
      </c>
      <c r="E359">
        <v>5</v>
      </c>
      <c r="F359" s="3">
        <v>83191</v>
      </c>
      <c r="G359">
        <v>47</v>
      </c>
      <c r="H359">
        <v>3</v>
      </c>
      <c r="I359">
        <v>23</v>
      </c>
      <c r="J359">
        <v>4</v>
      </c>
      <c r="K359">
        <v>3.6</v>
      </c>
      <c r="L359" s="3">
        <v>9.3000000000000007</v>
      </c>
      <c r="M359" t="s">
        <v>1034</v>
      </c>
      <c r="N359">
        <v>71.599999999999994</v>
      </c>
    </row>
    <row r="360" spans="1:14" hidden="1" x14ac:dyDescent="0.3">
      <c r="A360" t="s">
        <v>368</v>
      </c>
      <c r="B360" t="s">
        <v>1016</v>
      </c>
      <c r="C360" t="s">
        <v>1023</v>
      </c>
      <c r="D360">
        <v>52</v>
      </c>
      <c r="E360">
        <v>0</v>
      </c>
      <c r="F360" s="3">
        <v>53267</v>
      </c>
      <c r="G360">
        <v>55</v>
      </c>
      <c r="H360">
        <v>3</v>
      </c>
      <c r="I360">
        <v>19</v>
      </c>
      <c r="J360">
        <v>27</v>
      </c>
      <c r="K360">
        <v>2.5</v>
      </c>
      <c r="L360" s="3">
        <v>3.7</v>
      </c>
      <c r="M360" t="s">
        <v>1036</v>
      </c>
      <c r="N360">
        <v>34.700000000000003</v>
      </c>
    </row>
    <row r="361" spans="1:14" x14ac:dyDescent="0.3">
      <c r="A361" t="s">
        <v>369</v>
      </c>
      <c r="B361" t="s">
        <v>1018</v>
      </c>
      <c r="C361" t="s">
        <v>1032</v>
      </c>
      <c r="D361">
        <v>48</v>
      </c>
      <c r="E361">
        <v>8</v>
      </c>
      <c r="F361" s="3">
        <v>68292</v>
      </c>
      <c r="G361">
        <v>44</v>
      </c>
      <c r="H361">
        <v>5</v>
      </c>
      <c r="I361">
        <v>7</v>
      </c>
      <c r="J361">
        <v>6</v>
      </c>
      <c r="K361">
        <v>2.1</v>
      </c>
      <c r="L361" s="3">
        <v>7</v>
      </c>
      <c r="M361" t="s">
        <v>1035</v>
      </c>
      <c r="N361">
        <v>56.63</v>
      </c>
    </row>
    <row r="362" spans="1:14" hidden="1" x14ac:dyDescent="0.3">
      <c r="A362" t="s">
        <v>370</v>
      </c>
      <c r="B362" t="s">
        <v>1018</v>
      </c>
      <c r="C362" t="s">
        <v>1028</v>
      </c>
      <c r="D362">
        <v>25</v>
      </c>
      <c r="E362">
        <v>2</v>
      </c>
      <c r="F362" s="3">
        <v>25250</v>
      </c>
      <c r="G362">
        <v>48</v>
      </c>
      <c r="H362">
        <v>2</v>
      </c>
      <c r="I362">
        <v>9</v>
      </c>
      <c r="J362">
        <v>40</v>
      </c>
      <c r="K362">
        <v>3.8</v>
      </c>
      <c r="L362" s="3">
        <v>4.4000000000000004</v>
      </c>
      <c r="M362" t="s">
        <v>1036</v>
      </c>
      <c r="N362">
        <v>41.13</v>
      </c>
    </row>
    <row r="363" spans="1:14" hidden="1" x14ac:dyDescent="0.3">
      <c r="A363" t="s">
        <v>371</v>
      </c>
      <c r="B363" t="s">
        <v>1018</v>
      </c>
      <c r="C363" t="s">
        <v>1027</v>
      </c>
      <c r="D363">
        <v>32</v>
      </c>
      <c r="E363">
        <v>10</v>
      </c>
      <c r="F363" s="3">
        <v>44124</v>
      </c>
      <c r="G363">
        <v>37</v>
      </c>
      <c r="H363">
        <v>8</v>
      </c>
      <c r="I363">
        <v>3</v>
      </c>
      <c r="J363">
        <v>19</v>
      </c>
      <c r="K363">
        <v>4.4000000000000004</v>
      </c>
      <c r="L363" s="3">
        <v>6.3</v>
      </c>
      <c r="M363" t="s">
        <v>1035</v>
      </c>
      <c r="N363">
        <v>64.33</v>
      </c>
    </row>
    <row r="364" spans="1:14" hidden="1" x14ac:dyDescent="0.3">
      <c r="A364" t="s">
        <v>372</v>
      </c>
      <c r="B364" t="s">
        <v>1016</v>
      </c>
      <c r="C364" t="s">
        <v>1033</v>
      </c>
      <c r="D364">
        <v>27</v>
      </c>
      <c r="E364">
        <v>5</v>
      </c>
      <c r="F364" s="3">
        <v>60659</v>
      </c>
      <c r="G364">
        <v>47</v>
      </c>
      <c r="H364">
        <v>3</v>
      </c>
      <c r="I364">
        <v>11</v>
      </c>
      <c r="J364">
        <v>24</v>
      </c>
      <c r="K364">
        <v>3.1</v>
      </c>
      <c r="L364" s="3">
        <v>6.1</v>
      </c>
      <c r="M364" t="s">
        <v>1035</v>
      </c>
      <c r="N364">
        <v>50.9</v>
      </c>
    </row>
    <row r="365" spans="1:14" x14ac:dyDescent="0.3">
      <c r="A365" t="s">
        <v>373</v>
      </c>
      <c r="B365" t="s">
        <v>1017</v>
      </c>
      <c r="C365" t="s">
        <v>1030</v>
      </c>
      <c r="D365">
        <v>51</v>
      </c>
      <c r="E365">
        <v>8</v>
      </c>
      <c r="F365" s="3">
        <v>39827</v>
      </c>
      <c r="G365">
        <v>43</v>
      </c>
      <c r="H365">
        <v>10</v>
      </c>
      <c r="I365">
        <v>1</v>
      </c>
      <c r="J365">
        <v>9</v>
      </c>
      <c r="K365">
        <v>4.3</v>
      </c>
      <c r="L365" s="3">
        <v>7.7</v>
      </c>
      <c r="M365" t="s">
        <v>1035</v>
      </c>
      <c r="N365">
        <v>75.77</v>
      </c>
    </row>
    <row r="366" spans="1:14" hidden="1" x14ac:dyDescent="0.3">
      <c r="A366" t="s">
        <v>374</v>
      </c>
      <c r="B366" t="s">
        <v>1016</v>
      </c>
      <c r="C366" t="s">
        <v>1033</v>
      </c>
      <c r="D366">
        <v>48</v>
      </c>
      <c r="E366">
        <v>7</v>
      </c>
      <c r="F366" s="3">
        <v>61280</v>
      </c>
      <c r="G366">
        <v>36</v>
      </c>
      <c r="H366">
        <v>14</v>
      </c>
      <c r="I366">
        <v>12</v>
      </c>
      <c r="J366">
        <v>33</v>
      </c>
      <c r="K366">
        <v>3.3</v>
      </c>
      <c r="L366" s="3">
        <v>6.7</v>
      </c>
      <c r="M366" t="s">
        <v>1035</v>
      </c>
      <c r="N366">
        <v>73.430000000000007</v>
      </c>
    </row>
    <row r="367" spans="1:14" hidden="1" x14ac:dyDescent="0.3">
      <c r="A367" t="s">
        <v>375</v>
      </c>
      <c r="B367" t="s">
        <v>1015</v>
      </c>
      <c r="C367" t="s">
        <v>1020</v>
      </c>
      <c r="D367">
        <v>37</v>
      </c>
      <c r="E367">
        <v>15</v>
      </c>
      <c r="F367" s="3">
        <v>44585</v>
      </c>
      <c r="G367">
        <v>37</v>
      </c>
      <c r="H367">
        <v>7</v>
      </c>
      <c r="I367">
        <v>22</v>
      </c>
      <c r="J367">
        <v>2</v>
      </c>
      <c r="K367">
        <v>3.5</v>
      </c>
      <c r="L367" s="3">
        <v>9.3000000000000007</v>
      </c>
      <c r="M367" t="s">
        <v>1034</v>
      </c>
      <c r="N367">
        <v>77.97</v>
      </c>
    </row>
    <row r="368" spans="1:14" hidden="1" x14ac:dyDescent="0.3">
      <c r="A368" t="s">
        <v>376</v>
      </c>
      <c r="B368" t="s">
        <v>1015</v>
      </c>
      <c r="C368" t="s">
        <v>1021</v>
      </c>
      <c r="D368">
        <v>31</v>
      </c>
      <c r="E368">
        <v>1</v>
      </c>
      <c r="F368" s="3">
        <v>87210</v>
      </c>
      <c r="G368">
        <v>49</v>
      </c>
      <c r="H368">
        <v>3</v>
      </c>
      <c r="I368">
        <v>5</v>
      </c>
      <c r="J368">
        <v>13</v>
      </c>
      <c r="K368">
        <v>4.4000000000000004</v>
      </c>
      <c r="L368" s="3">
        <v>3.9</v>
      </c>
      <c r="M368" t="s">
        <v>1036</v>
      </c>
      <c r="N368">
        <v>41.6</v>
      </c>
    </row>
    <row r="369" spans="1:14" x14ac:dyDescent="0.3">
      <c r="A369" t="s">
        <v>377</v>
      </c>
      <c r="B369" t="s">
        <v>1014</v>
      </c>
      <c r="C369" t="s">
        <v>1019</v>
      </c>
      <c r="D369">
        <v>49</v>
      </c>
      <c r="E369">
        <v>6</v>
      </c>
      <c r="F369" s="3">
        <v>78907</v>
      </c>
      <c r="G369">
        <v>55</v>
      </c>
      <c r="H369">
        <v>3</v>
      </c>
      <c r="I369">
        <v>19</v>
      </c>
      <c r="J369">
        <v>16</v>
      </c>
      <c r="K369">
        <v>3</v>
      </c>
      <c r="L369" s="3">
        <v>8.1</v>
      </c>
      <c r="M369" t="s">
        <v>1034</v>
      </c>
      <c r="N369">
        <v>62.6</v>
      </c>
    </row>
    <row r="370" spans="1:14" x14ac:dyDescent="0.3">
      <c r="A370" t="s">
        <v>378</v>
      </c>
      <c r="B370" t="s">
        <v>1014</v>
      </c>
      <c r="C370" t="s">
        <v>1025</v>
      </c>
      <c r="D370">
        <v>46</v>
      </c>
      <c r="E370">
        <v>12</v>
      </c>
      <c r="F370" s="3">
        <v>61179</v>
      </c>
      <c r="G370">
        <v>45</v>
      </c>
      <c r="H370">
        <v>14</v>
      </c>
      <c r="I370">
        <v>8</v>
      </c>
      <c r="J370">
        <v>33</v>
      </c>
      <c r="K370">
        <v>3.4</v>
      </c>
      <c r="L370" s="3">
        <v>9.1</v>
      </c>
      <c r="M370" t="s">
        <v>1034</v>
      </c>
      <c r="N370">
        <v>88.13</v>
      </c>
    </row>
    <row r="371" spans="1:14" x14ac:dyDescent="0.3">
      <c r="A371" t="s">
        <v>379</v>
      </c>
      <c r="B371" t="s">
        <v>1015</v>
      </c>
      <c r="C371" t="s">
        <v>1029</v>
      </c>
      <c r="D371">
        <v>55</v>
      </c>
      <c r="E371">
        <v>13</v>
      </c>
      <c r="F371" s="3">
        <v>32374</v>
      </c>
      <c r="G371">
        <v>48</v>
      </c>
      <c r="H371">
        <v>3</v>
      </c>
      <c r="I371">
        <v>4</v>
      </c>
      <c r="J371">
        <v>36</v>
      </c>
      <c r="K371">
        <v>3.8</v>
      </c>
      <c r="L371" s="3">
        <v>8.3000000000000007</v>
      </c>
      <c r="M371" t="s">
        <v>1034</v>
      </c>
      <c r="N371">
        <v>66.2</v>
      </c>
    </row>
    <row r="372" spans="1:14" hidden="1" x14ac:dyDescent="0.3">
      <c r="A372" t="s">
        <v>380</v>
      </c>
      <c r="B372" t="s">
        <v>1014</v>
      </c>
      <c r="C372" t="s">
        <v>1025</v>
      </c>
      <c r="D372">
        <v>28</v>
      </c>
      <c r="E372">
        <v>4</v>
      </c>
      <c r="F372" s="3">
        <v>81850</v>
      </c>
      <c r="G372">
        <v>52</v>
      </c>
      <c r="H372">
        <v>15</v>
      </c>
      <c r="I372">
        <v>11</v>
      </c>
      <c r="J372">
        <v>26</v>
      </c>
      <c r="K372">
        <v>2.8</v>
      </c>
      <c r="L372" s="3">
        <v>7.6</v>
      </c>
      <c r="M372" t="s">
        <v>1035</v>
      </c>
      <c r="N372">
        <v>79</v>
      </c>
    </row>
    <row r="373" spans="1:14" hidden="1" x14ac:dyDescent="0.3">
      <c r="A373" t="s">
        <v>381</v>
      </c>
      <c r="B373" t="s">
        <v>1015</v>
      </c>
      <c r="C373" t="s">
        <v>1029</v>
      </c>
      <c r="D373">
        <v>52</v>
      </c>
      <c r="E373">
        <v>1</v>
      </c>
      <c r="F373" s="3">
        <v>36285</v>
      </c>
      <c r="G373">
        <v>43</v>
      </c>
      <c r="H373">
        <v>7</v>
      </c>
      <c r="I373">
        <v>4</v>
      </c>
      <c r="J373">
        <v>39</v>
      </c>
      <c r="K373">
        <v>3.8</v>
      </c>
      <c r="L373" s="3">
        <v>7.9</v>
      </c>
      <c r="M373" t="s">
        <v>1035</v>
      </c>
      <c r="N373">
        <v>70.47</v>
      </c>
    </row>
    <row r="374" spans="1:14" x14ac:dyDescent="0.3">
      <c r="A374" t="s">
        <v>382</v>
      </c>
      <c r="B374" t="s">
        <v>1017</v>
      </c>
      <c r="C374" t="s">
        <v>1026</v>
      </c>
      <c r="D374">
        <v>43</v>
      </c>
      <c r="E374">
        <v>7</v>
      </c>
      <c r="F374" s="3">
        <v>28230</v>
      </c>
      <c r="G374">
        <v>50</v>
      </c>
      <c r="H374">
        <v>15</v>
      </c>
      <c r="I374">
        <v>8</v>
      </c>
      <c r="J374">
        <v>23</v>
      </c>
      <c r="K374">
        <v>2.1</v>
      </c>
      <c r="L374" s="3">
        <v>8.6999999999999993</v>
      </c>
      <c r="M374" t="s">
        <v>1034</v>
      </c>
      <c r="N374">
        <v>83.5</v>
      </c>
    </row>
    <row r="375" spans="1:14" hidden="1" x14ac:dyDescent="0.3">
      <c r="A375" t="s">
        <v>383</v>
      </c>
      <c r="B375" t="s">
        <v>1016</v>
      </c>
      <c r="C375" t="s">
        <v>1033</v>
      </c>
      <c r="D375">
        <v>39</v>
      </c>
      <c r="E375">
        <v>15</v>
      </c>
      <c r="F375" s="3">
        <v>81245</v>
      </c>
      <c r="G375">
        <v>38</v>
      </c>
      <c r="H375">
        <v>14</v>
      </c>
      <c r="I375">
        <v>7</v>
      </c>
      <c r="J375">
        <v>8</v>
      </c>
      <c r="K375">
        <v>2.9</v>
      </c>
      <c r="L375" s="3">
        <v>8.1999999999999993</v>
      </c>
      <c r="M375" t="s">
        <v>1034</v>
      </c>
      <c r="N375">
        <v>81.23</v>
      </c>
    </row>
    <row r="376" spans="1:14" hidden="1" x14ac:dyDescent="0.3">
      <c r="A376" t="s">
        <v>384</v>
      </c>
      <c r="B376" t="s">
        <v>1016</v>
      </c>
      <c r="C376" t="s">
        <v>1023</v>
      </c>
      <c r="D376">
        <v>48</v>
      </c>
      <c r="E376">
        <v>2</v>
      </c>
      <c r="F376" s="3">
        <v>37316</v>
      </c>
      <c r="G376">
        <v>49</v>
      </c>
      <c r="H376">
        <v>4</v>
      </c>
      <c r="I376">
        <v>13</v>
      </c>
      <c r="J376">
        <v>31</v>
      </c>
      <c r="K376">
        <v>4.3</v>
      </c>
      <c r="L376" s="3">
        <v>9.1</v>
      </c>
      <c r="M376" t="s">
        <v>1034</v>
      </c>
      <c r="N376">
        <v>74.17</v>
      </c>
    </row>
    <row r="377" spans="1:14" hidden="1" x14ac:dyDescent="0.3">
      <c r="A377" t="s">
        <v>385</v>
      </c>
      <c r="B377" t="s">
        <v>1015</v>
      </c>
      <c r="C377" t="s">
        <v>1029</v>
      </c>
      <c r="D377">
        <v>32</v>
      </c>
      <c r="E377">
        <v>1</v>
      </c>
      <c r="F377" s="3">
        <v>45389</v>
      </c>
      <c r="G377">
        <v>51</v>
      </c>
      <c r="H377">
        <v>7</v>
      </c>
      <c r="I377">
        <v>4</v>
      </c>
      <c r="J377">
        <v>33</v>
      </c>
      <c r="K377">
        <v>4.5999999999999996</v>
      </c>
      <c r="L377" s="3">
        <v>3.2</v>
      </c>
      <c r="M377" t="s">
        <v>1036</v>
      </c>
      <c r="N377">
        <v>44.67</v>
      </c>
    </row>
    <row r="378" spans="1:14" hidden="1" x14ac:dyDescent="0.3">
      <c r="A378" t="s">
        <v>386</v>
      </c>
      <c r="B378" t="s">
        <v>1018</v>
      </c>
      <c r="C378" t="s">
        <v>1027</v>
      </c>
      <c r="D378">
        <v>25</v>
      </c>
      <c r="E378">
        <v>1</v>
      </c>
      <c r="F378" s="3">
        <v>27167</v>
      </c>
      <c r="G378">
        <v>49</v>
      </c>
      <c r="H378">
        <v>1</v>
      </c>
      <c r="I378">
        <v>11</v>
      </c>
      <c r="J378">
        <v>12</v>
      </c>
      <c r="K378">
        <v>2.8</v>
      </c>
      <c r="L378" s="3">
        <v>8.8000000000000007</v>
      </c>
      <c r="M378" t="s">
        <v>1034</v>
      </c>
      <c r="N378">
        <v>62.87</v>
      </c>
    </row>
    <row r="379" spans="1:14" hidden="1" x14ac:dyDescent="0.3">
      <c r="A379" t="s">
        <v>387</v>
      </c>
      <c r="B379" t="s">
        <v>1017</v>
      </c>
      <c r="C379" t="s">
        <v>1024</v>
      </c>
      <c r="D379">
        <v>29</v>
      </c>
      <c r="E379">
        <v>0</v>
      </c>
      <c r="F379" s="3">
        <v>40855</v>
      </c>
      <c r="G379">
        <v>46</v>
      </c>
      <c r="H379">
        <v>8</v>
      </c>
      <c r="I379">
        <v>19</v>
      </c>
      <c r="J379">
        <v>28</v>
      </c>
      <c r="K379">
        <v>2.5</v>
      </c>
      <c r="L379" s="3">
        <v>9.1</v>
      </c>
      <c r="M379" t="s">
        <v>1034</v>
      </c>
      <c r="N379">
        <v>75.430000000000007</v>
      </c>
    </row>
    <row r="380" spans="1:14" x14ac:dyDescent="0.3">
      <c r="A380" t="s">
        <v>388</v>
      </c>
      <c r="B380" t="s">
        <v>1015</v>
      </c>
      <c r="C380" t="s">
        <v>1029</v>
      </c>
      <c r="D380">
        <v>44</v>
      </c>
      <c r="E380">
        <v>11</v>
      </c>
      <c r="F380" s="3">
        <v>35716</v>
      </c>
      <c r="G380">
        <v>43</v>
      </c>
      <c r="H380">
        <v>12</v>
      </c>
      <c r="I380">
        <v>22</v>
      </c>
      <c r="J380">
        <v>5</v>
      </c>
      <c r="K380">
        <v>2.9</v>
      </c>
      <c r="L380" s="3">
        <v>5.7</v>
      </c>
      <c r="M380" t="s">
        <v>1036</v>
      </c>
      <c r="N380">
        <v>62.9</v>
      </c>
    </row>
    <row r="381" spans="1:14" x14ac:dyDescent="0.3">
      <c r="A381" t="s">
        <v>389</v>
      </c>
      <c r="B381" t="s">
        <v>1015</v>
      </c>
      <c r="C381" t="s">
        <v>1029</v>
      </c>
      <c r="D381">
        <v>35</v>
      </c>
      <c r="E381">
        <v>13</v>
      </c>
      <c r="F381" s="3">
        <v>39506</v>
      </c>
      <c r="G381">
        <v>55</v>
      </c>
      <c r="H381">
        <v>4</v>
      </c>
      <c r="I381">
        <v>21</v>
      </c>
      <c r="J381">
        <v>13</v>
      </c>
      <c r="K381">
        <v>2.8</v>
      </c>
      <c r="L381" s="3">
        <v>5.9</v>
      </c>
      <c r="M381" t="s">
        <v>1036</v>
      </c>
      <c r="N381">
        <v>50.47</v>
      </c>
    </row>
    <row r="382" spans="1:14" hidden="1" x14ac:dyDescent="0.3">
      <c r="A382" t="s">
        <v>390</v>
      </c>
      <c r="B382" t="s">
        <v>1014</v>
      </c>
      <c r="C382" t="s">
        <v>1031</v>
      </c>
      <c r="D382">
        <v>52</v>
      </c>
      <c r="E382">
        <v>4</v>
      </c>
      <c r="F382" s="3">
        <v>67426</v>
      </c>
      <c r="G382">
        <v>40</v>
      </c>
      <c r="H382">
        <v>10</v>
      </c>
      <c r="I382">
        <v>25</v>
      </c>
      <c r="J382">
        <v>0</v>
      </c>
      <c r="K382">
        <v>2.7</v>
      </c>
      <c r="L382" s="3">
        <v>7.3</v>
      </c>
      <c r="M382" t="s">
        <v>1035</v>
      </c>
      <c r="N382">
        <v>68.569999999999993</v>
      </c>
    </row>
    <row r="383" spans="1:14" x14ac:dyDescent="0.3">
      <c r="A383" t="s">
        <v>391</v>
      </c>
      <c r="B383" t="s">
        <v>1016</v>
      </c>
      <c r="C383" t="s">
        <v>1022</v>
      </c>
      <c r="D383">
        <v>49</v>
      </c>
      <c r="E383">
        <v>12</v>
      </c>
      <c r="F383" s="3">
        <v>80809</v>
      </c>
      <c r="G383">
        <v>46</v>
      </c>
      <c r="H383">
        <v>8</v>
      </c>
      <c r="I383">
        <v>8</v>
      </c>
      <c r="J383">
        <v>13</v>
      </c>
      <c r="K383">
        <v>3.4</v>
      </c>
      <c r="L383" s="3">
        <v>7.7</v>
      </c>
      <c r="M383" t="s">
        <v>1035</v>
      </c>
      <c r="N383">
        <v>69.73</v>
      </c>
    </row>
    <row r="384" spans="1:14" hidden="1" x14ac:dyDescent="0.3">
      <c r="A384" t="s">
        <v>392</v>
      </c>
      <c r="B384" t="s">
        <v>1017</v>
      </c>
      <c r="C384" t="s">
        <v>1030</v>
      </c>
      <c r="D384">
        <v>28</v>
      </c>
      <c r="E384">
        <v>0</v>
      </c>
      <c r="F384" s="3">
        <v>58522</v>
      </c>
      <c r="G384">
        <v>46</v>
      </c>
      <c r="H384">
        <v>9</v>
      </c>
      <c r="I384">
        <v>20</v>
      </c>
      <c r="J384">
        <v>38</v>
      </c>
      <c r="K384">
        <v>3.8</v>
      </c>
      <c r="L384" s="3">
        <v>5.0999999999999996</v>
      </c>
      <c r="M384" t="s">
        <v>1036</v>
      </c>
      <c r="N384">
        <v>57</v>
      </c>
    </row>
    <row r="385" spans="1:14" hidden="1" x14ac:dyDescent="0.3">
      <c r="A385" t="s">
        <v>393</v>
      </c>
      <c r="B385" t="s">
        <v>1017</v>
      </c>
      <c r="C385" t="s">
        <v>1024</v>
      </c>
      <c r="D385">
        <v>26</v>
      </c>
      <c r="E385">
        <v>2</v>
      </c>
      <c r="F385" s="3">
        <v>89773</v>
      </c>
      <c r="G385">
        <v>43</v>
      </c>
      <c r="H385">
        <v>11</v>
      </c>
      <c r="I385">
        <v>10</v>
      </c>
      <c r="J385">
        <v>17</v>
      </c>
      <c r="K385">
        <v>2.8</v>
      </c>
      <c r="L385" s="3">
        <v>8</v>
      </c>
      <c r="M385" t="s">
        <v>1034</v>
      </c>
      <c r="N385">
        <v>74.73</v>
      </c>
    </row>
    <row r="386" spans="1:14" hidden="1" x14ac:dyDescent="0.3">
      <c r="A386" t="s">
        <v>394</v>
      </c>
      <c r="B386" t="s">
        <v>1016</v>
      </c>
      <c r="C386" t="s">
        <v>1023</v>
      </c>
      <c r="D386">
        <v>34</v>
      </c>
      <c r="E386">
        <v>2</v>
      </c>
      <c r="F386" s="3">
        <v>58901</v>
      </c>
      <c r="G386">
        <v>42</v>
      </c>
      <c r="H386">
        <v>15</v>
      </c>
      <c r="I386">
        <v>1</v>
      </c>
      <c r="J386">
        <v>38</v>
      </c>
      <c r="K386">
        <v>3.2</v>
      </c>
      <c r="L386" s="3">
        <v>5.2</v>
      </c>
      <c r="M386" t="s">
        <v>1036</v>
      </c>
      <c r="N386">
        <v>65.8</v>
      </c>
    </row>
    <row r="387" spans="1:14" x14ac:dyDescent="0.3">
      <c r="A387" t="s">
        <v>395</v>
      </c>
      <c r="B387" t="s">
        <v>1014</v>
      </c>
      <c r="C387" t="s">
        <v>1019</v>
      </c>
      <c r="D387">
        <v>53</v>
      </c>
      <c r="E387">
        <v>9</v>
      </c>
      <c r="F387" s="3">
        <v>42001</v>
      </c>
      <c r="G387">
        <v>48</v>
      </c>
      <c r="H387">
        <v>7</v>
      </c>
      <c r="I387">
        <v>12</v>
      </c>
      <c r="J387">
        <v>2</v>
      </c>
      <c r="K387">
        <v>3.7</v>
      </c>
      <c r="L387" s="3">
        <v>10</v>
      </c>
      <c r="M387" t="s">
        <v>1034</v>
      </c>
      <c r="N387">
        <v>82.77</v>
      </c>
    </row>
    <row r="388" spans="1:14" x14ac:dyDescent="0.3">
      <c r="A388" t="s">
        <v>396</v>
      </c>
      <c r="B388" t="s">
        <v>1016</v>
      </c>
      <c r="C388" t="s">
        <v>1023</v>
      </c>
      <c r="D388">
        <v>36</v>
      </c>
      <c r="E388">
        <v>15</v>
      </c>
      <c r="F388" s="3">
        <v>84410</v>
      </c>
      <c r="G388">
        <v>46</v>
      </c>
      <c r="H388">
        <v>9</v>
      </c>
      <c r="I388">
        <v>9</v>
      </c>
      <c r="J388">
        <v>10</v>
      </c>
      <c r="K388">
        <v>4.5</v>
      </c>
      <c r="L388" s="3">
        <v>9.1</v>
      </c>
      <c r="M388" t="s">
        <v>1034</v>
      </c>
      <c r="N388">
        <v>83.1</v>
      </c>
    </row>
    <row r="389" spans="1:14" x14ac:dyDescent="0.3">
      <c r="A389" t="s">
        <v>397</v>
      </c>
      <c r="B389" t="s">
        <v>1016</v>
      </c>
      <c r="C389" t="s">
        <v>1022</v>
      </c>
      <c r="D389">
        <v>28</v>
      </c>
      <c r="E389">
        <v>7</v>
      </c>
      <c r="F389" s="3">
        <v>33384</v>
      </c>
      <c r="G389">
        <v>43</v>
      </c>
      <c r="H389">
        <v>12</v>
      </c>
      <c r="I389">
        <v>25</v>
      </c>
      <c r="J389">
        <v>35</v>
      </c>
      <c r="K389">
        <v>4.3</v>
      </c>
      <c r="L389" s="3">
        <v>4.3</v>
      </c>
      <c r="M389" t="s">
        <v>1036</v>
      </c>
      <c r="N389">
        <v>58.7</v>
      </c>
    </row>
    <row r="390" spans="1:14" hidden="1" x14ac:dyDescent="0.3">
      <c r="A390" t="s">
        <v>398</v>
      </c>
      <c r="B390" t="s">
        <v>1016</v>
      </c>
      <c r="C390" t="s">
        <v>1033</v>
      </c>
      <c r="D390">
        <v>27</v>
      </c>
      <c r="E390">
        <v>1</v>
      </c>
      <c r="F390" s="3">
        <v>48283</v>
      </c>
      <c r="G390">
        <v>42</v>
      </c>
      <c r="H390">
        <v>12</v>
      </c>
      <c r="I390">
        <v>9</v>
      </c>
      <c r="J390">
        <v>26</v>
      </c>
      <c r="K390">
        <v>4.4000000000000004</v>
      </c>
      <c r="L390" s="3">
        <v>5.3</v>
      </c>
      <c r="M390" t="s">
        <v>1036</v>
      </c>
      <c r="N390">
        <v>65</v>
      </c>
    </row>
    <row r="391" spans="1:14" hidden="1" x14ac:dyDescent="0.3">
      <c r="A391" t="s">
        <v>399</v>
      </c>
      <c r="B391" t="s">
        <v>1015</v>
      </c>
      <c r="C391" t="s">
        <v>1029</v>
      </c>
      <c r="D391">
        <v>40</v>
      </c>
      <c r="E391">
        <v>14</v>
      </c>
      <c r="F391" s="3">
        <v>80785</v>
      </c>
      <c r="G391">
        <v>38</v>
      </c>
      <c r="H391">
        <v>8</v>
      </c>
      <c r="I391">
        <v>1</v>
      </c>
      <c r="J391">
        <v>40</v>
      </c>
      <c r="K391">
        <v>3.8</v>
      </c>
      <c r="L391" s="3">
        <v>9.6</v>
      </c>
      <c r="M391" t="s">
        <v>1034</v>
      </c>
      <c r="N391">
        <v>82.33</v>
      </c>
    </row>
    <row r="392" spans="1:14" x14ac:dyDescent="0.3">
      <c r="A392" t="s">
        <v>400</v>
      </c>
      <c r="B392" t="s">
        <v>1017</v>
      </c>
      <c r="C392" t="s">
        <v>1030</v>
      </c>
      <c r="D392">
        <v>34</v>
      </c>
      <c r="E392">
        <v>8</v>
      </c>
      <c r="F392" s="3">
        <v>32852</v>
      </c>
      <c r="G392">
        <v>47</v>
      </c>
      <c r="H392">
        <v>9</v>
      </c>
      <c r="I392">
        <v>9</v>
      </c>
      <c r="J392">
        <v>26</v>
      </c>
      <c r="K392">
        <v>2.2000000000000002</v>
      </c>
      <c r="L392" s="3">
        <v>9</v>
      </c>
      <c r="M392" t="s">
        <v>1034</v>
      </c>
      <c r="N392">
        <v>75.599999999999994</v>
      </c>
    </row>
    <row r="393" spans="1:14" x14ac:dyDescent="0.3">
      <c r="A393" t="s">
        <v>401</v>
      </c>
      <c r="B393" t="s">
        <v>1018</v>
      </c>
      <c r="C393" t="s">
        <v>1028</v>
      </c>
      <c r="D393">
        <v>43</v>
      </c>
      <c r="E393">
        <v>13</v>
      </c>
      <c r="F393" s="3">
        <v>89696</v>
      </c>
      <c r="G393">
        <v>53</v>
      </c>
      <c r="H393">
        <v>15</v>
      </c>
      <c r="I393">
        <v>14</v>
      </c>
      <c r="J393">
        <v>9</v>
      </c>
      <c r="K393">
        <v>2.9</v>
      </c>
      <c r="L393" s="3">
        <v>8</v>
      </c>
      <c r="M393" t="s">
        <v>1034</v>
      </c>
      <c r="N393">
        <v>81.7</v>
      </c>
    </row>
    <row r="394" spans="1:14" hidden="1" x14ac:dyDescent="0.3">
      <c r="A394" t="s">
        <v>402</v>
      </c>
      <c r="B394" t="s">
        <v>1017</v>
      </c>
      <c r="C394" t="s">
        <v>1030</v>
      </c>
      <c r="D394">
        <v>43</v>
      </c>
      <c r="E394">
        <v>5</v>
      </c>
      <c r="F394" s="3">
        <v>45539</v>
      </c>
      <c r="G394">
        <v>55</v>
      </c>
      <c r="H394">
        <v>1</v>
      </c>
      <c r="I394">
        <v>0</v>
      </c>
      <c r="J394">
        <v>28</v>
      </c>
      <c r="K394">
        <v>2.8</v>
      </c>
      <c r="L394" s="3">
        <v>8.3000000000000007</v>
      </c>
      <c r="M394" t="s">
        <v>1034</v>
      </c>
      <c r="N394">
        <v>59.87</v>
      </c>
    </row>
    <row r="395" spans="1:14" hidden="1" x14ac:dyDescent="0.3">
      <c r="A395" t="s">
        <v>403</v>
      </c>
      <c r="B395" t="s">
        <v>1015</v>
      </c>
      <c r="C395" t="s">
        <v>1021</v>
      </c>
      <c r="D395">
        <v>32</v>
      </c>
      <c r="E395">
        <v>7</v>
      </c>
      <c r="F395" s="3">
        <v>76459</v>
      </c>
      <c r="G395">
        <v>37</v>
      </c>
      <c r="H395">
        <v>3</v>
      </c>
      <c r="I395">
        <v>19</v>
      </c>
      <c r="J395">
        <v>27</v>
      </c>
      <c r="K395">
        <v>3.9</v>
      </c>
      <c r="L395" s="3">
        <v>5.8</v>
      </c>
      <c r="M395" t="s">
        <v>1036</v>
      </c>
      <c r="N395">
        <v>51.5</v>
      </c>
    </row>
    <row r="396" spans="1:14" hidden="1" x14ac:dyDescent="0.3">
      <c r="A396" t="s">
        <v>404</v>
      </c>
      <c r="B396" t="s">
        <v>1017</v>
      </c>
      <c r="C396" t="s">
        <v>1024</v>
      </c>
      <c r="D396">
        <v>22</v>
      </c>
      <c r="E396">
        <v>0</v>
      </c>
      <c r="F396" s="3">
        <v>59981</v>
      </c>
      <c r="G396">
        <v>41</v>
      </c>
      <c r="H396">
        <v>12</v>
      </c>
      <c r="I396">
        <v>11</v>
      </c>
      <c r="J396">
        <v>0</v>
      </c>
      <c r="K396">
        <v>4.7</v>
      </c>
      <c r="L396" s="3">
        <v>8.3000000000000007</v>
      </c>
      <c r="M396" t="s">
        <v>1034</v>
      </c>
      <c r="N396">
        <v>83.9</v>
      </c>
    </row>
    <row r="397" spans="1:14" hidden="1" x14ac:dyDescent="0.3">
      <c r="A397" t="s">
        <v>405</v>
      </c>
      <c r="B397" t="s">
        <v>1018</v>
      </c>
      <c r="C397" t="s">
        <v>1028</v>
      </c>
      <c r="D397">
        <v>23</v>
      </c>
      <c r="E397">
        <v>2</v>
      </c>
      <c r="F397" s="3">
        <v>25270</v>
      </c>
      <c r="G397">
        <v>55</v>
      </c>
      <c r="H397">
        <v>12</v>
      </c>
      <c r="I397">
        <v>7</v>
      </c>
      <c r="J397">
        <v>14</v>
      </c>
      <c r="K397">
        <v>4.0999999999999996</v>
      </c>
      <c r="L397" s="3">
        <v>5.4</v>
      </c>
      <c r="M397" t="s">
        <v>1036</v>
      </c>
      <c r="N397">
        <v>64.7</v>
      </c>
    </row>
    <row r="398" spans="1:14" hidden="1" x14ac:dyDescent="0.3">
      <c r="A398" t="s">
        <v>406</v>
      </c>
      <c r="B398" t="s">
        <v>1014</v>
      </c>
      <c r="C398" t="s">
        <v>1025</v>
      </c>
      <c r="D398">
        <v>46</v>
      </c>
      <c r="E398">
        <v>9</v>
      </c>
      <c r="F398" s="3">
        <v>35945</v>
      </c>
      <c r="G398">
        <v>37</v>
      </c>
      <c r="H398">
        <v>14</v>
      </c>
      <c r="I398">
        <v>1</v>
      </c>
      <c r="J398">
        <v>19</v>
      </c>
      <c r="K398">
        <v>4.8</v>
      </c>
      <c r="L398" s="3">
        <v>6.2</v>
      </c>
      <c r="M398" t="s">
        <v>1035</v>
      </c>
      <c r="N398">
        <v>74.930000000000007</v>
      </c>
    </row>
    <row r="399" spans="1:14" hidden="1" x14ac:dyDescent="0.3">
      <c r="A399" t="s">
        <v>407</v>
      </c>
      <c r="B399" t="s">
        <v>1015</v>
      </c>
      <c r="C399" t="s">
        <v>1021</v>
      </c>
      <c r="D399">
        <v>55</v>
      </c>
      <c r="E399">
        <v>10</v>
      </c>
      <c r="F399" s="3">
        <v>53420</v>
      </c>
      <c r="G399">
        <v>39</v>
      </c>
      <c r="H399">
        <v>6</v>
      </c>
      <c r="I399">
        <v>15</v>
      </c>
      <c r="J399">
        <v>22</v>
      </c>
      <c r="K399">
        <v>4.3</v>
      </c>
      <c r="L399" s="3">
        <v>4.2</v>
      </c>
      <c r="M399" t="s">
        <v>1036</v>
      </c>
      <c r="N399">
        <v>48.1</v>
      </c>
    </row>
    <row r="400" spans="1:14" hidden="1" x14ac:dyDescent="0.3">
      <c r="A400" t="s">
        <v>408</v>
      </c>
      <c r="B400" t="s">
        <v>1014</v>
      </c>
      <c r="C400" t="s">
        <v>1031</v>
      </c>
      <c r="D400">
        <v>36</v>
      </c>
      <c r="E400">
        <v>7</v>
      </c>
      <c r="F400" s="3">
        <v>72655</v>
      </c>
      <c r="G400">
        <v>39</v>
      </c>
      <c r="H400">
        <v>4</v>
      </c>
      <c r="I400">
        <v>23</v>
      </c>
      <c r="J400">
        <v>1</v>
      </c>
      <c r="K400">
        <v>3.8</v>
      </c>
      <c r="L400" s="3">
        <v>4.2</v>
      </c>
      <c r="M400" t="s">
        <v>1036</v>
      </c>
      <c r="N400">
        <v>43.27</v>
      </c>
    </row>
    <row r="401" spans="1:14" x14ac:dyDescent="0.3">
      <c r="A401" t="s">
        <v>409</v>
      </c>
      <c r="B401" t="s">
        <v>1014</v>
      </c>
      <c r="C401" t="s">
        <v>1025</v>
      </c>
      <c r="D401">
        <v>46</v>
      </c>
      <c r="E401">
        <v>8</v>
      </c>
      <c r="F401" s="3">
        <v>75544</v>
      </c>
      <c r="G401">
        <v>52</v>
      </c>
      <c r="H401">
        <v>10</v>
      </c>
      <c r="I401">
        <v>1</v>
      </c>
      <c r="J401">
        <v>38</v>
      </c>
      <c r="K401">
        <v>5</v>
      </c>
      <c r="L401" s="3">
        <v>7.6</v>
      </c>
      <c r="M401" t="s">
        <v>1035</v>
      </c>
      <c r="N401">
        <v>77.27</v>
      </c>
    </row>
    <row r="402" spans="1:14" hidden="1" x14ac:dyDescent="0.3">
      <c r="A402" t="s">
        <v>410</v>
      </c>
      <c r="B402" t="s">
        <v>1014</v>
      </c>
      <c r="C402" t="s">
        <v>1019</v>
      </c>
      <c r="D402">
        <v>25</v>
      </c>
      <c r="E402">
        <v>0</v>
      </c>
      <c r="F402" s="3">
        <v>52313</v>
      </c>
      <c r="G402">
        <v>49</v>
      </c>
      <c r="H402">
        <v>7</v>
      </c>
      <c r="I402">
        <v>3</v>
      </c>
      <c r="J402">
        <v>35</v>
      </c>
      <c r="K402">
        <v>2.8</v>
      </c>
      <c r="L402" s="3">
        <v>7.9</v>
      </c>
      <c r="M402" t="s">
        <v>1035</v>
      </c>
      <c r="N402">
        <v>67.47</v>
      </c>
    </row>
    <row r="403" spans="1:14" hidden="1" x14ac:dyDescent="0.3">
      <c r="A403" t="s">
        <v>411</v>
      </c>
      <c r="B403" t="s">
        <v>1014</v>
      </c>
      <c r="C403" t="s">
        <v>1031</v>
      </c>
      <c r="D403">
        <v>41</v>
      </c>
      <c r="E403">
        <v>13</v>
      </c>
      <c r="F403" s="3">
        <v>68362</v>
      </c>
      <c r="G403">
        <v>38</v>
      </c>
      <c r="H403">
        <v>11</v>
      </c>
      <c r="I403">
        <v>16</v>
      </c>
      <c r="J403">
        <v>17</v>
      </c>
      <c r="K403">
        <v>3.9</v>
      </c>
      <c r="L403" s="3">
        <v>7.9</v>
      </c>
      <c r="M403" t="s">
        <v>1035</v>
      </c>
      <c r="N403">
        <v>77.430000000000007</v>
      </c>
    </row>
    <row r="404" spans="1:14" hidden="1" x14ac:dyDescent="0.3">
      <c r="A404" t="s">
        <v>412</v>
      </c>
      <c r="B404" t="s">
        <v>1014</v>
      </c>
      <c r="C404" t="s">
        <v>1031</v>
      </c>
      <c r="D404">
        <v>54</v>
      </c>
      <c r="E404">
        <v>3</v>
      </c>
      <c r="F404" s="3">
        <v>43527</v>
      </c>
      <c r="G404">
        <v>38</v>
      </c>
      <c r="H404">
        <v>13</v>
      </c>
      <c r="I404">
        <v>3</v>
      </c>
      <c r="J404">
        <v>31</v>
      </c>
      <c r="K404">
        <v>2.6</v>
      </c>
      <c r="L404" s="3">
        <v>4.4000000000000004</v>
      </c>
      <c r="M404" t="s">
        <v>1036</v>
      </c>
      <c r="N404">
        <v>55.87</v>
      </c>
    </row>
    <row r="405" spans="1:14" hidden="1" x14ac:dyDescent="0.3">
      <c r="A405" t="s">
        <v>413</v>
      </c>
      <c r="B405" t="s">
        <v>1015</v>
      </c>
      <c r="C405" t="s">
        <v>1020</v>
      </c>
      <c r="D405">
        <v>34</v>
      </c>
      <c r="E405">
        <v>5</v>
      </c>
      <c r="F405" s="3">
        <v>71100</v>
      </c>
      <c r="G405">
        <v>48</v>
      </c>
      <c r="H405">
        <v>5</v>
      </c>
      <c r="I405">
        <v>5</v>
      </c>
      <c r="J405">
        <v>2</v>
      </c>
      <c r="K405">
        <v>3.6</v>
      </c>
      <c r="L405" s="3">
        <v>9.4</v>
      </c>
      <c r="M405" t="s">
        <v>1034</v>
      </c>
      <c r="N405">
        <v>75.53</v>
      </c>
    </row>
    <row r="406" spans="1:14" hidden="1" x14ac:dyDescent="0.3">
      <c r="A406" t="s">
        <v>414</v>
      </c>
      <c r="B406" t="s">
        <v>1017</v>
      </c>
      <c r="C406" t="s">
        <v>1030</v>
      </c>
      <c r="D406">
        <v>43</v>
      </c>
      <c r="E406">
        <v>7</v>
      </c>
      <c r="F406" s="3">
        <v>25179</v>
      </c>
      <c r="G406">
        <v>35</v>
      </c>
      <c r="H406">
        <v>11</v>
      </c>
      <c r="I406">
        <v>2</v>
      </c>
      <c r="J406">
        <v>7</v>
      </c>
      <c r="K406">
        <v>4.5</v>
      </c>
      <c r="L406" s="3">
        <v>7.7</v>
      </c>
      <c r="M406" t="s">
        <v>1035</v>
      </c>
      <c r="N406">
        <v>78.03</v>
      </c>
    </row>
    <row r="407" spans="1:14" hidden="1" x14ac:dyDescent="0.3">
      <c r="A407" t="s">
        <v>415</v>
      </c>
      <c r="B407" t="s">
        <v>1014</v>
      </c>
      <c r="C407" t="s">
        <v>1031</v>
      </c>
      <c r="D407">
        <v>54</v>
      </c>
      <c r="E407">
        <v>2</v>
      </c>
      <c r="F407" s="3">
        <v>72419</v>
      </c>
      <c r="G407">
        <v>38</v>
      </c>
      <c r="H407">
        <v>15</v>
      </c>
      <c r="I407">
        <v>8</v>
      </c>
      <c r="J407">
        <v>14</v>
      </c>
      <c r="K407">
        <v>3.4</v>
      </c>
      <c r="L407" s="3">
        <v>9.8000000000000007</v>
      </c>
      <c r="M407" t="s">
        <v>1034</v>
      </c>
      <c r="N407">
        <v>94</v>
      </c>
    </row>
    <row r="408" spans="1:14" hidden="1" x14ac:dyDescent="0.3">
      <c r="A408" t="s">
        <v>416</v>
      </c>
      <c r="B408" t="s">
        <v>1017</v>
      </c>
      <c r="C408" t="s">
        <v>1026</v>
      </c>
      <c r="D408">
        <v>25</v>
      </c>
      <c r="E408">
        <v>0</v>
      </c>
      <c r="F408" s="3">
        <v>78292</v>
      </c>
      <c r="G408">
        <v>40</v>
      </c>
      <c r="H408">
        <v>14</v>
      </c>
      <c r="I408">
        <v>1</v>
      </c>
      <c r="J408">
        <v>18</v>
      </c>
      <c r="K408">
        <v>3.1</v>
      </c>
      <c r="L408" s="3">
        <v>7.7</v>
      </c>
      <c r="M408" t="s">
        <v>1035</v>
      </c>
      <c r="N408">
        <v>78.83</v>
      </c>
    </row>
    <row r="409" spans="1:14" hidden="1" x14ac:dyDescent="0.3">
      <c r="A409" t="s">
        <v>417</v>
      </c>
      <c r="B409" t="s">
        <v>1014</v>
      </c>
      <c r="C409" t="s">
        <v>1025</v>
      </c>
      <c r="D409">
        <v>28</v>
      </c>
      <c r="E409">
        <v>0</v>
      </c>
      <c r="F409" s="3">
        <v>25633</v>
      </c>
      <c r="G409">
        <v>39</v>
      </c>
      <c r="H409">
        <v>11</v>
      </c>
      <c r="I409">
        <v>20</v>
      </c>
      <c r="J409">
        <v>10</v>
      </c>
      <c r="K409">
        <v>3</v>
      </c>
      <c r="L409" s="3">
        <v>9.3000000000000007</v>
      </c>
      <c r="M409" t="s">
        <v>1034</v>
      </c>
      <c r="N409">
        <v>83.13</v>
      </c>
    </row>
    <row r="410" spans="1:14" hidden="1" x14ac:dyDescent="0.3">
      <c r="A410" t="s">
        <v>418</v>
      </c>
      <c r="B410" t="s">
        <v>1016</v>
      </c>
      <c r="C410" t="s">
        <v>1033</v>
      </c>
      <c r="D410">
        <v>27</v>
      </c>
      <c r="E410">
        <v>2</v>
      </c>
      <c r="F410" s="3">
        <v>78409</v>
      </c>
      <c r="G410">
        <v>45</v>
      </c>
      <c r="H410">
        <v>3</v>
      </c>
      <c r="I410">
        <v>3</v>
      </c>
      <c r="J410">
        <v>25</v>
      </c>
      <c r="K410">
        <v>3.2</v>
      </c>
      <c r="L410" s="3">
        <v>6.2</v>
      </c>
      <c r="M410" t="s">
        <v>1035</v>
      </c>
      <c r="N410">
        <v>51.8</v>
      </c>
    </row>
    <row r="411" spans="1:14" hidden="1" x14ac:dyDescent="0.3">
      <c r="A411" t="s">
        <v>419</v>
      </c>
      <c r="B411" t="s">
        <v>1017</v>
      </c>
      <c r="C411" t="s">
        <v>1030</v>
      </c>
      <c r="D411">
        <v>48</v>
      </c>
      <c r="E411">
        <v>5</v>
      </c>
      <c r="F411" s="3">
        <v>32409</v>
      </c>
      <c r="G411">
        <v>39</v>
      </c>
      <c r="H411">
        <v>12</v>
      </c>
      <c r="I411">
        <v>23</v>
      </c>
      <c r="J411">
        <v>3</v>
      </c>
      <c r="K411">
        <v>4.9000000000000004</v>
      </c>
      <c r="L411" s="3">
        <v>8.9</v>
      </c>
      <c r="M411" t="s">
        <v>1034</v>
      </c>
      <c r="N411">
        <v>88.1</v>
      </c>
    </row>
    <row r="412" spans="1:14" x14ac:dyDescent="0.3">
      <c r="A412" t="s">
        <v>420</v>
      </c>
      <c r="B412" t="s">
        <v>1017</v>
      </c>
      <c r="C412" t="s">
        <v>1024</v>
      </c>
      <c r="D412">
        <v>52</v>
      </c>
      <c r="E412">
        <v>14</v>
      </c>
      <c r="F412" s="3">
        <v>36879</v>
      </c>
      <c r="G412">
        <v>54</v>
      </c>
      <c r="H412">
        <v>7</v>
      </c>
      <c r="I412">
        <v>24</v>
      </c>
      <c r="J412">
        <v>22</v>
      </c>
      <c r="K412">
        <v>3.8</v>
      </c>
      <c r="L412" s="3">
        <v>9</v>
      </c>
      <c r="M412" t="s">
        <v>1034</v>
      </c>
      <c r="N412">
        <v>77.069999999999993</v>
      </c>
    </row>
    <row r="413" spans="1:14" x14ac:dyDescent="0.3">
      <c r="A413" t="s">
        <v>421</v>
      </c>
      <c r="B413" t="s">
        <v>1018</v>
      </c>
      <c r="C413" t="s">
        <v>1027</v>
      </c>
      <c r="D413">
        <v>52</v>
      </c>
      <c r="E413">
        <v>15</v>
      </c>
      <c r="F413" s="3">
        <v>32401</v>
      </c>
      <c r="G413">
        <v>48</v>
      </c>
      <c r="H413">
        <v>8</v>
      </c>
      <c r="I413">
        <v>1</v>
      </c>
      <c r="J413">
        <v>4</v>
      </c>
      <c r="K413">
        <v>2.8</v>
      </c>
      <c r="L413" s="3">
        <v>5.2</v>
      </c>
      <c r="M413" t="s">
        <v>1036</v>
      </c>
      <c r="N413">
        <v>52.93</v>
      </c>
    </row>
    <row r="414" spans="1:14" x14ac:dyDescent="0.3">
      <c r="A414" t="s">
        <v>422</v>
      </c>
      <c r="B414" t="s">
        <v>1015</v>
      </c>
      <c r="C414" t="s">
        <v>1029</v>
      </c>
      <c r="D414">
        <v>36</v>
      </c>
      <c r="E414">
        <v>10</v>
      </c>
      <c r="F414" s="3">
        <v>59019</v>
      </c>
      <c r="G414">
        <v>51</v>
      </c>
      <c r="H414">
        <v>12</v>
      </c>
      <c r="I414">
        <v>22</v>
      </c>
      <c r="J414">
        <v>39</v>
      </c>
      <c r="K414">
        <v>2.2999999999999998</v>
      </c>
      <c r="L414" s="3">
        <v>7.6</v>
      </c>
      <c r="M414" t="s">
        <v>1035</v>
      </c>
      <c r="N414">
        <v>72.5</v>
      </c>
    </row>
    <row r="415" spans="1:14" x14ac:dyDescent="0.3">
      <c r="A415" t="s">
        <v>423</v>
      </c>
      <c r="B415" t="s">
        <v>1017</v>
      </c>
      <c r="C415" t="s">
        <v>1024</v>
      </c>
      <c r="D415">
        <v>44</v>
      </c>
      <c r="E415">
        <v>12</v>
      </c>
      <c r="F415" s="3">
        <v>34742</v>
      </c>
      <c r="G415">
        <v>52</v>
      </c>
      <c r="H415">
        <v>15</v>
      </c>
      <c r="I415">
        <v>19</v>
      </c>
      <c r="J415">
        <v>3</v>
      </c>
      <c r="K415">
        <v>2</v>
      </c>
      <c r="L415" s="3">
        <v>9.5</v>
      </c>
      <c r="M415" t="s">
        <v>1034</v>
      </c>
      <c r="N415">
        <v>88</v>
      </c>
    </row>
    <row r="416" spans="1:14" hidden="1" x14ac:dyDescent="0.3">
      <c r="A416" t="s">
        <v>424</v>
      </c>
      <c r="B416" t="s">
        <v>1017</v>
      </c>
      <c r="C416" t="s">
        <v>1030</v>
      </c>
      <c r="D416">
        <v>53</v>
      </c>
      <c r="E416">
        <v>5</v>
      </c>
      <c r="F416" s="3">
        <v>29906</v>
      </c>
      <c r="G416">
        <v>50</v>
      </c>
      <c r="H416">
        <v>6</v>
      </c>
      <c r="I416">
        <v>7</v>
      </c>
      <c r="J416">
        <v>21</v>
      </c>
      <c r="K416">
        <v>4.9000000000000004</v>
      </c>
      <c r="L416" s="3">
        <v>3.4</v>
      </c>
      <c r="M416" t="s">
        <v>1036</v>
      </c>
      <c r="N416">
        <v>45.1</v>
      </c>
    </row>
    <row r="417" spans="1:14" x14ac:dyDescent="0.3">
      <c r="A417" t="s">
        <v>425</v>
      </c>
      <c r="B417" t="s">
        <v>1015</v>
      </c>
      <c r="C417" t="s">
        <v>1021</v>
      </c>
      <c r="D417">
        <v>46</v>
      </c>
      <c r="E417">
        <v>12</v>
      </c>
      <c r="F417" s="3">
        <v>78549</v>
      </c>
      <c r="G417">
        <v>42</v>
      </c>
      <c r="H417">
        <v>2</v>
      </c>
      <c r="I417">
        <v>14</v>
      </c>
      <c r="J417">
        <v>28</v>
      </c>
      <c r="K417">
        <v>4.4000000000000004</v>
      </c>
      <c r="L417" s="3">
        <v>6.1</v>
      </c>
      <c r="M417" t="s">
        <v>1035</v>
      </c>
      <c r="N417">
        <v>53.13</v>
      </c>
    </row>
    <row r="418" spans="1:14" hidden="1" x14ac:dyDescent="0.3">
      <c r="A418" t="s">
        <v>426</v>
      </c>
      <c r="B418" t="s">
        <v>1017</v>
      </c>
      <c r="C418" t="s">
        <v>1024</v>
      </c>
      <c r="D418">
        <v>42</v>
      </c>
      <c r="E418">
        <v>3</v>
      </c>
      <c r="F418" s="3">
        <v>89269</v>
      </c>
      <c r="G418">
        <v>50</v>
      </c>
      <c r="H418">
        <v>12</v>
      </c>
      <c r="I418">
        <v>20</v>
      </c>
      <c r="J418">
        <v>1</v>
      </c>
      <c r="K418">
        <v>2.2999999999999998</v>
      </c>
      <c r="L418" s="3">
        <v>5.9</v>
      </c>
      <c r="M418" t="s">
        <v>1036</v>
      </c>
      <c r="N418">
        <v>62.3</v>
      </c>
    </row>
    <row r="419" spans="1:14" hidden="1" x14ac:dyDescent="0.3">
      <c r="A419" t="s">
        <v>427</v>
      </c>
      <c r="B419" t="s">
        <v>1015</v>
      </c>
      <c r="C419" t="s">
        <v>1020</v>
      </c>
      <c r="D419">
        <v>22</v>
      </c>
      <c r="E419">
        <v>0</v>
      </c>
      <c r="F419" s="3">
        <v>76890</v>
      </c>
      <c r="G419">
        <v>54</v>
      </c>
      <c r="H419">
        <v>10</v>
      </c>
      <c r="I419">
        <v>20</v>
      </c>
      <c r="J419">
        <v>19</v>
      </c>
      <c r="K419">
        <v>4.7</v>
      </c>
      <c r="L419" s="3">
        <v>6.9</v>
      </c>
      <c r="M419" t="s">
        <v>1035</v>
      </c>
      <c r="N419">
        <v>72.17</v>
      </c>
    </row>
    <row r="420" spans="1:14" hidden="1" x14ac:dyDescent="0.3">
      <c r="A420" t="s">
        <v>428</v>
      </c>
      <c r="B420" t="s">
        <v>1017</v>
      </c>
      <c r="C420" t="s">
        <v>1024</v>
      </c>
      <c r="D420">
        <v>43</v>
      </c>
      <c r="E420">
        <v>11</v>
      </c>
      <c r="F420" s="3">
        <v>79087</v>
      </c>
      <c r="G420">
        <v>36</v>
      </c>
      <c r="H420">
        <v>14</v>
      </c>
      <c r="I420">
        <v>7</v>
      </c>
      <c r="J420">
        <v>29</v>
      </c>
      <c r="K420">
        <v>3</v>
      </c>
      <c r="L420" s="3">
        <v>8.4</v>
      </c>
      <c r="M420" t="s">
        <v>1034</v>
      </c>
      <c r="N420">
        <v>82.73</v>
      </c>
    </row>
    <row r="421" spans="1:14" hidden="1" x14ac:dyDescent="0.3">
      <c r="A421" t="s">
        <v>429</v>
      </c>
      <c r="B421" t="s">
        <v>1017</v>
      </c>
      <c r="C421" t="s">
        <v>1024</v>
      </c>
      <c r="D421">
        <v>45</v>
      </c>
      <c r="E421">
        <v>14</v>
      </c>
      <c r="F421" s="3">
        <v>32472</v>
      </c>
      <c r="G421">
        <v>38</v>
      </c>
      <c r="H421">
        <v>13</v>
      </c>
      <c r="I421">
        <v>21</v>
      </c>
      <c r="J421">
        <v>14</v>
      </c>
      <c r="K421">
        <v>2</v>
      </c>
      <c r="L421" s="3">
        <v>5.5</v>
      </c>
      <c r="M421" t="s">
        <v>1036</v>
      </c>
      <c r="N421">
        <v>60.67</v>
      </c>
    </row>
    <row r="422" spans="1:14" hidden="1" x14ac:dyDescent="0.3">
      <c r="A422" t="s">
        <v>430</v>
      </c>
      <c r="B422" t="s">
        <v>1016</v>
      </c>
      <c r="C422" t="s">
        <v>1022</v>
      </c>
      <c r="D422">
        <v>55</v>
      </c>
      <c r="E422">
        <v>11</v>
      </c>
      <c r="F422" s="3">
        <v>71012</v>
      </c>
      <c r="G422">
        <v>38</v>
      </c>
      <c r="H422">
        <v>1</v>
      </c>
      <c r="I422">
        <v>5</v>
      </c>
      <c r="J422">
        <v>31</v>
      </c>
      <c r="K422">
        <v>2.4</v>
      </c>
      <c r="L422" s="3">
        <v>8</v>
      </c>
      <c r="M422" t="s">
        <v>1034</v>
      </c>
      <c r="N422">
        <v>56.87</v>
      </c>
    </row>
    <row r="423" spans="1:14" hidden="1" x14ac:dyDescent="0.3">
      <c r="A423" t="s">
        <v>431</v>
      </c>
      <c r="B423" t="s">
        <v>1017</v>
      </c>
      <c r="C423" t="s">
        <v>1030</v>
      </c>
      <c r="D423">
        <v>28</v>
      </c>
      <c r="E423">
        <v>4</v>
      </c>
      <c r="F423" s="3">
        <v>65032</v>
      </c>
      <c r="G423">
        <v>41</v>
      </c>
      <c r="H423">
        <v>4</v>
      </c>
      <c r="I423">
        <v>3</v>
      </c>
      <c r="J423">
        <v>25</v>
      </c>
      <c r="K423">
        <v>2.6</v>
      </c>
      <c r="L423" s="3">
        <v>8.8000000000000007</v>
      </c>
      <c r="M423" t="s">
        <v>1034</v>
      </c>
      <c r="N423">
        <v>67.27</v>
      </c>
    </row>
    <row r="424" spans="1:14" x14ac:dyDescent="0.3">
      <c r="A424" t="s">
        <v>432</v>
      </c>
      <c r="B424" t="s">
        <v>1016</v>
      </c>
      <c r="C424" t="s">
        <v>1033</v>
      </c>
      <c r="D424">
        <v>28</v>
      </c>
      <c r="E424">
        <v>6</v>
      </c>
      <c r="F424" s="3">
        <v>28047</v>
      </c>
      <c r="G424">
        <v>55</v>
      </c>
      <c r="H424">
        <v>14</v>
      </c>
      <c r="I424">
        <v>21</v>
      </c>
      <c r="J424">
        <v>37</v>
      </c>
      <c r="K424">
        <v>2.4</v>
      </c>
      <c r="L424" s="3">
        <v>9.1999999999999993</v>
      </c>
      <c r="M424" t="s">
        <v>1034</v>
      </c>
      <c r="N424">
        <v>85.73</v>
      </c>
    </row>
    <row r="425" spans="1:14" hidden="1" x14ac:dyDescent="0.3">
      <c r="A425" t="s">
        <v>433</v>
      </c>
      <c r="B425" t="s">
        <v>1015</v>
      </c>
      <c r="C425" t="s">
        <v>1020</v>
      </c>
      <c r="D425">
        <v>54</v>
      </c>
      <c r="E425">
        <v>4</v>
      </c>
      <c r="F425" s="3">
        <v>88167</v>
      </c>
      <c r="G425">
        <v>50</v>
      </c>
      <c r="H425">
        <v>1</v>
      </c>
      <c r="I425">
        <v>16</v>
      </c>
      <c r="J425">
        <v>3</v>
      </c>
      <c r="K425">
        <v>3.7</v>
      </c>
      <c r="L425" s="3">
        <v>6</v>
      </c>
      <c r="M425" t="s">
        <v>1035</v>
      </c>
      <c r="N425">
        <v>48.77</v>
      </c>
    </row>
    <row r="426" spans="1:14" hidden="1" x14ac:dyDescent="0.3">
      <c r="A426" t="s">
        <v>434</v>
      </c>
      <c r="B426" t="s">
        <v>1017</v>
      </c>
      <c r="C426" t="s">
        <v>1024</v>
      </c>
      <c r="D426">
        <v>54</v>
      </c>
      <c r="E426">
        <v>5</v>
      </c>
      <c r="F426" s="3">
        <v>70338</v>
      </c>
      <c r="G426">
        <v>53</v>
      </c>
      <c r="H426">
        <v>3</v>
      </c>
      <c r="I426">
        <v>23</v>
      </c>
      <c r="J426">
        <v>8</v>
      </c>
      <c r="K426">
        <v>2.2999999999999998</v>
      </c>
      <c r="L426" s="3">
        <v>7.6</v>
      </c>
      <c r="M426" t="s">
        <v>1035</v>
      </c>
      <c r="N426">
        <v>57.5</v>
      </c>
    </row>
    <row r="427" spans="1:14" x14ac:dyDescent="0.3">
      <c r="A427" t="s">
        <v>435</v>
      </c>
      <c r="B427" t="s">
        <v>1016</v>
      </c>
      <c r="C427" t="s">
        <v>1033</v>
      </c>
      <c r="D427">
        <v>54</v>
      </c>
      <c r="E427">
        <v>12</v>
      </c>
      <c r="F427" s="3">
        <v>52437</v>
      </c>
      <c r="G427">
        <v>54</v>
      </c>
      <c r="H427">
        <v>15</v>
      </c>
      <c r="I427">
        <v>22</v>
      </c>
      <c r="J427">
        <v>15</v>
      </c>
      <c r="K427">
        <v>2.8</v>
      </c>
      <c r="L427" s="3">
        <v>9.6999999999999993</v>
      </c>
      <c r="M427" t="s">
        <v>1034</v>
      </c>
      <c r="N427">
        <v>91.6</v>
      </c>
    </row>
    <row r="428" spans="1:14" hidden="1" x14ac:dyDescent="0.3">
      <c r="A428" t="s">
        <v>436</v>
      </c>
      <c r="B428" t="s">
        <v>1017</v>
      </c>
      <c r="C428" t="s">
        <v>1026</v>
      </c>
      <c r="D428">
        <v>30</v>
      </c>
      <c r="E428">
        <v>2</v>
      </c>
      <c r="F428" s="3">
        <v>52049</v>
      </c>
      <c r="G428">
        <v>54</v>
      </c>
      <c r="H428">
        <v>12</v>
      </c>
      <c r="I428">
        <v>23</v>
      </c>
      <c r="J428">
        <v>32</v>
      </c>
      <c r="K428">
        <v>2.9</v>
      </c>
      <c r="L428" s="3">
        <v>7.9</v>
      </c>
      <c r="M428" t="s">
        <v>1035</v>
      </c>
      <c r="N428">
        <v>76.099999999999994</v>
      </c>
    </row>
    <row r="429" spans="1:14" hidden="1" x14ac:dyDescent="0.3">
      <c r="A429" t="s">
        <v>437</v>
      </c>
      <c r="B429" t="s">
        <v>1015</v>
      </c>
      <c r="C429" t="s">
        <v>1020</v>
      </c>
      <c r="D429">
        <v>35</v>
      </c>
      <c r="E429">
        <v>3</v>
      </c>
      <c r="F429" s="3">
        <v>38743</v>
      </c>
      <c r="G429">
        <v>54</v>
      </c>
      <c r="H429">
        <v>12</v>
      </c>
      <c r="I429">
        <v>9</v>
      </c>
      <c r="J429">
        <v>22</v>
      </c>
      <c r="K429">
        <v>4.8</v>
      </c>
      <c r="L429" s="3">
        <v>3.9</v>
      </c>
      <c r="M429" t="s">
        <v>1036</v>
      </c>
      <c r="N429">
        <v>57.8</v>
      </c>
    </row>
    <row r="430" spans="1:14" hidden="1" x14ac:dyDescent="0.3">
      <c r="A430" t="s">
        <v>438</v>
      </c>
      <c r="B430" t="s">
        <v>1018</v>
      </c>
      <c r="C430" t="s">
        <v>1027</v>
      </c>
      <c r="D430">
        <v>54</v>
      </c>
      <c r="E430">
        <v>10</v>
      </c>
      <c r="F430" s="3">
        <v>71553</v>
      </c>
      <c r="G430">
        <v>38</v>
      </c>
      <c r="H430">
        <v>13</v>
      </c>
      <c r="I430">
        <v>11</v>
      </c>
      <c r="J430">
        <v>35</v>
      </c>
      <c r="K430">
        <v>3.4</v>
      </c>
      <c r="L430" s="3">
        <v>7</v>
      </c>
      <c r="M430" t="s">
        <v>1035</v>
      </c>
      <c r="N430">
        <v>73.87</v>
      </c>
    </row>
    <row r="431" spans="1:14" hidden="1" x14ac:dyDescent="0.3">
      <c r="A431" t="s">
        <v>439</v>
      </c>
      <c r="B431" t="s">
        <v>1017</v>
      </c>
      <c r="C431" t="s">
        <v>1030</v>
      </c>
      <c r="D431">
        <v>40</v>
      </c>
      <c r="E431">
        <v>13</v>
      </c>
      <c r="F431" s="3">
        <v>77973</v>
      </c>
      <c r="G431">
        <v>35</v>
      </c>
      <c r="H431">
        <v>9</v>
      </c>
      <c r="I431">
        <v>3</v>
      </c>
      <c r="J431">
        <v>1</v>
      </c>
      <c r="K431">
        <v>3.1</v>
      </c>
      <c r="L431" s="3">
        <v>3.4</v>
      </c>
      <c r="M431" t="s">
        <v>1036</v>
      </c>
      <c r="N431">
        <v>44.7</v>
      </c>
    </row>
    <row r="432" spans="1:14" hidden="1" x14ac:dyDescent="0.3">
      <c r="A432" t="s">
        <v>440</v>
      </c>
      <c r="B432" t="s">
        <v>1018</v>
      </c>
      <c r="C432" t="s">
        <v>1032</v>
      </c>
      <c r="D432">
        <v>39</v>
      </c>
      <c r="E432">
        <v>5</v>
      </c>
      <c r="F432" s="3">
        <v>89456</v>
      </c>
      <c r="G432">
        <v>44</v>
      </c>
      <c r="H432">
        <v>11</v>
      </c>
      <c r="I432">
        <v>8</v>
      </c>
      <c r="J432">
        <v>9</v>
      </c>
      <c r="K432">
        <v>4.5</v>
      </c>
      <c r="L432" s="3">
        <v>7.8</v>
      </c>
      <c r="M432" t="s">
        <v>1035</v>
      </c>
      <c r="N432">
        <v>78.63</v>
      </c>
    </row>
    <row r="433" spans="1:14" hidden="1" x14ac:dyDescent="0.3">
      <c r="A433" t="s">
        <v>441</v>
      </c>
      <c r="B433" t="s">
        <v>1018</v>
      </c>
      <c r="C433" t="s">
        <v>1027</v>
      </c>
      <c r="D433">
        <v>24</v>
      </c>
      <c r="E433">
        <v>2</v>
      </c>
      <c r="F433" s="3">
        <v>78348</v>
      </c>
      <c r="G433">
        <v>49</v>
      </c>
      <c r="H433">
        <v>2</v>
      </c>
      <c r="I433">
        <v>19</v>
      </c>
      <c r="J433">
        <v>35</v>
      </c>
      <c r="K433">
        <v>4.5999999999999996</v>
      </c>
      <c r="L433" s="3">
        <v>8.1999999999999993</v>
      </c>
      <c r="M433" t="s">
        <v>1034</v>
      </c>
      <c r="N433">
        <v>66.33</v>
      </c>
    </row>
    <row r="434" spans="1:14" hidden="1" x14ac:dyDescent="0.3">
      <c r="A434" t="s">
        <v>442</v>
      </c>
      <c r="B434" t="s">
        <v>1017</v>
      </c>
      <c r="C434" t="s">
        <v>1024</v>
      </c>
      <c r="D434">
        <v>37</v>
      </c>
      <c r="E434">
        <v>9</v>
      </c>
      <c r="F434" s="3">
        <v>70412</v>
      </c>
      <c r="G434">
        <v>36</v>
      </c>
      <c r="H434">
        <v>15</v>
      </c>
      <c r="I434">
        <v>12</v>
      </c>
      <c r="J434">
        <v>24</v>
      </c>
      <c r="K434">
        <v>3.2</v>
      </c>
      <c r="L434" s="3">
        <v>8.5</v>
      </c>
      <c r="M434" t="s">
        <v>1034</v>
      </c>
      <c r="N434">
        <v>85.6</v>
      </c>
    </row>
    <row r="435" spans="1:14" hidden="1" x14ac:dyDescent="0.3">
      <c r="A435" t="s">
        <v>443</v>
      </c>
      <c r="B435" t="s">
        <v>1016</v>
      </c>
      <c r="C435" t="s">
        <v>1022</v>
      </c>
      <c r="D435">
        <v>25</v>
      </c>
      <c r="E435">
        <v>0</v>
      </c>
      <c r="F435" s="3">
        <v>73737</v>
      </c>
      <c r="G435">
        <v>43</v>
      </c>
      <c r="H435">
        <v>4</v>
      </c>
      <c r="I435">
        <v>19</v>
      </c>
      <c r="J435">
        <v>28</v>
      </c>
      <c r="K435">
        <v>4.5</v>
      </c>
      <c r="L435" s="3">
        <v>9.4</v>
      </c>
      <c r="M435" t="s">
        <v>1034</v>
      </c>
      <c r="N435">
        <v>76.569999999999993</v>
      </c>
    </row>
    <row r="436" spans="1:14" x14ac:dyDescent="0.3">
      <c r="A436" t="s">
        <v>444</v>
      </c>
      <c r="B436" t="s">
        <v>1016</v>
      </c>
      <c r="C436" t="s">
        <v>1023</v>
      </c>
      <c r="D436">
        <v>34</v>
      </c>
      <c r="E436">
        <v>12</v>
      </c>
      <c r="F436" s="3">
        <v>72507</v>
      </c>
      <c r="G436">
        <v>41</v>
      </c>
      <c r="H436">
        <v>5</v>
      </c>
      <c r="I436">
        <v>14</v>
      </c>
      <c r="J436">
        <v>11</v>
      </c>
      <c r="K436">
        <v>5</v>
      </c>
      <c r="L436" s="3">
        <v>3.5</v>
      </c>
      <c r="M436" t="s">
        <v>1036</v>
      </c>
      <c r="N436">
        <v>44.33</v>
      </c>
    </row>
    <row r="437" spans="1:14" x14ac:dyDescent="0.3">
      <c r="A437" t="s">
        <v>445</v>
      </c>
      <c r="B437" t="s">
        <v>1015</v>
      </c>
      <c r="C437" t="s">
        <v>1021</v>
      </c>
      <c r="D437">
        <v>29</v>
      </c>
      <c r="E437">
        <v>6</v>
      </c>
      <c r="F437" s="3">
        <v>27663</v>
      </c>
      <c r="G437">
        <v>48</v>
      </c>
      <c r="H437">
        <v>5</v>
      </c>
      <c r="I437">
        <v>17</v>
      </c>
      <c r="J437">
        <v>16</v>
      </c>
      <c r="K437">
        <v>2.4</v>
      </c>
      <c r="L437" s="3">
        <v>7.1</v>
      </c>
      <c r="M437" t="s">
        <v>1035</v>
      </c>
      <c r="N437">
        <v>58.13</v>
      </c>
    </row>
    <row r="438" spans="1:14" hidden="1" x14ac:dyDescent="0.3">
      <c r="A438" t="s">
        <v>446</v>
      </c>
      <c r="B438" t="s">
        <v>1014</v>
      </c>
      <c r="C438" t="s">
        <v>1025</v>
      </c>
      <c r="D438">
        <v>43</v>
      </c>
      <c r="E438">
        <v>14</v>
      </c>
      <c r="F438" s="3">
        <v>71510</v>
      </c>
      <c r="G438">
        <v>39</v>
      </c>
      <c r="H438">
        <v>1</v>
      </c>
      <c r="I438">
        <v>4</v>
      </c>
      <c r="J438">
        <v>20</v>
      </c>
      <c r="K438">
        <v>3.8</v>
      </c>
      <c r="L438" s="3">
        <v>8.4</v>
      </c>
      <c r="M438" t="s">
        <v>1034</v>
      </c>
      <c r="N438">
        <v>63.47</v>
      </c>
    </row>
    <row r="439" spans="1:14" x14ac:dyDescent="0.3">
      <c r="A439" t="s">
        <v>447</v>
      </c>
      <c r="B439" t="s">
        <v>1015</v>
      </c>
      <c r="C439" t="s">
        <v>1029</v>
      </c>
      <c r="D439">
        <v>41</v>
      </c>
      <c r="E439">
        <v>15</v>
      </c>
      <c r="F439" s="3">
        <v>76767</v>
      </c>
      <c r="G439">
        <v>53</v>
      </c>
      <c r="H439">
        <v>9</v>
      </c>
      <c r="I439">
        <v>11</v>
      </c>
      <c r="J439">
        <v>4</v>
      </c>
      <c r="K439">
        <v>4.4000000000000004</v>
      </c>
      <c r="L439" s="3">
        <v>5.2</v>
      </c>
      <c r="M439" t="s">
        <v>1036</v>
      </c>
      <c r="N439">
        <v>59.4</v>
      </c>
    </row>
    <row r="440" spans="1:14" hidden="1" x14ac:dyDescent="0.3">
      <c r="A440" t="s">
        <v>448</v>
      </c>
      <c r="B440" t="s">
        <v>1018</v>
      </c>
      <c r="C440" t="s">
        <v>1028</v>
      </c>
      <c r="D440">
        <v>55</v>
      </c>
      <c r="E440">
        <v>2</v>
      </c>
      <c r="F440" s="3">
        <v>76528</v>
      </c>
      <c r="G440">
        <v>51</v>
      </c>
      <c r="H440">
        <v>3</v>
      </c>
      <c r="I440">
        <v>13</v>
      </c>
      <c r="J440">
        <v>34</v>
      </c>
      <c r="K440">
        <v>3.6</v>
      </c>
      <c r="L440" s="3">
        <v>3.6</v>
      </c>
      <c r="M440" t="s">
        <v>1036</v>
      </c>
      <c r="N440">
        <v>37.4</v>
      </c>
    </row>
    <row r="441" spans="1:14" x14ac:dyDescent="0.3">
      <c r="A441" t="s">
        <v>449</v>
      </c>
      <c r="B441" t="s">
        <v>1018</v>
      </c>
      <c r="C441" t="s">
        <v>1027</v>
      </c>
      <c r="D441">
        <v>43</v>
      </c>
      <c r="E441">
        <v>10</v>
      </c>
      <c r="F441" s="3">
        <v>48645</v>
      </c>
      <c r="G441">
        <v>44</v>
      </c>
      <c r="H441">
        <v>4</v>
      </c>
      <c r="I441">
        <v>24</v>
      </c>
      <c r="J441">
        <v>39</v>
      </c>
      <c r="K441">
        <v>3.6</v>
      </c>
      <c r="L441" s="3">
        <v>10</v>
      </c>
      <c r="M441" t="s">
        <v>1034</v>
      </c>
      <c r="N441">
        <v>77.47</v>
      </c>
    </row>
    <row r="442" spans="1:14" hidden="1" x14ac:dyDescent="0.3">
      <c r="A442" t="s">
        <v>450</v>
      </c>
      <c r="B442" t="s">
        <v>1014</v>
      </c>
      <c r="C442" t="s">
        <v>1019</v>
      </c>
      <c r="D442">
        <v>29</v>
      </c>
      <c r="E442">
        <v>5</v>
      </c>
      <c r="F442" s="3">
        <v>54207</v>
      </c>
      <c r="G442">
        <v>42</v>
      </c>
      <c r="H442">
        <v>15</v>
      </c>
      <c r="I442">
        <v>20</v>
      </c>
      <c r="J442">
        <v>39</v>
      </c>
      <c r="K442">
        <v>4.8</v>
      </c>
      <c r="L442" s="3">
        <v>4.7</v>
      </c>
      <c r="M442" t="s">
        <v>1036</v>
      </c>
      <c r="N442">
        <v>67.599999999999994</v>
      </c>
    </row>
    <row r="443" spans="1:14" hidden="1" x14ac:dyDescent="0.3">
      <c r="A443" t="s">
        <v>451</v>
      </c>
      <c r="B443" t="s">
        <v>1016</v>
      </c>
      <c r="C443" t="s">
        <v>1033</v>
      </c>
      <c r="D443">
        <v>46</v>
      </c>
      <c r="E443">
        <v>3</v>
      </c>
      <c r="F443" s="3">
        <v>50288</v>
      </c>
      <c r="G443">
        <v>43</v>
      </c>
      <c r="H443">
        <v>9</v>
      </c>
      <c r="I443">
        <v>23</v>
      </c>
      <c r="J443">
        <v>18</v>
      </c>
      <c r="K443">
        <v>2.1</v>
      </c>
      <c r="L443" s="3">
        <v>6.6</v>
      </c>
      <c r="M443" t="s">
        <v>1035</v>
      </c>
      <c r="N443">
        <v>60.9</v>
      </c>
    </row>
    <row r="444" spans="1:14" hidden="1" x14ac:dyDescent="0.3">
      <c r="A444" t="s">
        <v>452</v>
      </c>
      <c r="B444" t="s">
        <v>1015</v>
      </c>
      <c r="C444" t="s">
        <v>1029</v>
      </c>
      <c r="D444">
        <v>54</v>
      </c>
      <c r="E444">
        <v>14</v>
      </c>
      <c r="F444" s="3">
        <v>56903</v>
      </c>
      <c r="G444">
        <v>36</v>
      </c>
      <c r="H444">
        <v>5</v>
      </c>
      <c r="I444">
        <v>20</v>
      </c>
      <c r="J444">
        <v>12</v>
      </c>
      <c r="K444">
        <v>3</v>
      </c>
      <c r="L444" s="3">
        <v>3.6</v>
      </c>
      <c r="M444" t="s">
        <v>1036</v>
      </c>
      <c r="N444">
        <v>38.93</v>
      </c>
    </row>
    <row r="445" spans="1:14" hidden="1" x14ac:dyDescent="0.3">
      <c r="A445" t="s">
        <v>453</v>
      </c>
      <c r="B445" t="s">
        <v>1018</v>
      </c>
      <c r="C445" t="s">
        <v>1027</v>
      </c>
      <c r="D445">
        <v>22</v>
      </c>
      <c r="E445">
        <v>0</v>
      </c>
      <c r="F445" s="3">
        <v>38813</v>
      </c>
      <c r="G445">
        <v>55</v>
      </c>
      <c r="H445">
        <v>13</v>
      </c>
      <c r="I445">
        <v>6</v>
      </c>
      <c r="J445">
        <v>27</v>
      </c>
      <c r="K445">
        <v>4.5</v>
      </c>
      <c r="L445" s="3">
        <v>4.4000000000000004</v>
      </c>
      <c r="M445" t="s">
        <v>1036</v>
      </c>
      <c r="N445">
        <v>61.57</v>
      </c>
    </row>
    <row r="446" spans="1:14" hidden="1" x14ac:dyDescent="0.3">
      <c r="A446" t="s">
        <v>454</v>
      </c>
      <c r="B446" t="s">
        <v>1017</v>
      </c>
      <c r="C446" t="s">
        <v>1030</v>
      </c>
      <c r="D446">
        <v>26</v>
      </c>
      <c r="E446">
        <v>5</v>
      </c>
      <c r="F446" s="3">
        <v>69960</v>
      </c>
      <c r="G446">
        <v>39</v>
      </c>
      <c r="H446">
        <v>1</v>
      </c>
      <c r="I446">
        <v>14</v>
      </c>
      <c r="J446">
        <v>21</v>
      </c>
      <c r="K446">
        <v>2.1</v>
      </c>
      <c r="L446" s="3">
        <v>3.5</v>
      </c>
      <c r="M446" t="s">
        <v>1036</v>
      </c>
      <c r="N446">
        <v>28.97</v>
      </c>
    </row>
    <row r="447" spans="1:14" hidden="1" x14ac:dyDescent="0.3">
      <c r="A447" t="s">
        <v>455</v>
      </c>
      <c r="B447" t="s">
        <v>1016</v>
      </c>
      <c r="C447" t="s">
        <v>1033</v>
      </c>
      <c r="D447">
        <v>26</v>
      </c>
      <c r="E447">
        <v>4</v>
      </c>
      <c r="F447" s="3">
        <v>78845</v>
      </c>
      <c r="G447">
        <v>42</v>
      </c>
      <c r="H447">
        <v>15</v>
      </c>
      <c r="I447">
        <v>8</v>
      </c>
      <c r="J447">
        <v>26</v>
      </c>
      <c r="K447">
        <v>3.2</v>
      </c>
      <c r="L447" s="3">
        <v>7.4</v>
      </c>
      <c r="M447" t="s">
        <v>1035</v>
      </c>
      <c r="N447">
        <v>79</v>
      </c>
    </row>
    <row r="448" spans="1:14" hidden="1" x14ac:dyDescent="0.3">
      <c r="A448" t="s">
        <v>456</v>
      </c>
      <c r="B448" t="s">
        <v>1016</v>
      </c>
      <c r="C448" t="s">
        <v>1023</v>
      </c>
      <c r="D448">
        <v>23</v>
      </c>
      <c r="E448">
        <v>1</v>
      </c>
      <c r="F448" s="3">
        <v>69125</v>
      </c>
      <c r="G448">
        <v>38</v>
      </c>
      <c r="H448">
        <v>9</v>
      </c>
      <c r="I448">
        <v>0</v>
      </c>
      <c r="J448">
        <v>39</v>
      </c>
      <c r="K448">
        <v>2.2000000000000002</v>
      </c>
      <c r="L448" s="3">
        <v>8.1999999999999993</v>
      </c>
      <c r="M448" t="s">
        <v>1034</v>
      </c>
      <c r="N448">
        <v>70.8</v>
      </c>
    </row>
    <row r="449" spans="1:14" hidden="1" x14ac:dyDescent="0.3">
      <c r="A449" t="s">
        <v>457</v>
      </c>
      <c r="B449" t="s">
        <v>1014</v>
      </c>
      <c r="C449" t="s">
        <v>1031</v>
      </c>
      <c r="D449">
        <v>44</v>
      </c>
      <c r="E449">
        <v>3</v>
      </c>
      <c r="F449" s="3">
        <v>43994</v>
      </c>
      <c r="G449">
        <v>44</v>
      </c>
      <c r="H449">
        <v>10</v>
      </c>
      <c r="I449">
        <v>2</v>
      </c>
      <c r="J449">
        <v>18</v>
      </c>
      <c r="K449">
        <v>4.3</v>
      </c>
      <c r="L449" s="3">
        <v>6.1</v>
      </c>
      <c r="M449" t="s">
        <v>1035</v>
      </c>
      <c r="N449">
        <v>66.17</v>
      </c>
    </row>
    <row r="450" spans="1:14" hidden="1" x14ac:dyDescent="0.3">
      <c r="A450" t="s">
        <v>458</v>
      </c>
      <c r="B450" t="s">
        <v>1014</v>
      </c>
      <c r="C450" t="s">
        <v>1031</v>
      </c>
      <c r="D450">
        <v>52</v>
      </c>
      <c r="E450">
        <v>5</v>
      </c>
      <c r="F450" s="3">
        <v>59961</v>
      </c>
      <c r="G450">
        <v>42</v>
      </c>
      <c r="H450">
        <v>3</v>
      </c>
      <c r="I450">
        <v>23</v>
      </c>
      <c r="J450">
        <v>25</v>
      </c>
      <c r="K450">
        <v>4.4000000000000004</v>
      </c>
      <c r="L450" s="3">
        <v>8.9</v>
      </c>
      <c r="M450" t="s">
        <v>1034</v>
      </c>
      <c r="N450">
        <v>71.599999999999994</v>
      </c>
    </row>
    <row r="451" spans="1:14" hidden="1" x14ac:dyDescent="0.3">
      <c r="A451" t="s">
        <v>459</v>
      </c>
      <c r="B451" t="s">
        <v>1018</v>
      </c>
      <c r="C451" t="s">
        <v>1027</v>
      </c>
      <c r="D451">
        <v>41</v>
      </c>
      <c r="E451">
        <v>11</v>
      </c>
      <c r="F451" s="3">
        <v>87743</v>
      </c>
      <c r="G451">
        <v>35</v>
      </c>
      <c r="H451">
        <v>9</v>
      </c>
      <c r="I451">
        <v>17</v>
      </c>
      <c r="J451">
        <v>9</v>
      </c>
      <c r="K451">
        <v>2.4</v>
      </c>
      <c r="L451" s="3">
        <v>3</v>
      </c>
      <c r="M451" t="s">
        <v>1036</v>
      </c>
      <c r="N451">
        <v>40.200000000000003</v>
      </c>
    </row>
    <row r="452" spans="1:14" hidden="1" x14ac:dyDescent="0.3">
      <c r="A452" t="s">
        <v>460</v>
      </c>
      <c r="B452" t="s">
        <v>1017</v>
      </c>
      <c r="C452" t="s">
        <v>1024</v>
      </c>
      <c r="D452">
        <v>27</v>
      </c>
      <c r="E452">
        <v>2</v>
      </c>
      <c r="F452" s="3">
        <v>38766</v>
      </c>
      <c r="G452">
        <v>46</v>
      </c>
      <c r="H452">
        <v>4</v>
      </c>
      <c r="I452">
        <v>13</v>
      </c>
      <c r="J452">
        <v>32</v>
      </c>
      <c r="K452">
        <v>2.4</v>
      </c>
      <c r="L452" s="3">
        <v>4.3</v>
      </c>
      <c r="M452" t="s">
        <v>1036</v>
      </c>
      <c r="N452">
        <v>39.67</v>
      </c>
    </row>
    <row r="453" spans="1:14" hidden="1" x14ac:dyDescent="0.3">
      <c r="A453" t="s">
        <v>461</v>
      </c>
      <c r="B453" t="s">
        <v>1016</v>
      </c>
      <c r="C453" t="s">
        <v>1033</v>
      </c>
      <c r="D453">
        <v>34</v>
      </c>
      <c r="E453">
        <v>1</v>
      </c>
      <c r="F453" s="3">
        <v>36885</v>
      </c>
      <c r="G453">
        <v>53</v>
      </c>
      <c r="H453">
        <v>14</v>
      </c>
      <c r="I453">
        <v>1</v>
      </c>
      <c r="J453">
        <v>35</v>
      </c>
      <c r="K453">
        <v>3.4</v>
      </c>
      <c r="L453" s="3">
        <v>6.8</v>
      </c>
      <c r="M453" t="s">
        <v>1035</v>
      </c>
      <c r="N453">
        <v>74.33</v>
      </c>
    </row>
    <row r="454" spans="1:14" hidden="1" x14ac:dyDescent="0.3">
      <c r="A454" t="s">
        <v>462</v>
      </c>
      <c r="B454" t="s">
        <v>1014</v>
      </c>
      <c r="C454" t="s">
        <v>1019</v>
      </c>
      <c r="D454">
        <v>38</v>
      </c>
      <c r="E454">
        <v>3</v>
      </c>
      <c r="F454" s="3">
        <v>37937</v>
      </c>
      <c r="G454">
        <v>53</v>
      </c>
      <c r="H454">
        <v>8</v>
      </c>
      <c r="I454">
        <v>10</v>
      </c>
      <c r="J454">
        <v>22</v>
      </c>
      <c r="K454">
        <v>2.4</v>
      </c>
      <c r="L454" s="3">
        <v>7.6</v>
      </c>
      <c r="M454" t="s">
        <v>1035</v>
      </c>
      <c r="N454">
        <v>66.13</v>
      </c>
    </row>
    <row r="455" spans="1:14" hidden="1" x14ac:dyDescent="0.3">
      <c r="A455" t="s">
        <v>463</v>
      </c>
      <c r="B455" t="s">
        <v>1016</v>
      </c>
      <c r="C455" t="s">
        <v>1023</v>
      </c>
      <c r="D455">
        <v>26</v>
      </c>
      <c r="E455">
        <v>1</v>
      </c>
      <c r="F455" s="3">
        <v>45826</v>
      </c>
      <c r="G455">
        <v>50</v>
      </c>
      <c r="H455">
        <v>8</v>
      </c>
      <c r="I455">
        <v>10</v>
      </c>
      <c r="J455">
        <v>39</v>
      </c>
      <c r="K455">
        <v>4</v>
      </c>
      <c r="L455" s="3">
        <v>7.9</v>
      </c>
      <c r="M455" t="s">
        <v>1035</v>
      </c>
      <c r="N455">
        <v>72.73</v>
      </c>
    </row>
    <row r="456" spans="1:14" x14ac:dyDescent="0.3">
      <c r="A456" t="s">
        <v>464</v>
      </c>
      <c r="B456" t="s">
        <v>1015</v>
      </c>
      <c r="C456" t="s">
        <v>1020</v>
      </c>
      <c r="D456">
        <v>45</v>
      </c>
      <c r="E456">
        <v>10</v>
      </c>
      <c r="F456" s="3">
        <v>87826</v>
      </c>
      <c r="G456">
        <v>48</v>
      </c>
      <c r="H456">
        <v>3</v>
      </c>
      <c r="I456">
        <v>0</v>
      </c>
      <c r="J456">
        <v>20</v>
      </c>
      <c r="K456">
        <v>2.7</v>
      </c>
      <c r="L456" s="3">
        <v>4.5999999999999996</v>
      </c>
      <c r="M456" t="s">
        <v>1036</v>
      </c>
      <c r="N456">
        <v>40.700000000000003</v>
      </c>
    </row>
    <row r="457" spans="1:14" x14ac:dyDescent="0.3">
      <c r="A457" t="s">
        <v>465</v>
      </c>
      <c r="B457" t="s">
        <v>1017</v>
      </c>
      <c r="C457" t="s">
        <v>1026</v>
      </c>
      <c r="D457">
        <v>39</v>
      </c>
      <c r="E457">
        <v>11</v>
      </c>
      <c r="F457" s="3">
        <v>33801</v>
      </c>
      <c r="G457">
        <v>45</v>
      </c>
      <c r="H457">
        <v>15</v>
      </c>
      <c r="I457">
        <v>15</v>
      </c>
      <c r="J457">
        <v>29</v>
      </c>
      <c r="K457">
        <v>3.3</v>
      </c>
      <c r="L457" s="3">
        <v>8.4</v>
      </c>
      <c r="M457" t="s">
        <v>1034</v>
      </c>
      <c r="N457">
        <v>85.3</v>
      </c>
    </row>
    <row r="458" spans="1:14" hidden="1" x14ac:dyDescent="0.3">
      <c r="A458" t="s">
        <v>466</v>
      </c>
      <c r="B458" t="s">
        <v>1015</v>
      </c>
      <c r="C458" t="s">
        <v>1020</v>
      </c>
      <c r="D458">
        <v>28</v>
      </c>
      <c r="E458">
        <v>2</v>
      </c>
      <c r="F458" s="3">
        <v>67306</v>
      </c>
      <c r="G458">
        <v>54</v>
      </c>
      <c r="H458">
        <v>2</v>
      </c>
      <c r="I458">
        <v>8</v>
      </c>
      <c r="J458">
        <v>8</v>
      </c>
      <c r="K458">
        <v>4.7</v>
      </c>
      <c r="L458" s="3">
        <v>4.4000000000000004</v>
      </c>
      <c r="M458" t="s">
        <v>1036</v>
      </c>
      <c r="N458">
        <v>43.83</v>
      </c>
    </row>
    <row r="459" spans="1:14" hidden="1" x14ac:dyDescent="0.3">
      <c r="A459" t="s">
        <v>467</v>
      </c>
      <c r="B459" t="s">
        <v>1014</v>
      </c>
      <c r="C459" t="s">
        <v>1019</v>
      </c>
      <c r="D459">
        <v>26</v>
      </c>
      <c r="E459">
        <v>0</v>
      </c>
      <c r="F459" s="3">
        <v>80678</v>
      </c>
      <c r="G459">
        <v>51</v>
      </c>
      <c r="H459">
        <v>11</v>
      </c>
      <c r="I459">
        <v>0</v>
      </c>
      <c r="J459">
        <v>37</v>
      </c>
      <c r="K459">
        <v>3.7</v>
      </c>
      <c r="L459" s="3">
        <v>8.4</v>
      </c>
      <c r="M459" t="s">
        <v>1034</v>
      </c>
      <c r="N459">
        <v>79.83</v>
      </c>
    </row>
    <row r="460" spans="1:14" hidden="1" x14ac:dyDescent="0.3">
      <c r="A460" t="s">
        <v>468</v>
      </c>
      <c r="B460" t="s">
        <v>1014</v>
      </c>
      <c r="C460" t="s">
        <v>1031</v>
      </c>
      <c r="D460">
        <v>38</v>
      </c>
      <c r="E460">
        <v>15</v>
      </c>
      <c r="F460" s="3">
        <v>67854</v>
      </c>
      <c r="G460">
        <v>39</v>
      </c>
      <c r="H460">
        <v>6</v>
      </c>
      <c r="I460">
        <v>12</v>
      </c>
      <c r="J460">
        <v>14</v>
      </c>
      <c r="K460">
        <v>4.7</v>
      </c>
      <c r="L460" s="3">
        <v>7.1</v>
      </c>
      <c r="M460" t="s">
        <v>1035</v>
      </c>
      <c r="N460">
        <v>66.7</v>
      </c>
    </row>
    <row r="461" spans="1:14" hidden="1" x14ac:dyDescent="0.3">
      <c r="A461" t="s">
        <v>469</v>
      </c>
      <c r="B461" t="s">
        <v>1018</v>
      </c>
      <c r="C461" t="s">
        <v>1027</v>
      </c>
      <c r="D461">
        <v>51</v>
      </c>
      <c r="E461">
        <v>2</v>
      </c>
      <c r="F461" s="3">
        <v>51003</v>
      </c>
      <c r="G461">
        <v>46</v>
      </c>
      <c r="H461">
        <v>9</v>
      </c>
      <c r="I461">
        <v>0</v>
      </c>
      <c r="J461">
        <v>15</v>
      </c>
      <c r="K461">
        <v>4.5</v>
      </c>
      <c r="L461" s="3">
        <v>8.6</v>
      </c>
      <c r="M461" t="s">
        <v>1034</v>
      </c>
      <c r="N461">
        <v>80.099999999999994</v>
      </c>
    </row>
    <row r="462" spans="1:14" hidden="1" x14ac:dyDescent="0.3">
      <c r="A462" t="s">
        <v>470</v>
      </c>
      <c r="B462" t="s">
        <v>1018</v>
      </c>
      <c r="C462" t="s">
        <v>1027</v>
      </c>
      <c r="D462">
        <v>54</v>
      </c>
      <c r="E462">
        <v>4</v>
      </c>
      <c r="F462" s="3">
        <v>54243</v>
      </c>
      <c r="G462">
        <v>40</v>
      </c>
      <c r="H462">
        <v>3</v>
      </c>
      <c r="I462">
        <v>18</v>
      </c>
      <c r="J462">
        <v>36</v>
      </c>
      <c r="K462">
        <v>4</v>
      </c>
      <c r="L462" s="3">
        <v>9.8000000000000007</v>
      </c>
      <c r="M462" t="s">
        <v>1034</v>
      </c>
      <c r="N462">
        <v>75.8</v>
      </c>
    </row>
    <row r="463" spans="1:14" hidden="1" x14ac:dyDescent="0.3">
      <c r="A463" t="s">
        <v>471</v>
      </c>
      <c r="B463" t="s">
        <v>1017</v>
      </c>
      <c r="C463" t="s">
        <v>1030</v>
      </c>
      <c r="D463">
        <v>44</v>
      </c>
      <c r="E463">
        <v>1</v>
      </c>
      <c r="F463" s="3">
        <v>39340</v>
      </c>
      <c r="G463">
        <v>50</v>
      </c>
      <c r="H463">
        <v>4</v>
      </c>
      <c r="I463">
        <v>2</v>
      </c>
      <c r="J463">
        <v>16</v>
      </c>
      <c r="K463">
        <v>3.1</v>
      </c>
      <c r="L463" s="3">
        <v>3.3</v>
      </c>
      <c r="M463" t="s">
        <v>1036</v>
      </c>
      <c r="N463">
        <v>35.770000000000003</v>
      </c>
    </row>
    <row r="464" spans="1:14" x14ac:dyDescent="0.3">
      <c r="A464" t="s">
        <v>472</v>
      </c>
      <c r="B464" t="s">
        <v>1015</v>
      </c>
      <c r="C464" t="s">
        <v>1020</v>
      </c>
      <c r="D464">
        <v>45</v>
      </c>
      <c r="E464">
        <v>12</v>
      </c>
      <c r="F464" s="3">
        <v>55780</v>
      </c>
      <c r="G464">
        <v>49</v>
      </c>
      <c r="H464">
        <v>15</v>
      </c>
      <c r="I464">
        <v>1</v>
      </c>
      <c r="J464">
        <v>2</v>
      </c>
      <c r="K464">
        <v>4.9000000000000004</v>
      </c>
      <c r="L464" s="3">
        <v>5.3</v>
      </c>
      <c r="M464" t="s">
        <v>1036</v>
      </c>
      <c r="N464">
        <v>71.5</v>
      </c>
    </row>
    <row r="465" spans="1:14" x14ac:dyDescent="0.3">
      <c r="A465" t="s">
        <v>473</v>
      </c>
      <c r="B465" t="s">
        <v>1015</v>
      </c>
      <c r="C465" t="s">
        <v>1020</v>
      </c>
      <c r="D465">
        <v>39</v>
      </c>
      <c r="E465">
        <v>8</v>
      </c>
      <c r="F465" s="3">
        <v>62921</v>
      </c>
      <c r="G465">
        <v>52</v>
      </c>
      <c r="H465">
        <v>10</v>
      </c>
      <c r="I465">
        <v>5</v>
      </c>
      <c r="J465">
        <v>24</v>
      </c>
      <c r="K465">
        <v>4</v>
      </c>
      <c r="L465" s="3">
        <v>5.6</v>
      </c>
      <c r="M465" t="s">
        <v>1036</v>
      </c>
      <c r="N465">
        <v>62.27</v>
      </c>
    </row>
    <row r="466" spans="1:14" x14ac:dyDescent="0.3">
      <c r="A466" t="s">
        <v>474</v>
      </c>
      <c r="B466" t="s">
        <v>1014</v>
      </c>
      <c r="C466" t="s">
        <v>1031</v>
      </c>
      <c r="D466">
        <v>55</v>
      </c>
      <c r="E466">
        <v>8</v>
      </c>
      <c r="F466" s="3">
        <v>49663</v>
      </c>
      <c r="G466">
        <v>42</v>
      </c>
      <c r="H466">
        <v>9</v>
      </c>
      <c r="I466">
        <v>12</v>
      </c>
      <c r="J466">
        <v>22</v>
      </c>
      <c r="K466">
        <v>4.5</v>
      </c>
      <c r="L466" s="3">
        <v>5.4</v>
      </c>
      <c r="M466" t="s">
        <v>1036</v>
      </c>
      <c r="N466">
        <v>60.9</v>
      </c>
    </row>
    <row r="467" spans="1:14" hidden="1" x14ac:dyDescent="0.3">
      <c r="A467" t="s">
        <v>475</v>
      </c>
      <c r="B467" t="s">
        <v>1015</v>
      </c>
      <c r="C467" t="s">
        <v>1029</v>
      </c>
      <c r="D467">
        <v>22</v>
      </c>
      <c r="E467">
        <v>0</v>
      </c>
      <c r="F467" s="3">
        <v>53829</v>
      </c>
      <c r="G467">
        <v>40</v>
      </c>
      <c r="H467">
        <v>4</v>
      </c>
      <c r="I467">
        <v>2</v>
      </c>
      <c r="J467">
        <v>32</v>
      </c>
      <c r="K467">
        <v>3.9</v>
      </c>
      <c r="L467" s="3">
        <v>4.5</v>
      </c>
      <c r="M467" t="s">
        <v>1036</v>
      </c>
      <c r="N467">
        <v>45.37</v>
      </c>
    </row>
    <row r="468" spans="1:14" hidden="1" x14ac:dyDescent="0.3">
      <c r="A468" t="s">
        <v>476</v>
      </c>
      <c r="B468" t="s">
        <v>1018</v>
      </c>
      <c r="C468" t="s">
        <v>1032</v>
      </c>
      <c r="D468">
        <v>45</v>
      </c>
      <c r="E468">
        <v>3</v>
      </c>
      <c r="F468" s="3">
        <v>68326</v>
      </c>
      <c r="G468">
        <v>42</v>
      </c>
      <c r="H468">
        <v>7</v>
      </c>
      <c r="I468">
        <v>25</v>
      </c>
      <c r="J468">
        <v>21</v>
      </c>
      <c r="K468">
        <v>4.2</v>
      </c>
      <c r="L468" s="3">
        <v>6.4</v>
      </c>
      <c r="M468" t="s">
        <v>1035</v>
      </c>
      <c r="N468">
        <v>62.67</v>
      </c>
    </row>
    <row r="469" spans="1:14" x14ac:dyDescent="0.3">
      <c r="A469" t="s">
        <v>477</v>
      </c>
      <c r="B469" t="s">
        <v>1017</v>
      </c>
      <c r="C469" t="s">
        <v>1024</v>
      </c>
      <c r="D469">
        <v>35</v>
      </c>
      <c r="E469">
        <v>9</v>
      </c>
      <c r="F469" s="3">
        <v>35567</v>
      </c>
      <c r="G469">
        <v>55</v>
      </c>
      <c r="H469">
        <v>14</v>
      </c>
      <c r="I469">
        <v>13</v>
      </c>
      <c r="J469">
        <v>1</v>
      </c>
      <c r="K469">
        <v>2.7</v>
      </c>
      <c r="L469" s="3">
        <v>3.9</v>
      </c>
      <c r="M469" t="s">
        <v>1036</v>
      </c>
      <c r="N469">
        <v>54.83</v>
      </c>
    </row>
    <row r="470" spans="1:14" x14ac:dyDescent="0.3">
      <c r="A470" t="s">
        <v>478</v>
      </c>
      <c r="B470" t="s">
        <v>1018</v>
      </c>
      <c r="C470" t="s">
        <v>1032</v>
      </c>
      <c r="D470">
        <v>30</v>
      </c>
      <c r="E470">
        <v>8</v>
      </c>
      <c r="F470" s="3">
        <v>27568</v>
      </c>
      <c r="G470">
        <v>53</v>
      </c>
      <c r="H470">
        <v>3</v>
      </c>
      <c r="I470">
        <v>1</v>
      </c>
      <c r="J470">
        <v>10</v>
      </c>
      <c r="K470">
        <v>2.8</v>
      </c>
      <c r="L470" s="3">
        <v>4.3</v>
      </c>
      <c r="M470" t="s">
        <v>1036</v>
      </c>
      <c r="N470">
        <v>39.200000000000003</v>
      </c>
    </row>
    <row r="471" spans="1:14" hidden="1" x14ac:dyDescent="0.3">
      <c r="A471" t="s">
        <v>479</v>
      </c>
      <c r="B471" t="s">
        <v>1015</v>
      </c>
      <c r="C471" t="s">
        <v>1021</v>
      </c>
      <c r="D471">
        <v>23</v>
      </c>
      <c r="E471">
        <v>2</v>
      </c>
      <c r="F471" s="3">
        <v>72708</v>
      </c>
      <c r="G471">
        <v>44</v>
      </c>
      <c r="H471">
        <v>2</v>
      </c>
      <c r="I471">
        <v>6</v>
      </c>
      <c r="J471">
        <v>28</v>
      </c>
      <c r="K471">
        <v>3.8</v>
      </c>
      <c r="L471" s="3">
        <v>6.3</v>
      </c>
      <c r="M471" t="s">
        <v>1035</v>
      </c>
      <c r="N471">
        <v>52.53</v>
      </c>
    </row>
    <row r="472" spans="1:14" hidden="1" x14ac:dyDescent="0.3">
      <c r="A472" t="s">
        <v>480</v>
      </c>
      <c r="B472" t="s">
        <v>1018</v>
      </c>
      <c r="C472" t="s">
        <v>1028</v>
      </c>
      <c r="D472">
        <v>36</v>
      </c>
      <c r="E472">
        <v>13</v>
      </c>
      <c r="F472" s="3">
        <v>64376</v>
      </c>
      <c r="G472">
        <v>39</v>
      </c>
      <c r="H472">
        <v>13</v>
      </c>
      <c r="I472">
        <v>18</v>
      </c>
      <c r="J472">
        <v>11</v>
      </c>
      <c r="K472">
        <v>3.9</v>
      </c>
      <c r="L472" s="3">
        <v>6.6</v>
      </c>
      <c r="M472" t="s">
        <v>1035</v>
      </c>
      <c r="N472">
        <v>72.97</v>
      </c>
    </row>
    <row r="473" spans="1:14" hidden="1" x14ac:dyDescent="0.3">
      <c r="A473" t="s">
        <v>481</v>
      </c>
      <c r="B473" t="s">
        <v>1016</v>
      </c>
      <c r="C473" t="s">
        <v>1022</v>
      </c>
      <c r="D473">
        <v>51</v>
      </c>
      <c r="E473">
        <v>2</v>
      </c>
      <c r="F473" s="3">
        <v>40061</v>
      </c>
      <c r="G473">
        <v>47</v>
      </c>
      <c r="H473">
        <v>7</v>
      </c>
      <c r="I473">
        <v>4</v>
      </c>
      <c r="J473">
        <v>6</v>
      </c>
      <c r="K473">
        <v>2</v>
      </c>
      <c r="L473" s="3">
        <v>6.7</v>
      </c>
      <c r="M473" t="s">
        <v>1035</v>
      </c>
      <c r="N473">
        <v>57.87</v>
      </c>
    </row>
    <row r="474" spans="1:14" hidden="1" x14ac:dyDescent="0.3">
      <c r="A474" t="s">
        <v>482</v>
      </c>
      <c r="B474" t="s">
        <v>1017</v>
      </c>
      <c r="C474" t="s">
        <v>1024</v>
      </c>
      <c r="D474">
        <v>31</v>
      </c>
      <c r="E474">
        <v>9</v>
      </c>
      <c r="F474" s="3">
        <v>31311</v>
      </c>
      <c r="G474">
        <v>40</v>
      </c>
      <c r="H474">
        <v>8</v>
      </c>
      <c r="I474">
        <v>19</v>
      </c>
      <c r="J474">
        <v>38</v>
      </c>
      <c r="K474">
        <v>2.1</v>
      </c>
      <c r="L474" s="3">
        <v>8.5</v>
      </c>
      <c r="M474" t="s">
        <v>1034</v>
      </c>
      <c r="N474">
        <v>70.63</v>
      </c>
    </row>
    <row r="475" spans="1:14" hidden="1" x14ac:dyDescent="0.3">
      <c r="A475" t="s">
        <v>483</v>
      </c>
      <c r="B475" t="s">
        <v>1014</v>
      </c>
      <c r="C475" t="s">
        <v>1025</v>
      </c>
      <c r="D475">
        <v>27</v>
      </c>
      <c r="E475">
        <v>3</v>
      </c>
      <c r="F475" s="3">
        <v>68213</v>
      </c>
      <c r="G475">
        <v>39</v>
      </c>
      <c r="H475">
        <v>15</v>
      </c>
      <c r="I475">
        <v>19</v>
      </c>
      <c r="J475">
        <v>34</v>
      </c>
      <c r="K475">
        <v>4.5</v>
      </c>
      <c r="L475" s="3">
        <v>9.3000000000000007</v>
      </c>
      <c r="M475" t="s">
        <v>1034</v>
      </c>
      <c r="N475">
        <v>94.3</v>
      </c>
    </row>
    <row r="476" spans="1:14" hidden="1" x14ac:dyDescent="0.3">
      <c r="A476" t="s">
        <v>484</v>
      </c>
      <c r="B476" t="s">
        <v>1017</v>
      </c>
      <c r="C476" t="s">
        <v>1026</v>
      </c>
      <c r="D476">
        <v>55</v>
      </c>
      <c r="E476">
        <v>13</v>
      </c>
      <c r="F476" s="3">
        <v>49273</v>
      </c>
      <c r="G476">
        <v>36</v>
      </c>
      <c r="H476">
        <v>12</v>
      </c>
      <c r="I476">
        <v>16</v>
      </c>
      <c r="J476">
        <v>27</v>
      </c>
      <c r="K476">
        <v>2.7</v>
      </c>
      <c r="L476" s="3">
        <v>8.6</v>
      </c>
      <c r="M476" t="s">
        <v>1034</v>
      </c>
      <c r="N476">
        <v>79.7</v>
      </c>
    </row>
    <row r="477" spans="1:14" x14ac:dyDescent="0.3">
      <c r="A477" t="s">
        <v>485</v>
      </c>
      <c r="B477" t="s">
        <v>1016</v>
      </c>
      <c r="C477" t="s">
        <v>1022</v>
      </c>
      <c r="D477">
        <v>28</v>
      </c>
      <c r="E477">
        <v>6</v>
      </c>
      <c r="F477" s="3">
        <v>33774</v>
      </c>
      <c r="G477">
        <v>43</v>
      </c>
      <c r="H477">
        <v>8</v>
      </c>
      <c r="I477">
        <v>24</v>
      </c>
      <c r="J477">
        <v>14</v>
      </c>
      <c r="K477">
        <v>4.7</v>
      </c>
      <c r="L477" s="3">
        <v>3.6</v>
      </c>
      <c r="M477" t="s">
        <v>1036</v>
      </c>
      <c r="N477">
        <v>49.03</v>
      </c>
    </row>
    <row r="478" spans="1:14" hidden="1" x14ac:dyDescent="0.3">
      <c r="A478" t="s">
        <v>486</v>
      </c>
      <c r="B478" t="s">
        <v>1015</v>
      </c>
      <c r="C478" t="s">
        <v>1029</v>
      </c>
      <c r="D478">
        <v>48</v>
      </c>
      <c r="E478">
        <v>8</v>
      </c>
      <c r="F478" s="3">
        <v>37387</v>
      </c>
      <c r="G478">
        <v>35</v>
      </c>
      <c r="H478">
        <v>12</v>
      </c>
      <c r="I478">
        <v>23</v>
      </c>
      <c r="J478">
        <v>0</v>
      </c>
      <c r="K478">
        <v>3.7</v>
      </c>
      <c r="L478" s="3">
        <v>3.8</v>
      </c>
      <c r="M478" t="s">
        <v>1036</v>
      </c>
      <c r="N478">
        <v>53.9</v>
      </c>
    </row>
    <row r="479" spans="1:14" x14ac:dyDescent="0.3">
      <c r="A479" t="s">
        <v>487</v>
      </c>
      <c r="B479" t="s">
        <v>1017</v>
      </c>
      <c r="C479" t="s">
        <v>1026</v>
      </c>
      <c r="D479">
        <v>35</v>
      </c>
      <c r="E479">
        <v>11</v>
      </c>
      <c r="F479" s="3">
        <v>77709</v>
      </c>
      <c r="G479">
        <v>45</v>
      </c>
      <c r="H479">
        <v>7</v>
      </c>
      <c r="I479">
        <v>11</v>
      </c>
      <c r="J479">
        <v>6</v>
      </c>
      <c r="K479">
        <v>2.5</v>
      </c>
      <c r="L479" s="3">
        <v>7.6</v>
      </c>
      <c r="M479" t="s">
        <v>1035</v>
      </c>
      <c r="N479">
        <v>64.77</v>
      </c>
    </row>
    <row r="480" spans="1:14" x14ac:dyDescent="0.3">
      <c r="A480" t="s">
        <v>488</v>
      </c>
      <c r="B480" t="s">
        <v>1016</v>
      </c>
      <c r="C480" t="s">
        <v>1033</v>
      </c>
      <c r="D480">
        <v>49</v>
      </c>
      <c r="E480">
        <v>11</v>
      </c>
      <c r="F480" s="3">
        <v>65100</v>
      </c>
      <c r="G480">
        <v>43</v>
      </c>
      <c r="H480">
        <v>11</v>
      </c>
      <c r="I480">
        <v>12</v>
      </c>
      <c r="J480">
        <v>13</v>
      </c>
      <c r="K480">
        <v>3.2</v>
      </c>
      <c r="L480" s="3">
        <v>8.5</v>
      </c>
      <c r="M480" t="s">
        <v>1034</v>
      </c>
      <c r="N480">
        <v>78.930000000000007</v>
      </c>
    </row>
    <row r="481" spans="1:14" x14ac:dyDescent="0.3">
      <c r="A481" t="s">
        <v>489</v>
      </c>
      <c r="B481" t="s">
        <v>1018</v>
      </c>
      <c r="C481" t="s">
        <v>1027</v>
      </c>
      <c r="D481">
        <v>45</v>
      </c>
      <c r="E481">
        <v>15</v>
      </c>
      <c r="F481" s="3">
        <v>41631</v>
      </c>
      <c r="G481">
        <v>44</v>
      </c>
      <c r="H481">
        <v>10</v>
      </c>
      <c r="I481">
        <v>11</v>
      </c>
      <c r="J481">
        <v>25</v>
      </c>
      <c r="K481">
        <v>4.2</v>
      </c>
      <c r="L481" s="3">
        <v>9</v>
      </c>
      <c r="M481" t="s">
        <v>1034</v>
      </c>
      <c r="N481">
        <v>83.27</v>
      </c>
    </row>
    <row r="482" spans="1:14" hidden="1" x14ac:dyDescent="0.3">
      <c r="A482" t="s">
        <v>490</v>
      </c>
      <c r="B482" t="s">
        <v>1014</v>
      </c>
      <c r="C482" t="s">
        <v>1025</v>
      </c>
      <c r="D482">
        <v>36</v>
      </c>
      <c r="E482">
        <v>14</v>
      </c>
      <c r="F482" s="3">
        <v>76321</v>
      </c>
      <c r="G482">
        <v>40</v>
      </c>
      <c r="H482">
        <v>2</v>
      </c>
      <c r="I482">
        <v>6</v>
      </c>
      <c r="J482">
        <v>32</v>
      </c>
      <c r="K482">
        <v>3.2</v>
      </c>
      <c r="L482" s="3">
        <v>5.4</v>
      </c>
      <c r="M482" t="s">
        <v>1036</v>
      </c>
      <c r="N482">
        <v>45.33</v>
      </c>
    </row>
    <row r="483" spans="1:14" hidden="1" x14ac:dyDescent="0.3">
      <c r="A483" t="s">
        <v>491</v>
      </c>
      <c r="B483" t="s">
        <v>1015</v>
      </c>
      <c r="C483" t="s">
        <v>1020</v>
      </c>
      <c r="D483">
        <v>25</v>
      </c>
      <c r="E483">
        <v>1</v>
      </c>
      <c r="F483" s="3">
        <v>50500</v>
      </c>
      <c r="G483">
        <v>55</v>
      </c>
      <c r="H483">
        <v>1</v>
      </c>
      <c r="I483">
        <v>25</v>
      </c>
      <c r="J483">
        <v>5</v>
      </c>
      <c r="K483">
        <v>4.5</v>
      </c>
      <c r="L483" s="3">
        <v>6.3</v>
      </c>
      <c r="M483" t="s">
        <v>1035</v>
      </c>
      <c r="N483">
        <v>52.97</v>
      </c>
    </row>
    <row r="484" spans="1:14" hidden="1" x14ac:dyDescent="0.3">
      <c r="A484" t="s">
        <v>492</v>
      </c>
      <c r="B484" t="s">
        <v>1017</v>
      </c>
      <c r="C484" t="s">
        <v>1026</v>
      </c>
      <c r="D484">
        <v>27</v>
      </c>
      <c r="E484">
        <v>0</v>
      </c>
      <c r="F484" s="3">
        <v>42241</v>
      </c>
      <c r="G484">
        <v>42</v>
      </c>
      <c r="H484">
        <v>6</v>
      </c>
      <c r="I484">
        <v>2</v>
      </c>
      <c r="J484">
        <v>38</v>
      </c>
      <c r="K484">
        <v>2.1</v>
      </c>
      <c r="L484" s="3">
        <v>5.7</v>
      </c>
      <c r="M484" t="s">
        <v>1036</v>
      </c>
      <c r="N484">
        <v>50.5</v>
      </c>
    </row>
    <row r="485" spans="1:14" x14ac:dyDescent="0.3">
      <c r="A485" t="s">
        <v>493</v>
      </c>
      <c r="B485" t="s">
        <v>1015</v>
      </c>
      <c r="C485" t="s">
        <v>1029</v>
      </c>
      <c r="D485">
        <v>55</v>
      </c>
      <c r="E485">
        <v>9</v>
      </c>
      <c r="F485" s="3">
        <v>71635</v>
      </c>
      <c r="G485">
        <v>54</v>
      </c>
      <c r="H485">
        <v>1</v>
      </c>
      <c r="I485">
        <v>24</v>
      </c>
      <c r="J485">
        <v>11</v>
      </c>
      <c r="K485">
        <v>3.9</v>
      </c>
      <c r="L485" s="3">
        <v>6.1</v>
      </c>
      <c r="M485" t="s">
        <v>1035</v>
      </c>
      <c r="N485">
        <v>49.97</v>
      </c>
    </row>
    <row r="486" spans="1:14" x14ac:dyDescent="0.3">
      <c r="A486" t="s">
        <v>494</v>
      </c>
      <c r="B486" t="s">
        <v>1015</v>
      </c>
      <c r="C486" t="s">
        <v>1021</v>
      </c>
      <c r="D486">
        <v>40</v>
      </c>
      <c r="E486">
        <v>6</v>
      </c>
      <c r="F486" s="3">
        <v>27202</v>
      </c>
      <c r="G486">
        <v>54</v>
      </c>
      <c r="H486">
        <v>9</v>
      </c>
      <c r="I486">
        <v>16</v>
      </c>
      <c r="J486">
        <v>14</v>
      </c>
      <c r="K486">
        <v>3.8</v>
      </c>
      <c r="L486" s="3">
        <v>7.7</v>
      </c>
      <c r="M486" t="s">
        <v>1035</v>
      </c>
      <c r="N486">
        <v>72.599999999999994</v>
      </c>
    </row>
    <row r="487" spans="1:14" hidden="1" x14ac:dyDescent="0.3">
      <c r="A487" t="s">
        <v>495</v>
      </c>
      <c r="B487" t="s">
        <v>1018</v>
      </c>
      <c r="C487" t="s">
        <v>1028</v>
      </c>
      <c r="D487">
        <v>22</v>
      </c>
      <c r="E487">
        <v>0</v>
      </c>
      <c r="F487" s="3">
        <v>30691</v>
      </c>
      <c r="G487">
        <v>43</v>
      </c>
      <c r="H487">
        <v>13</v>
      </c>
      <c r="I487">
        <v>12</v>
      </c>
      <c r="J487">
        <v>22</v>
      </c>
      <c r="K487">
        <v>4</v>
      </c>
      <c r="L487" s="3">
        <v>5.8</v>
      </c>
      <c r="M487" t="s">
        <v>1036</v>
      </c>
      <c r="N487">
        <v>68.47</v>
      </c>
    </row>
    <row r="488" spans="1:14" hidden="1" x14ac:dyDescent="0.3">
      <c r="A488" t="s">
        <v>496</v>
      </c>
      <c r="B488" t="s">
        <v>1015</v>
      </c>
      <c r="C488" t="s">
        <v>1021</v>
      </c>
      <c r="D488">
        <v>22</v>
      </c>
      <c r="E488">
        <v>0</v>
      </c>
      <c r="F488" s="3">
        <v>85239</v>
      </c>
      <c r="G488">
        <v>37</v>
      </c>
      <c r="H488">
        <v>9</v>
      </c>
      <c r="I488">
        <v>9</v>
      </c>
      <c r="J488">
        <v>35</v>
      </c>
      <c r="K488">
        <v>4.7</v>
      </c>
      <c r="L488" s="3">
        <v>5.4</v>
      </c>
      <c r="M488" t="s">
        <v>1036</v>
      </c>
      <c r="N488">
        <v>61.5</v>
      </c>
    </row>
    <row r="489" spans="1:14" x14ac:dyDescent="0.3">
      <c r="A489" t="s">
        <v>497</v>
      </c>
      <c r="B489" t="s">
        <v>1018</v>
      </c>
      <c r="C489" t="s">
        <v>1027</v>
      </c>
      <c r="D489">
        <v>34</v>
      </c>
      <c r="E489">
        <v>7</v>
      </c>
      <c r="F489" s="3">
        <v>85929</v>
      </c>
      <c r="G489">
        <v>47</v>
      </c>
      <c r="H489">
        <v>10</v>
      </c>
      <c r="I489">
        <v>0</v>
      </c>
      <c r="J489">
        <v>16</v>
      </c>
      <c r="K489">
        <v>2.5</v>
      </c>
      <c r="L489" s="3">
        <v>6.5</v>
      </c>
      <c r="M489" t="s">
        <v>1035</v>
      </c>
      <c r="N489">
        <v>63.17</v>
      </c>
    </row>
    <row r="490" spans="1:14" hidden="1" x14ac:dyDescent="0.3">
      <c r="A490" t="s">
        <v>498</v>
      </c>
      <c r="B490" t="s">
        <v>1014</v>
      </c>
      <c r="C490" t="s">
        <v>1025</v>
      </c>
      <c r="D490">
        <v>54</v>
      </c>
      <c r="E490">
        <v>9</v>
      </c>
      <c r="F490" s="3">
        <v>47280</v>
      </c>
      <c r="G490">
        <v>38</v>
      </c>
      <c r="H490">
        <v>13</v>
      </c>
      <c r="I490">
        <v>16</v>
      </c>
      <c r="J490">
        <v>16</v>
      </c>
      <c r="K490">
        <v>4.5999999999999996</v>
      </c>
      <c r="L490" s="3">
        <v>8.6999999999999993</v>
      </c>
      <c r="M490" t="s">
        <v>1034</v>
      </c>
      <c r="N490">
        <v>87.67</v>
      </c>
    </row>
    <row r="491" spans="1:14" x14ac:dyDescent="0.3">
      <c r="A491" t="s">
        <v>499</v>
      </c>
      <c r="B491" t="s">
        <v>1016</v>
      </c>
      <c r="C491" t="s">
        <v>1033</v>
      </c>
      <c r="D491">
        <v>50</v>
      </c>
      <c r="E491">
        <v>12</v>
      </c>
      <c r="F491" s="3">
        <v>61907</v>
      </c>
      <c r="G491">
        <v>50</v>
      </c>
      <c r="H491">
        <v>13</v>
      </c>
      <c r="I491">
        <v>7</v>
      </c>
      <c r="J491">
        <v>21</v>
      </c>
      <c r="K491">
        <v>4.9000000000000004</v>
      </c>
      <c r="L491" s="3">
        <v>6.2</v>
      </c>
      <c r="M491" t="s">
        <v>1035</v>
      </c>
      <c r="N491">
        <v>73.569999999999993</v>
      </c>
    </row>
    <row r="492" spans="1:14" hidden="1" x14ac:dyDescent="0.3">
      <c r="A492" t="s">
        <v>500</v>
      </c>
      <c r="B492" t="s">
        <v>1015</v>
      </c>
      <c r="C492" t="s">
        <v>1020</v>
      </c>
      <c r="D492">
        <v>23</v>
      </c>
      <c r="E492">
        <v>1</v>
      </c>
      <c r="F492" s="3">
        <v>32619</v>
      </c>
      <c r="G492">
        <v>43</v>
      </c>
      <c r="H492">
        <v>2</v>
      </c>
      <c r="I492">
        <v>12</v>
      </c>
      <c r="J492">
        <v>40</v>
      </c>
      <c r="K492">
        <v>4.4000000000000004</v>
      </c>
      <c r="L492" s="3">
        <v>4.5</v>
      </c>
      <c r="M492" t="s">
        <v>1036</v>
      </c>
      <c r="N492">
        <v>43.53</v>
      </c>
    </row>
    <row r="493" spans="1:14" x14ac:dyDescent="0.3">
      <c r="A493" t="s">
        <v>501</v>
      </c>
      <c r="B493" t="s">
        <v>1018</v>
      </c>
      <c r="C493" t="s">
        <v>1032</v>
      </c>
      <c r="D493">
        <v>42</v>
      </c>
      <c r="E493">
        <v>13</v>
      </c>
      <c r="F493" s="3">
        <v>87616</v>
      </c>
      <c r="G493">
        <v>46</v>
      </c>
      <c r="H493">
        <v>9</v>
      </c>
      <c r="I493">
        <v>17</v>
      </c>
      <c r="J493">
        <v>0</v>
      </c>
      <c r="K493">
        <v>4.0999999999999996</v>
      </c>
      <c r="L493" s="3">
        <v>4.8</v>
      </c>
      <c r="M493" t="s">
        <v>1036</v>
      </c>
      <c r="N493">
        <v>56.1</v>
      </c>
    </row>
    <row r="494" spans="1:14" x14ac:dyDescent="0.3">
      <c r="A494" t="s">
        <v>502</v>
      </c>
      <c r="B494" t="s">
        <v>1014</v>
      </c>
      <c r="C494" t="s">
        <v>1025</v>
      </c>
      <c r="D494">
        <v>47</v>
      </c>
      <c r="E494">
        <v>10</v>
      </c>
      <c r="F494" s="3">
        <v>29982</v>
      </c>
      <c r="G494">
        <v>52</v>
      </c>
      <c r="H494">
        <v>15</v>
      </c>
      <c r="I494">
        <v>5</v>
      </c>
      <c r="J494">
        <v>30</v>
      </c>
      <c r="K494">
        <v>2.9</v>
      </c>
      <c r="L494" s="3">
        <v>4.5</v>
      </c>
      <c r="M494" t="s">
        <v>1036</v>
      </c>
      <c r="N494">
        <v>60.7</v>
      </c>
    </row>
    <row r="495" spans="1:14" x14ac:dyDescent="0.3">
      <c r="A495" t="s">
        <v>503</v>
      </c>
      <c r="B495" t="s">
        <v>1016</v>
      </c>
      <c r="C495" t="s">
        <v>1033</v>
      </c>
      <c r="D495">
        <v>33</v>
      </c>
      <c r="E495">
        <v>11</v>
      </c>
      <c r="F495" s="3">
        <v>69768</v>
      </c>
      <c r="G495">
        <v>41</v>
      </c>
      <c r="H495">
        <v>8</v>
      </c>
      <c r="I495">
        <v>23</v>
      </c>
      <c r="J495">
        <v>12</v>
      </c>
      <c r="K495">
        <v>2.7</v>
      </c>
      <c r="L495" s="3">
        <v>4.7</v>
      </c>
      <c r="M495" t="s">
        <v>1036</v>
      </c>
      <c r="N495">
        <v>49.63</v>
      </c>
    </row>
    <row r="496" spans="1:14" x14ac:dyDescent="0.3">
      <c r="A496" t="s">
        <v>504</v>
      </c>
      <c r="B496" t="s">
        <v>1018</v>
      </c>
      <c r="C496" t="s">
        <v>1028</v>
      </c>
      <c r="D496">
        <v>36</v>
      </c>
      <c r="E496">
        <v>6</v>
      </c>
      <c r="F496" s="3">
        <v>79718</v>
      </c>
      <c r="G496">
        <v>42</v>
      </c>
      <c r="H496">
        <v>14</v>
      </c>
      <c r="I496">
        <v>19</v>
      </c>
      <c r="J496">
        <v>22</v>
      </c>
      <c r="K496">
        <v>2.5</v>
      </c>
      <c r="L496" s="3">
        <v>3.7</v>
      </c>
      <c r="M496" t="s">
        <v>1036</v>
      </c>
      <c r="N496">
        <v>53.03</v>
      </c>
    </row>
    <row r="497" spans="1:14" hidden="1" x14ac:dyDescent="0.3">
      <c r="A497" t="s">
        <v>505</v>
      </c>
      <c r="B497" t="s">
        <v>1017</v>
      </c>
      <c r="C497" t="s">
        <v>1024</v>
      </c>
      <c r="D497">
        <v>22</v>
      </c>
      <c r="E497">
        <v>0</v>
      </c>
      <c r="F497" s="3">
        <v>80575</v>
      </c>
      <c r="G497">
        <v>50</v>
      </c>
      <c r="H497">
        <v>6</v>
      </c>
      <c r="I497">
        <v>19</v>
      </c>
      <c r="J497">
        <v>20</v>
      </c>
      <c r="K497">
        <v>3.5</v>
      </c>
      <c r="L497" s="3">
        <v>9.9</v>
      </c>
      <c r="M497" t="s">
        <v>1034</v>
      </c>
      <c r="N497">
        <v>79.900000000000006</v>
      </c>
    </row>
    <row r="498" spans="1:14" hidden="1" x14ac:dyDescent="0.3">
      <c r="A498" t="s">
        <v>506</v>
      </c>
      <c r="B498" t="s">
        <v>1016</v>
      </c>
      <c r="C498" t="s">
        <v>1022</v>
      </c>
      <c r="D498">
        <v>53</v>
      </c>
      <c r="E498">
        <v>5</v>
      </c>
      <c r="F498" s="3">
        <v>89513</v>
      </c>
      <c r="G498">
        <v>51</v>
      </c>
      <c r="H498">
        <v>5</v>
      </c>
      <c r="I498">
        <v>12</v>
      </c>
      <c r="J498">
        <v>14</v>
      </c>
      <c r="K498">
        <v>4.3</v>
      </c>
      <c r="L498" s="3">
        <v>3.9</v>
      </c>
      <c r="M498" t="s">
        <v>1036</v>
      </c>
      <c r="N498">
        <v>44.63</v>
      </c>
    </row>
    <row r="499" spans="1:14" hidden="1" x14ac:dyDescent="0.3">
      <c r="A499" t="s">
        <v>507</v>
      </c>
      <c r="B499" t="s">
        <v>1017</v>
      </c>
      <c r="C499" t="s">
        <v>1024</v>
      </c>
      <c r="D499">
        <v>52</v>
      </c>
      <c r="E499">
        <v>1</v>
      </c>
      <c r="F499" s="3">
        <v>57930</v>
      </c>
      <c r="G499">
        <v>46</v>
      </c>
      <c r="H499">
        <v>7</v>
      </c>
      <c r="I499">
        <v>21</v>
      </c>
      <c r="J499">
        <v>11</v>
      </c>
      <c r="K499">
        <v>3.4</v>
      </c>
      <c r="L499" s="3">
        <v>3.8</v>
      </c>
      <c r="M499" t="s">
        <v>1036</v>
      </c>
      <c r="N499">
        <v>44.67</v>
      </c>
    </row>
    <row r="500" spans="1:14" hidden="1" x14ac:dyDescent="0.3">
      <c r="A500" t="s">
        <v>508</v>
      </c>
      <c r="B500" t="s">
        <v>1017</v>
      </c>
      <c r="C500" t="s">
        <v>1026</v>
      </c>
      <c r="D500">
        <v>42</v>
      </c>
      <c r="E500">
        <v>0</v>
      </c>
      <c r="F500" s="3">
        <v>25774</v>
      </c>
      <c r="G500">
        <v>41</v>
      </c>
      <c r="H500">
        <v>7</v>
      </c>
      <c r="I500">
        <v>18</v>
      </c>
      <c r="J500">
        <v>6</v>
      </c>
      <c r="K500">
        <v>3</v>
      </c>
      <c r="L500" s="3">
        <v>7.3</v>
      </c>
      <c r="M500" t="s">
        <v>1035</v>
      </c>
      <c r="N500">
        <v>64.47</v>
      </c>
    </row>
    <row r="501" spans="1:14" x14ac:dyDescent="0.3">
      <c r="A501" t="s">
        <v>509</v>
      </c>
      <c r="B501" t="s">
        <v>1018</v>
      </c>
      <c r="C501" t="s">
        <v>1032</v>
      </c>
      <c r="D501">
        <v>38</v>
      </c>
      <c r="E501">
        <v>7</v>
      </c>
      <c r="F501" s="3">
        <v>42655</v>
      </c>
      <c r="G501">
        <v>50</v>
      </c>
      <c r="H501">
        <v>10</v>
      </c>
      <c r="I501">
        <v>10</v>
      </c>
      <c r="J501">
        <v>23</v>
      </c>
      <c r="K501">
        <v>2.6</v>
      </c>
      <c r="L501" s="3">
        <v>6</v>
      </c>
      <c r="M501" t="s">
        <v>1035</v>
      </c>
      <c r="N501">
        <v>60.47</v>
      </c>
    </row>
    <row r="502" spans="1:14" x14ac:dyDescent="0.3">
      <c r="A502" t="s">
        <v>510</v>
      </c>
      <c r="B502" t="s">
        <v>1016</v>
      </c>
      <c r="C502" t="s">
        <v>1023</v>
      </c>
      <c r="D502">
        <v>45</v>
      </c>
      <c r="E502">
        <v>12</v>
      </c>
      <c r="F502" s="3">
        <v>43325</v>
      </c>
      <c r="G502">
        <v>49</v>
      </c>
      <c r="H502">
        <v>3</v>
      </c>
      <c r="I502">
        <v>18</v>
      </c>
      <c r="J502">
        <v>8</v>
      </c>
      <c r="K502">
        <v>4.9000000000000004</v>
      </c>
      <c r="L502" s="3">
        <v>7.8</v>
      </c>
      <c r="M502" t="s">
        <v>1035</v>
      </c>
      <c r="N502">
        <v>66.5</v>
      </c>
    </row>
    <row r="503" spans="1:14" x14ac:dyDescent="0.3">
      <c r="A503" t="s">
        <v>511</v>
      </c>
      <c r="B503" t="s">
        <v>1016</v>
      </c>
      <c r="C503" t="s">
        <v>1033</v>
      </c>
      <c r="D503">
        <v>37</v>
      </c>
      <c r="E503">
        <v>13</v>
      </c>
      <c r="F503" s="3">
        <v>81119</v>
      </c>
      <c r="G503">
        <v>47</v>
      </c>
      <c r="H503">
        <v>4</v>
      </c>
      <c r="I503">
        <v>4</v>
      </c>
      <c r="J503">
        <v>9</v>
      </c>
      <c r="K503">
        <v>3.4</v>
      </c>
      <c r="L503" s="3">
        <v>3.1</v>
      </c>
      <c r="M503" t="s">
        <v>1036</v>
      </c>
      <c r="N503">
        <v>35.47</v>
      </c>
    </row>
    <row r="504" spans="1:14" x14ac:dyDescent="0.3">
      <c r="A504" t="s">
        <v>512</v>
      </c>
      <c r="B504" t="s">
        <v>1017</v>
      </c>
      <c r="C504" t="s">
        <v>1030</v>
      </c>
      <c r="D504">
        <v>30</v>
      </c>
      <c r="E504">
        <v>8</v>
      </c>
      <c r="F504" s="3">
        <v>59995</v>
      </c>
      <c r="G504">
        <v>45</v>
      </c>
      <c r="H504">
        <v>13</v>
      </c>
      <c r="I504">
        <v>15</v>
      </c>
      <c r="J504">
        <v>19</v>
      </c>
      <c r="K504">
        <v>2.8</v>
      </c>
      <c r="L504" s="3">
        <v>9</v>
      </c>
      <c r="M504" t="s">
        <v>1034</v>
      </c>
      <c r="N504">
        <v>84.07</v>
      </c>
    </row>
    <row r="505" spans="1:14" hidden="1" x14ac:dyDescent="0.3">
      <c r="A505" t="s">
        <v>513</v>
      </c>
      <c r="B505" t="s">
        <v>1017</v>
      </c>
      <c r="C505" t="s">
        <v>1024</v>
      </c>
      <c r="D505">
        <v>28</v>
      </c>
      <c r="E505">
        <v>2</v>
      </c>
      <c r="F505" s="3">
        <v>28934</v>
      </c>
      <c r="G505">
        <v>41</v>
      </c>
      <c r="H505">
        <v>14</v>
      </c>
      <c r="I505">
        <v>8</v>
      </c>
      <c r="J505">
        <v>30</v>
      </c>
      <c r="K505">
        <v>4.5</v>
      </c>
      <c r="L505" s="3">
        <v>3.7</v>
      </c>
      <c r="M505" t="s">
        <v>1036</v>
      </c>
      <c r="N505">
        <v>59.03</v>
      </c>
    </row>
    <row r="506" spans="1:14" x14ac:dyDescent="0.3">
      <c r="A506" t="s">
        <v>514</v>
      </c>
      <c r="B506" t="s">
        <v>1016</v>
      </c>
      <c r="C506" t="s">
        <v>1033</v>
      </c>
      <c r="D506">
        <v>38</v>
      </c>
      <c r="E506">
        <v>11</v>
      </c>
      <c r="F506" s="3">
        <v>48613</v>
      </c>
      <c r="G506">
        <v>52</v>
      </c>
      <c r="H506">
        <v>9</v>
      </c>
      <c r="I506">
        <v>25</v>
      </c>
      <c r="J506">
        <v>16</v>
      </c>
      <c r="K506">
        <v>3</v>
      </c>
      <c r="L506" s="3">
        <v>5.9</v>
      </c>
      <c r="M506" t="s">
        <v>1036</v>
      </c>
      <c r="N506">
        <v>59.4</v>
      </c>
    </row>
    <row r="507" spans="1:14" x14ac:dyDescent="0.3">
      <c r="A507" t="s">
        <v>515</v>
      </c>
      <c r="B507" t="s">
        <v>1015</v>
      </c>
      <c r="C507" t="s">
        <v>1021</v>
      </c>
      <c r="D507">
        <v>34</v>
      </c>
      <c r="E507">
        <v>9</v>
      </c>
      <c r="F507" s="3">
        <v>62741</v>
      </c>
      <c r="G507">
        <v>55</v>
      </c>
      <c r="H507">
        <v>11</v>
      </c>
      <c r="I507">
        <v>17</v>
      </c>
      <c r="J507">
        <v>11</v>
      </c>
      <c r="K507">
        <v>4.9000000000000004</v>
      </c>
      <c r="L507" s="3">
        <v>5</v>
      </c>
      <c r="M507" t="s">
        <v>1036</v>
      </c>
      <c r="N507">
        <v>63.03</v>
      </c>
    </row>
    <row r="508" spans="1:14" hidden="1" x14ac:dyDescent="0.3">
      <c r="A508" t="s">
        <v>516</v>
      </c>
      <c r="B508" t="s">
        <v>1015</v>
      </c>
      <c r="C508" t="s">
        <v>1029</v>
      </c>
      <c r="D508">
        <v>53</v>
      </c>
      <c r="E508">
        <v>14</v>
      </c>
      <c r="F508" s="3">
        <v>83302</v>
      </c>
      <c r="G508">
        <v>37</v>
      </c>
      <c r="H508">
        <v>7</v>
      </c>
      <c r="I508">
        <v>19</v>
      </c>
      <c r="J508">
        <v>18</v>
      </c>
      <c r="K508">
        <v>3.4</v>
      </c>
      <c r="L508" s="3">
        <v>9.6999999999999993</v>
      </c>
      <c r="M508" t="s">
        <v>1034</v>
      </c>
      <c r="N508">
        <v>80.069999999999993</v>
      </c>
    </row>
    <row r="509" spans="1:14" hidden="1" x14ac:dyDescent="0.3">
      <c r="A509" t="s">
        <v>517</v>
      </c>
      <c r="B509" t="s">
        <v>1016</v>
      </c>
      <c r="C509" t="s">
        <v>1033</v>
      </c>
      <c r="D509">
        <v>48</v>
      </c>
      <c r="E509">
        <v>12</v>
      </c>
      <c r="F509" s="3">
        <v>80633</v>
      </c>
      <c r="G509">
        <v>37</v>
      </c>
      <c r="H509">
        <v>2</v>
      </c>
      <c r="I509">
        <v>5</v>
      </c>
      <c r="J509">
        <v>21</v>
      </c>
      <c r="K509">
        <v>2.7</v>
      </c>
      <c r="L509" s="3">
        <v>5.2</v>
      </c>
      <c r="M509" t="s">
        <v>1036</v>
      </c>
      <c r="N509">
        <v>42.63</v>
      </c>
    </row>
    <row r="510" spans="1:14" x14ac:dyDescent="0.3">
      <c r="A510" t="s">
        <v>518</v>
      </c>
      <c r="B510" t="s">
        <v>1016</v>
      </c>
      <c r="C510" t="s">
        <v>1023</v>
      </c>
      <c r="D510">
        <v>47</v>
      </c>
      <c r="E510">
        <v>8</v>
      </c>
      <c r="F510" s="3">
        <v>83175</v>
      </c>
      <c r="G510">
        <v>49</v>
      </c>
      <c r="H510">
        <v>13</v>
      </c>
      <c r="I510">
        <v>11</v>
      </c>
      <c r="J510">
        <v>37</v>
      </c>
      <c r="K510">
        <v>3.6</v>
      </c>
      <c r="L510" s="3">
        <v>6.2</v>
      </c>
      <c r="M510" t="s">
        <v>1035</v>
      </c>
      <c r="N510">
        <v>69.67</v>
      </c>
    </row>
    <row r="511" spans="1:14" hidden="1" x14ac:dyDescent="0.3">
      <c r="A511" t="s">
        <v>519</v>
      </c>
      <c r="B511" t="s">
        <v>1018</v>
      </c>
      <c r="C511" t="s">
        <v>1028</v>
      </c>
      <c r="D511">
        <v>23</v>
      </c>
      <c r="E511">
        <v>0</v>
      </c>
      <c r="F511" s="3">
        <v>72695</v>
      </c>
      <c r="G511">
        <v>42</v>
      </c>
      <c r="H511">
        <v>11</v>
      </c>
      <c r="I511">
        <v>8</v>
      </c>
      <c r="J511">
        <v>5</v>
      </c>
      <c r="K511">
        <v>2.6</v>
      </c>
      <c r="L511" s="3">
        <v>5.8</v>
      </c>
      <c r="M511" t="s">
        <v>1036</v>
      </c>
      <c r="N511">
        <v>60.93</v>
      </c>
    </row>
    <row r="512" spans="1:14" hidden="1" x14ac:dyDescent="0.3">
      <c r="A512" t="s">
        <v>520</v>
      </c>
      <c r="B512" t="s">
        <v>1014</v>
      </c>
      <c r="C512" t="s">
        <v>1019</v>
      </c>
      <c r="D512">
        <v>52</v>
      </c>
      <c r="E512">
        <v>1</v>
      </c>
      <c r="F512" s="3">
        <v>26727</v>
      </c>
      <c r="G512">
        <v>47</v>
      </c>
      <c r="H512">
        <v>9</v>
      </c>
      <c r="I512">
        <v>24</v>
      </c>
      <c r="J512">
        <v>5</v>
      </c>
      <c r="K512">
        <v>2.2999999999999998</v>
      </c>
      <c r="L512" s="3">
        <v>7.3</v>
      </c>
      <c r="M512" t="s">
        <v>1035</v>
      </c>
      <c r="N512">
        <v>65.7</v>
      </c>
    </row>
    <row r="513" spans="1:14" x14ac:dyDescent="0.3">
      <c r="A513" t="s">
        <v>521</v>
      </c>
      <c r="B513" t="s">
        <v>1017</v>
      </c>
      <c r="C513" t="s">
        <v>1030</v>
      </c>
      <c r="D513">
        <v>41</v>
      </c>
      <c r="E513">
        <v>7</v>
      </c>
      <c r="F513" s="3">
        <v>41213</v>
      </c>
      <c r="G513">
        <v>44</v>
      </c>
      <c r="H513">
        <v>8</v>
      </c>
      <c r="I513">
        <v>20</v>
      </c>
      <c r="J513">
        <v>8</v>
      </c>
      <c r="K513">
        <v>2.4</v>
      </c>
      <c r="L513" s="3">
        <v>8.9</v>
      </c>
      <c r="M513" t="s">
        <v>1034</v>
      </c>
      <c r="N513">
        <v>73.930000000000007</v>
      </c>
    </row>
    <row r="514" spans="1:14" x14ac:dyDescent="0.3">
      <c r="A514" t="s">
        <v>522</v>
      </c>
      <c r="B514" t="s">
        <v>1014</v>
      </c>
      <c r="C514" t="s">
        <v>1025</v>
      </c>
      <c r="D514">
        <v>44</v>
      </c>
      <c r="E514">
        <v>10</v>
      </c>
      <c r="F514" s="3">
        <v>81638</v>
      </c>
      <c r="G514">
        <v>50</v>
      </c>
      <c r="H514">
        <v>8</v>
      </c>
      <c r="I514">
        <v>17</v>
      </c>
      <c r="J514">
        <v>17</v>
      </c>
      <c r="K514">
        <v>3.6</v>
      </c>
      <c r="L514" s="3">
        <v>3.9</v>
      </c>
      <c r="M514" t="s">
        <v>1036</v>
      </c>
      <c r="N514">
        <v>47.53</v>
      </c>
    </row>
    <row r="515" spans="1:14" x14ac:dyDescent="0.3">
      <c r="A515" t="s">
        <v>523</v>
      </c>
      <c r="B515" t="s">
        <v>1015</v>
      </c>
      <c r="C515" t="s">
        <v>1020</v>
      </c>
      <c r="D515">
        <v>33</v>
      </c>
      <c r="E515">
        <v>9</v>
      </c>
      <c r="F515" s="3">
        <v>64163</v>
      </c>
      <c r="G515">
        <v>49</v>
      </c>
      <c r="H515">
        <v>11</v>
      </c>
      <c r="I515">
        <v>23</v>
      </c>
      <c r="J515">
        <v>40</v>
      </c>
      <c r="K515">
        <v>4.5999999999999996</v>
      </c>
      <c r="L515" s="3">
        <v>6</v>
      </c>
      <c r="M515" t="s">
        <v>1035</v>
      </c>
      <c r="N515">
        <v>68.13</v>
      </c>
    </row>
    <row r="516" spans="1:14" x14ac:dyDescent="0.3">
      <c r="A516" t="s">
        <v>524</v>
      </c>
      <c r="B516" t="s">
        <v>1015</v>
      </c>
      <c r="C516" t="s">
        <v>1021</v>
      </c>
      <c r="D516">
        <v>41</v>
      </c>
      <c r="E516">
        <v>11</v>
      </c>
      <c r="F516" s="3">
        <v>56565</v>
      </c>
      <c r="G516">
        <v>52</v>
      </c>
      <c r="H516">
        <v>4</v>
      </c>
      <c r="I516">
        <v>25</v>
      </c>
      <c r="J516">
        <v>5</v>
      </c>
      <c r="K516">
        <v>3.3</v>
      </c>
      <c r="L516" s="3">
        <v>5.6</v>
      </c>
      <c r="M516" t="s">
        <v>1036</v>
      </c>
      <c r="N516">
        <v>50.17</v>
      </c>
    </row>
    <row r="517" spans="1:14" hidden="1" x14ac:dyDescent="0.3">
      <c r="A517" t="s">
        <v>525</v>
      </c>
      <c r="B517" t="s">
        <v>1018</v>
      </c>
      <c r="C517" t="s">
        <v>1028</v>
      </c>
      <c r="D517">
        <v>41</v>
      </c>
      <c r="E517">
        <v>0</v>
      </c>
      <c r="F517" s="3">
        <v>25006</v>
      </c>
      <c r="G517">
        <v>51</v>
      </c>
      <c r="H517">
        <v>14</v>
      </c>
      <c r="I517">
        <v>24</v>
      </c>
      <c r="J517">
        <v>8</v>
      </c>
      <c r="K517">
        <v>3</v>
      </c>
      <c r="L517" s="3">
        <v>6.3</v>
      </c>
      <c r="M517" t="s">
        <v>1035</v>
      </c>
      <c r="N517">
        <v>70.13</v>
      </c>
    </row>
    <row r="518" spans="1:14" x14ac:dyDescent="0.3">
      <c r="A518" t="s">
        <v>526</v>
      </c>
      <c r="B518" t="s">
        <v>1017</v>
      </c>
      <c r="C518" t="s">
        <v>1026</v>
      </c>
      <c r="D518">
        <v>52</v>
      </c>
      <c r="E518">
        <v>9</v>
      </c>
      <c r="F518" s="3">
        <v>25598</v>
      </c>
      <c r="G518">
        <v>48</v>
      </c>
      <c r="H518">
        <v>13</v>
      </c>
      <c r="I518">
        <v>9</v>
      </c>
      <c r="J518">
        <v>38</v>
      </c>
      <c r="K518">
        <v>2.7</v>
      </c>
      <c r="L518" s="3">
        <v>3.1</v>
      </c>
      <c r="M518" t="s">
        <v>1036</v>
      </c>
      <c r="N518">
        <v>48.37</v>
      </c>
    </row>
    <row r="519" spans="1:14" x14ac:dyDescent="0.3">
      <c r="A519" t="s">
        <v>527</v>
      </c>
      <c r="B519" t="s">
        <v>1018</v>
      </c>
      <c r="C519" t="s">
        <v>1028</v>
      </c>
      <c r="D519">
        <v>48</v>
      </c>
      <c r="E519">
        <v>13</v>
      </c>
      <c r="F519" s="3">
        <v>50870</v>
      </c>
      <c r="G519">
        <v>42</v>
      </c>
      <c r="H519">
        <v>3</v>
      </c>
      <c r="I519">
        <v>22</v>
      </c>
      <c r="J519">
        <v>24</v>
      </c>
      <c r="K519">
        <v>4.5</v>
      </c>
      <c r="L519" s="3">
        <v>4.5</v>
      </c>
      <c r="M519" t="s">
        <v>1036</v>
      </c>
      <c r="N519">
        <v>45.5</v>
      </c>
    </row>
    <row r="520" spans="1:14" x14ac:dyDescent="0.3">
      <c r="A520" t="s">
        <v>528</v>
      </c>
      <c r="B520" t="s">
        <v>1017</v>
      </c>
      <c r="C520" t="s">
        <v>1030</v>
      </c>
      <c r="D520">
        <v>37</v>
      </c>
      <c r="E520">
        <v>8</v>
      </c>
      <c r="F520" s="3">
        <v>43656</v>
      </c>
      <c r="G520">
        <v>55</v>
      </c>
      <c r="H520">
        <v>12</v>
      </c>
      <c r="I520">
        <v>17</v>
      </c>
      <c r="J520">
        <v>17</v>
      </c>
      <c r="K520">
        <v>3.2</v>
      </c>
      <c r="L520" s="3">
        <v>9</v>
      </c>
      <c r="M520" t="s">
        <v>1034</v>
      </c>
      <c r="N520">
        <v>83.6</v>
      </c>
    </row>
    <row r="521" spans="1:14" hidden="1" x14ac:dyDescent="0.3">
      <c r="A521" t="s">
        <v>529</v>
      </c>
      <c r="B521" t="s">
        <v>1018</v>
      </c>
      <c r="C521" t="s">
        <v>1032</v>
      </c>
      <c r="D521">
        <v>40</v>
      </c>
      <c r="E521">
        <v>3</v>
      </c>
      <c r="F521" s="3">
        <v>66739</v>
      </c>
      <c r="G521">
        <v>49</v>
      </c>
      <c r="H521">
        <v>10</v>
      </c>
      <c r="I521">
        <v>14</v>
      </c>
      <c r="J521">
        <v>17</v>
      </c>
      <c r="K521">
        <v>4.0999999999999996</v>
      </c>
      <c r="L521" s="3">
        <v>6.4</v>
      </c>
      <c r="M521" t="s">
        <v>1035</v>
      </c>
      <c r="N521">
        <v>67.37</v>
      </c>
    </row>
    <row r="522" spans="1:14" hidden="1" x14ac:dyDescent="0.3">
      <c r="A522" t="s">
        <v>530</v>
      </c>
      <c r="B522" t="s">
        <v>1014</v>
      </c>
      <c r="C522" t="s">
        <v>1031</v>
      </c>
      <c r="D522">
        <v>31</v>
      </c>
      <c r="E522">
        <v>0</v>
      </c>
      <c r="F522" s="3">
        <v>88551</v>
      </c>
      <c r="G522">
        <v>52</v>
      </c>
      <c r="H522">
        <v>1</v>
      </c>
      <c r="I522">
        <v>5</v>
      </c>
      <c r="J522">
        <v>6</v>
      </c>
      <c r="K522">
        <v>2.8</v>
      </c>
      <c r="L522" s="3">
        <v>3.9</v>
      </c>
      <c r="M522" t="s">
        <v>1036</v>
      </c>
      <c r="N522">
        <v>33.47</v>
      </c>
    </row>
    <row r="523" spans="1:14" hidden="1" x14ac:dyDescent="0.3">
      <c r="A523" t="s">
        <v>531</v>
      </c>
      <c r="B523" t="s">
        <v>1014</v>
      </c>
      <c r="C523" t="s">
        <v>1031</v>
      </c>
      <c r="D523">
        <v>36</v>
      </c>
      <c r="E523">
        <v>2</v>
      </c>
      <c r="F523" s="3">
        <v>34875</v>
      </c>
      <c r="G523">
        <v>35</v>
      </c>
      <c r="H523">
        <v>8</v>
      </c>
      <c r="I523">
        <v>6</v>
      </c>
      <c r="J523">
        <v>21</v>
      </c>
      <c r="K523">
        <v>3.3</v>
      </c>
      <c r="L523" s="3">
        <v>8.5</v>
      </c>
      <c r="M523" t="s">
        <v>1034</v>
      </c>
      <c r="N523">
        <v>74.23</v>
      </c>
    </row>
    <row r="524" spans="1:14" hidden="1" x14ac:dyDescent="0.3">
      <c r="A524" t="s">
        <v>532</v>
      </c>
      <c r="B524" t="s">
        <v>1016</v>
      </c>
      <c r="C524" t="s">
        <v>1023</v>
      </c>
      <c r="D524">
        <v>51</v>
      </c>
      <c r="E524">
        <v>1</v>
      </c>
      <c r="F524" s="3">
        <v>46643</v>
      </c>
      <c r="G524">
        <v>37</v>
      </c>
      <c r="H524">
        <v>14</v>
      </c>
      <c r="I524">
        <v>24</v>
      </c>
      <c r="J524">
        <v>9</v>
      </c>
      <c r="K524">
        <v>2.2000000000000002</v>
      </c>
      <c r="L524" s="3">
        <v>8.4</v>
      </c>
      <c r="M524" t="s">
        <v>1034</v>
      </c>
      <c r="N524">
        <v>80.33</v>
      </c>
    </row>
    <row r="525" spans="1:14" hidden="1" x14ac:dyDescent="0.3">
      <c r="A525" t="s">
        <v>533</v>
      </c>
      <c r="B525" t="s">
        <v>1015</v>
      </c>
      <c r="C525" t="s">
        <v>1029</v>
      </c>
      <c r="D525">
        <v>52</v>
      </c>
      <c r="E525">
        <v>5</v>
      </c>
      <c r="F525" s="3">
        <v>37595</v>
      </c>
      <c r="G525">
        <v>43</v>
      </c>
      <c r="H525">
        <v>14</v>
      </c>
      <c r="I525">
        <v>12</v>
      </c>
      <c r="J525">
        <v>0</v>
      </c>
      <c r="K525">
        <v>2.4</v>
      </c>
      <c r="L525" s="3">
        <v>8.4</v>
      </c>
      <c r="M525" t="s">
        <v>1034</v>
      </c>
      <c r="N525">
        <v>80.930000000000007</v>
      </c>
    </row>
    <row r="526" spans="1:14" hidden="1" x14ac:dyDescent="0.3">
      <c r="A526" t="s">
        <v>534</v>
      </c>
      <c r="B526" t="s">
        <v>1017</v>
      </c>
      <c r="C526" t="s">
        <v>1026</v>
      </c>
      <c r="D526">
        <v>50</v>
      </c>
      <c r="E526">
        <v>7</v>
      </c>
      <c r="F526" s="3">
        <v>73340</v>
      </c>
      <c r="G526">
        <v>36</v>
      </c>
      <c r="H526">
        <v>4</v>
      </c>
      <c r="I526">
        <v>14</v>
      </c>
      <c r="J526">
        <v>6</v>
      </c>
      <c r="K526">
        <v>3.6</v>
      </c>
      <c r="L526" s="3">
        <v>9.9</v>
      </c>
      <c r="M526" t="s">
        <v>1034</v>
      </c>
      <c r="N526">
        <v>76.87</v>
      </c>
    </row>
    <row r="527" spans="1:14" x14ac:dyDescent="0.3">
      <c r="A527" t="s">
        <v>535</v>
      </c>
      <c r="B527" t="s">
        <v>1017</v>
      </c>
      <c r="C527" t="s">
        <v>1024</v>
      </c>
      <c r="D527">
        <v>41</v>
      </c>
      <c r="E527">
        <v>10</v>
      </c>
      <c r="F527" s="3">
        <v>35394</v>
      </c>
      <c r="G527">
        <v>55</v>
      </c>
      <c r="H527">
        <v>12</v>
      </c>
      <c r="I527">
        <v>1</v>
      </c>
      <c r="J527">
        <v>35</v>
      </c>
      <c r="K527">
        <v>3.6</v>
      </c>
      <c r="L527" s="3">
        <v>4.8</v>
      </c>
      <c r="M527" t="s">
        <v>1036</v>
      </c>
      <c r="N527">
        <v>59.6</v>
      </c>
    </row>
    <row r="528" spans="1:14" hidden="1" x14ac:dyDescent="0.3">
      <c r="A528" t="s">
        <v>536</v>
      </c>
      <c r="B528" t="s">
        <v>1016</v>
      </c>
      <c r="C528" t="s">
        <v>1033</v>
      </c>
      <c r="D528">
        <v>34</v>
      </c>
      <c r="E528">
        <v>5</v>
      </c>
      <c r="F528" s="3">
        <v>83164</v>
      </c>
      <c r="G528">
        <v>36</v>
      </c>
      <c r="H528">
        <v>14</v>
      </c>
      <c r="I528">
        <v>21</v>
      </c>
      <c r="J528">
        <v>13</v>
      </c>
      <c r="K528">
        <v>4.9000000000000004</v>
      </c>
      <c r="L528" s="3">
        <v>4.7</v>
      </c>
      <c r="M528" t="s">
        <v>1036</v>
      </c>
      <c r="N528">
        <v>66.23</v>
      </c>
    </row>
    <row r="529" spans="1:14" hidden="1" x14ac:dyDescent="0.3">
      <c r="A529" t="s">
        <v>537</v>
      </c>
      <c r="B529" t="s">
        <v>1016</v>
      </c>
      <c r="C529" t="s">
        <v>1023</v>
      </c>
      <c r="D529">
        <v>22</v>
      </c>
      <c r="E529">
        <v>0</v>
      </c>
      <c r="F529" s="3">
        <v>77061</v>
      </c>
      <c r="G529">
        <v>43</v>
      </c>
      <c r="H529">
        <v>10</v>
      </c>
      <c r="I529">
        <v>3</v>
      </c>
      <c r="J529">
        <v>25</v>
      </c>
      <c r="K529">
        <v>4.4000000000000004</v>
      </c>
      <c r="L529" s="3">
        <v>3.1</v>
      </c>
      <c r="M529" t="s">
        <v>1036</v>
      </c>
      <c r="N529">
        <v>48.47</v>
      </c>
    </row>
    <row r="530" spans="1:14" hidden="1" x14ac:dyDescent="0.3">
      <c r="A530" t="s">
        <v>538</v>
      </c>
      <c r="B530" t="s">
        <v>1015</v>
      </c>
      <c r="C530" t="s">
        <v>1020</v>
      </c>
      <c r="D530">
        <v>52</v>
      </c>
      <c r="E530">
        <v>4</v>
      </c>
      <c r="F530" s="3">
        <v>49339</v>
      </c>
      <c r="G530">
        <v>37</v>
      </c>
      <c r="H530">
        <v>4</v>
      </c>
      <c r="I530">
        <v>5</v>
      </c>
      <c r="J530">
        <v>31</v>
      </c>
      <c r="K530">
        <v>2.2999999999999998</v>
      </c>
      <c r="L530" s="3">
        <v>7.3</v>
      </c>
      <c r="M530" t="s">
        <v>1035</v>
      </c>
      <c r="N530">
        <v>57.37</v>
      </c>
    </row>
    <row r="531" spans="1:14" hidden="1" x14ac:dyDescent="0.3">
      <c r="A531" t="s">
        <v>539</v>
      </c>
      <c r="B531" t="s">
        <v>1014</v>
      </c>
      <c r="C531" t="s">
        <v>1025</v>
      </c>
      <c r="D531">
        <v>25</v>
      </c>
      <c r="E531">
        <v>2</v>
      </c>
      <c r="F531" s="3">
        <v>67242</v>
      </c>
      <c r="G531">
        <v>39</v>
      </c>
      <c r="H531">
        <v>12</v>
      </c>
      <c r="I531">
        <v>17</v>
      </c>
      <c r="J531">
        <v>6</v>
      </c>
      <c r="K531">
        <v>2.4</v>
      </c>
      <c r="L531" s="3">
        <v>4.5999999999999996</v>
      </c>
      <c r="M531" t="s">
        <v>1036</v>
      </c>
      <c r="N531">
        <v>54.8</v>
      </c>
    </row>
    <row r="532" spans="1:14" x14ac:dyDescent="0.3">
      <c r="A532" t="s">
        <v>540</v>
      </c>
      <c r="B532" t="s">
        <v>1016</v>
      </c>
      <c r="C532" t="s">
        <v>1022</v>
      </c>
      <c r="D532">
        <v>50</v>
      </c>
      <c r="E532">
        <v>6</v>
      </c>
      <c r="F532" s="3">
        <v>26399</v>
      </c>
      <c r="G532">
        <v>47</v>
      </c>
      <c r="H532">
        <v>6</v>
      </c>
      <c r="I532">
        <v>23</v>
      </c>
      <c r="J532">
        <v>8</v>
      </c>
      <c r="K532">
        <v>2.8</v>
      </c>
      <c r="L532" s="3">
        <v>3.3</v>
      </c>
      <c r="M532" t="s">
        <v>1036</v>
      </c>
      <c r="N532">
        <v>38.200000000000003</v>
      </c>
    </row>
    <row r="533" spans="1:14" x14ac:dyDescent="0.3">
      <c r="A533" t="s">
        <v>541</v>
      </c>
      <c r="B533" t="s">
        <v>1017</v>
      </c>
      <c r="C533" t="s">
        <v>1024</v>
      </c>
      <c r="D533">
        <v>40</v>
      </c>
      <c r="E533">
        <v>15</v>
      </c>
      <c r="F533" s="3">
        <v>37437</v>
      </c>
      <c r="G533">
        <v>53</v>
      </c>
      <c r="H533">
        <v>3</v>
      </c>
      <c r="I533">
        <v>17</v>
      </c>
      <c r="J533">
        <v>22</v>
      </c>
      <c r="K533">
        <v>3</v>
      </c>
      <c r="L533" s="3">
        <v>6.3</v>
      </c>
      <c r="M533" t="s">
        <v>1035</v>
      </c>
      <c r="N533">
        <v>51.8</v>
      </c>
    </row>
    <row r="534" spans="1:14" hidden="1" x14ac:dyDescent="0.3">
      <c r="A534" t="s">
        <v>542</v>
      </c>
      <c r="B534" t="s">
        <v>1015</v>
      </c>
      <c r="C534" t="s">
        <v>1020</v>
      </c>
      <c r="D534">
        <v>32</v>
      </c>
      <c r="E534">
        <v>1</v>
      </c>
      <c r="F534" s="3">
        <v>59808</v>
      </c>
      <c r="G534">
        <v>39</v>
      </c>
      <c r="H534">
        <v>8</v>
      </c>
      <c r="I534">
        <v>9</v>
      </c>
      <c r="J534">
        <v>16</v>
      </c>
      <c r="K534">
        <v>3.6</v>
      </c>
      <c r="L534" s="3">
        <v>6.2</v>
      </c>
      <c r="M534" t="s">
        <v>1035</v>
      </c>
      <c r="N534">
        <v>61.33</v>
      </c>
    </row>
    <row r="535" spans="1:14" hidden="1" x14ac:dyDescent="0.3">
      <c r="A535" t="s">
        <v>543</v>
      </c>
      <c r="B535" t="s">
        <v>1015</v>
      </c>
      <c r="C535" t="s">
        <v>1020</v>
      </c>
      <c r="D535">
        <v>46</v>
      </c>
      <c r="E535">
        <v>5</v>
      </c>
      <c r="F535" s="3">
        <v>82863</v>
      </c>
      <c r="G535">
        <v>35</v>
      </c>
      <c r="H535">
        <v>10</v>
      </c>
      <c r="I535">
        <v>11</v>
      </c>
      <c r="J535">
        <v>39</v>
      </c>
      <c r="K535">
        <v>2.7</v>
      </c>
      <c r="L535" s="3">
        <v>8</v>
      </c>
      <c r="M535" t="s">
        <v>1034</v>
      </c>
      <c r="N535">
        <v>72.77</v>
      </c>
    </row>
    <row r="536" spans="1:14" x14ac:dyDescent="0.3">
      <c r="A536" t="s">
        <v>544</v>
      </c>
      <c r="B536" t="s">
        <v>1015</v>
      </c>
      <c r="C536" t="s">
        <v>1020</v>
      </c>
      <c r="D536">
        <v>46</v>
      </c>
      <c r="E536">
        <v>6</v>
      </c>
      <c r="F536" s="3">
        <v>59345</v>
      </c>
      <c r="G536">
        <v>50</v>
      </c>
      <c r="H536">
        <v>13</v>
      </c>
      <c r="I536">
        <v>17</v>
      </c>
      <c r="J536">
        <v>9</v>
      </c>
      <c r="K536">
        <v>3.8</v>
      </c>
      <c r="L536" s="3">
        <v>5.3</v>
      </c>
      <c r="M536" t="s">
        <v>1036</v>
      </c>
      <c r="N536">
        <v>64.87</v>
      </c>
    </row>
    <row r="537" spans="1:14" hidden="1" x14ac:dyDescent="0.3">
      <c r="A537" t="s">
        <v>545</v>
      </c>
      <c r="B537" t="s">
        <v>1016</v>
      </c>
      <c r="C537" t="s">
        <v>1033</v>
      </c>
      <c r="D537">
        <v>29</v>
      </c>
      <c r="E537">
        <v>1</v>
      </c>
      <c r="F537" s="3">
        <v>59288</v>
      </c>
      <c r="G537">
        <v>37</v>
      </c>
      <c r="H537">
        <v>1</v>
      </c>
      <c r="I537">
        <v>4</v>
      </c>
      <c r="J537">
        <v>11</v>
      </c>
      <c r="K537">
        <v>4.5999999999999996</v>
      </c>
      <c r="L537" s="3">
        <v>4.4000000000000004</v>
      </c>
      <c r="M537" t="s">
        <v>1036</v>
      </c>
      <c r="N537">
        <v>41.87</v>
      </c>
    </row>
    <row r="538" spans="1:14" hidden="1" x14ac:dyDescent="0.3">
      <c r="A538" t="s">
        <v>546</v>
      </c>
      <c r="B538" t="s">
        <v>1018</v>
      </c>
      <c r="C538" t="s">
        <v>1032</v>
      </c>
      <c r="D538">
        <v>28</v>
      </c>
      <c r="E538">
        <v>0</v>
      </c>
      <c r="F538" s="3">
        <v>62421</v>
      </c>
      <c r="G538">
        <v>55</v>
      </c>
      <c r="H538">
        <v>14</v>
      </c>
      <c r="I538">
        <v>12</v>
      </c>
      <c r="J538">
        <v>31</v>
      </c>
      <c r="K538">
        <v>3.6</v>
      </c>
      <c r="L538" s="3">
        <v>7.9</v>
      </c>
      <c r="M538" t="s">
        <v>1035</v>
      </c>
      <c r="N538">
        <v>81.53</v>
      </c>
    </row>
    <row r="539" spans="1:14" hidden="1" x14ac:dyDescent="0.3">
      <c r="A539" t="s">
        <v>547</v>
      </c>
      <c r="B539" t="s">
        <v>1014</v>
      </c>
      <c r="C539" t="s">
        <v>1031</v>
      </c>
      <c r="D539">
        <v>45</v>
      </c>
      <c r="E539">
        <v>7</v>
      </c>
      <c r="F539" s="3">
        <v>64711</v>
      </c>
      <c r="G539">
        <v>37</v>
      </c>
      <c r="H539">
        <v>1</v>
      </c>
      <c r="I539">
        <v>6</v>
      </c>
      <c r="J539">
        <v>31</v>
      </c>
      <c r="K539">
        <v>4.8</v>
      </c>
      <c r="L539" s="3">
        <v>8.8000000000000007</v>
      </c>
      <c r="M539" t="s">
        <v>1034</v>
      </c>
      <c r="N539">
        <v>68.87</v>
      </c>
    </row>
    <row r="540" spans="1:14" x14ac:dyDescent="0.3">
      <c r="A540" t="s">
        <v>548</v>
      </c>
      <c r="B540" t="s">
        <v>1014</v>
      </c>
      <c r="C540" t="s">
        <v>1019</v>
      </c>
      <c r="D540">
        <v>45</v>
      </c>
      <c r="E540">
        <v>13</v>
      </c>
      <c r="F540" s="3">
        <v>78872</v>
      </c>
      <c r="G540">
        <v>46</v>
      </c>
      <c r="H540">
        <v>13</v>
      </c>
      <c r="I540">
        <v>22</v>
      </c>
      <c r="J540">
        <v>3</v>
      </c>
      <c r="K540">
        <v>4.5</v>
      </c>
      <c r="L540" s="3">
        <v>4.9000000000000004</v>
      </c>
      <c r="M540" t="s">
        <v>1036</v>
      </c>
      <c r="N540">
        <v>64.569999999999993</v>
      </c>
    </row>
    <row r="541" spans="1:14" hidden="1" x14ac:dyDescent="0.3">
      <c r="A541" t="s">
        <v>549</v>
      </c>
      <c r="B541" t="s">
        <v>1014</v>
      </c>
      <c r="C541" t="s">
        <v>1019</v>
      </c>
      <c r="D541">
        <v>41</v>
      </c>
      <c r="E541">
        <v>2</v>
      </c>
      <c r="F541" s="3">
        <v>86905</v>
      </c>
      <c r="G541">
        <v>41</v>
      </c>
      <c r="H541">
        <v>9</v>
      </c>
      <c r="I541">
        <v>3</v>
      </c>
      <c r="J541">
        <v>6</v>
      </c>
      <c r="K541">
        <v>4.2</v>
      </c>
      <c r="L541" s="3">
        <v>6.7</v>
      </c>
      <c r="M541" t="s">
        <v>1035</v>
      </c>
      <c r="N541">
        <v>67.8</v>
      </c>
    </row>
    <row r="542" spans="1:14" x14ac:dyDescent="0.3">
      <c r="A542" t="s">
        <v>550</v>
      </c>
      <c r="B542" t="s">
        <v>1018</v>
      </c>
      <c r="C542" t="s">
        <v>1027</v>
      </c>
      <c r="D542">
        <v>55</v>
      </c>
      <c r="E542">
        <v>7</v>
      </c>
      <c r="F542" s="3">
        <v>62357</v>
      </c>
      <c r="G542">
        <v>55</v>
      </c>
      <c r="H542">
        <v>3</v>
      </c>
      <c r="I542">
        <v>17</v>
      </c>
      <c r="J542">
        <v>35</v>
      </c>
      <c r="K542">
        <v>3.2</v>
      </c>
      <c r="L542" s="3">
        <v>3.7</v>
      </c>
      <c r="M542" t="s">
        <v>1036</v>
      </c>
      <c r="N542">
        <v>36.799999999999997</v>
      </c>
    </row>
    <row r="543" spans="1:14" x14ac:dyDescent="0.3">
      <c r="A543" t="s">
        <v>551</v>
      </c>
      <c r="B543" t="s">
        <v>1015</v>
      </c>
      <c r="C543" t="s">
        <v>1020</v>
      </c>
      <c r="D543">
        <v>44</v>
      </c>
      <c r="E543">
        <v>14</v>
      </c>
      <c r="F543" s="3">
        <v>71042</v>
      </c>
      <c r="G543">
        <v>48</v>
      </c>
      <c r="H543">
        <v>15</v>
      </c>
      <c r="I543">
        <v>3</v>
      </c>
      <c r="J543">
        <v>10</v>
      </c>
      <c r="K543">
        <v>4.4000000000000004</v>
      </c>
      <c r="L543" s="3">
        <v>6.8</v>
      </c>
      <c r="M543" t="s">
        <v>1035</v>
      </c>
      <c r="N543">
        <v>79</v>
      </c>
    </row>
    <row r="544" spans="1:14" x14ac:dyDescent="0.3">
      <c r="A544" t="s">
        <v>552</v>
      </c>
      <c r="B544" t="s">
        <v>1016</v>
      </c>
      <c r="C544" t="s">
        <v>1033</v>
      </c>
      <c r="D544">
        <v>32</v>
      </c>
      <c r="E544">
        <v>8</v>
      </c>
      <c r="F544" s="3">
        <v>64316</v>
      </c>
      <c r="G544">
        <v>49</v>
      </c>
      <c r="H544">
        <v>15</v>
      </c>
      <c r="I544">
        <v>11</v>
      </c>
      <c r="J544">
        <v>20</v>
      </c>
      <c r="K544">
        <v>3.7</v>
      </c>
      <c r="L544" s="3">
        <v>10</v>
      </c>
      <c r="M544" t="s">
        <v>1034</v>
      </c>
      <c r="N544">
        <v>96.1</v>
      </c>
    </row>
    <row r="545" spans="1:14" x14ac:dyDescent="0.3">
      <c r="A545" t="s">
        <v>553</v>
      </c>
      <c r="B545" t="s">
        <v>1017</v>
      </c>
      <c r="C545" t="s">
        <v>1024</v>
      </c>
      <c r="D545">
        <v>49</v>
      </c>
      <c r="E545">
        <v>10</v>
      </c>
      <c r="F545" s="3">
        <v>64872</v>
      </c>
      <c r="G545">
        <v>42</v>
      </c>
      <c r="H545">
        <v>10</v>
      </c>
      <c r="I545">
        <v>17</v>
      </c>
      <c r="J545">
        <v>13</v>
      </c>
      <c r="K545">
        <v>3.1</v>
      </c>
      <c r="L545" s="3">
        <v>6.9</v>
      </c>
      <c r="M545" t="s">
        <v>1035</v>
      </c>
      <c r="N545">
        <v>67.37</v>
      </c>
    </row>
    <row r="546" spans="1:14" x14ac:dyDescent="0.3">
      <c r="A546" t="s">
        <v>554</v>
      </c>
      <c r="B546" t="s">
        <v>1016</v>
      </c>
      <c r="C546" t="s">
        <v>1022</v>
      </c>
      <c r="D546">
        <v>45</v>
      </c>
      <c r="E546">
        <v>14</v>
      </c>
      <c r="F546" s="3">
        <v>54327</v>
      </c>
      <c r="G546">
        <v>47</v>
      </c>
      <c r="H546">
        <v>1</v>
      </c>
      <c r="I546">
        <v>23</v>
      </c>
      <c r="J546">
        <v>2</v>
      </c>
      <c r="K546">
        <v>4.9000000000000004</v>
      </c>
      <c r="L546" s="3">
        <v>7.2</v>
      </c>
      <c r="M546" t="s">
        <v>1035</v>
      </c>
      <c r="N546">
        <v>59.57</v>
      </c>
    </row>
    <row r="547" spans="1:14" hidden="1" x14ac:dyDescent="0.3">
      <c r="A547" t="s">
        <v>555</v>
      </c>
      <c r="B547" t="s">
        <v>1018</v>
      </c>
      <c r="C547" t="s">
        <v>1032</v>
      </c>
      <c r="D547">
        <v>41</v>
      </c>
      <c r="E547">
        <v>0</v>
      </c>
      <c r="F547" s="3">
        <v>44682</v>
      </c>
      <c r="G547">
        <v>42</v>
      </c>
      <c r="H547">
        <v>4</v>
      </c>
      <c r="I547">
        <v>10</v>
      </c>
      <c r="J547">
        <v>1</v>
      </c>
      <c r="K547">
        <v>4.3</v>
      </c>
      <c r="L547" s="3">
        <v>9.6</v>
      </c>
      <c r="M547" t="s">
        <v>1034</v>
      </c>
      <c r="N547">
        <v>77.17</v>
      </c>
    </row>
    <row r="548" spans="1:14" hidden="1" x14ac:dyDescent="0.3">
      <c r="A548" t="s">
        <v>556</v>
      </c>
      <c r="B548" t="s">
        <v>1015</v>
      </c>
      <c r="C548" t="s">
        <v>1020</v>
      </c>
      <c r="D548">
        <v>54</v>
      </c>
      <c r="E548">
        <v>4</v>
      </c>
      <c r="F548" s="3">
        <v>31179</v>
      </c>
      <c r="G548">
        <v>36</v>
      </c>
      <c r="H548">
        <v>8</v>
      </c>
      <c r="I548">
        <v>11</v>
      </c>
      <c r="J548">
        <v>9</v>
      </c>
      <c r="K548">
        <v>2.4</v>
      </c>
      <c r="L548" s="3">
        <v>5.6</v>
      </c>
      <c r="M548" t="s">
        <v>1036</v>
      </c>
      <c r="N548">
        <v>54.13</v>
      </c>
    </row>
    <row r="549" spans="1:14" x14ac:dyDescent="0.3">
      <c r="A549" t="s">
        <v>557</v>
      </c>
      <c r="B549" t="s">
        <v>1018</v>
      </c>
      <c r="C549" t="s">
        <v>1028</v>
      </c>
      <c r="D549">
        <v>36</v>
      </c>
      <c r="E549">
        <v>8</v>
      </c>
      <c r="F549" s="3">
        <v>78154</v>
      </c>
      <c r="G549">
        <v>44</v>
      </c>
      <c r="H549">
        <v>2</v>
      </c>
      <c r="I549">
        <v>18</v>
      </c>
      <c r="J549">
        <v>25</v>
      </c>
      <c r="K549">
        <v>3.7</v>
      </c>
      <c r="L549" s="3">
        <v>4.5</v>
      </c>
      <c r="M549" t="s">
        <v>1036</v>
      </c>
      <c r="N549">
        <v>41.43</v>
      </c>
    </row>
    <row r="550" spans="1:14" hidden="1" x14ac:dyDescent="0.3">
      <c r="A550" t="s">
        <v>558</v>
      </c>
      <c r="B550" t="s">
        <v>1016</v>
      </c>
      <c r="C550" t="s">
        <v>1022</v>
      </c>
      <c r="D550">
        <v>52</v>
      </c>
      <c r="E550">
        <v>5</v>
      </c>
      <c r="F550" s="3">
        <v>56999</v>
      </c>
      <c r="G550">
        <v>53</v>
      </c>
      <c r="H550">
        <v>14</v>
      </c>
      <c r="I550">
        <v>3</v>
      </c>
      <c r="J550">
        <v>38</v>
      </c>
      <c r="K550">
        <v>3.9</v>
      </c>
      <c r="L550" s="3">
        <v>3.3</v>
      </c>
      <c r="M550" t="s">
        <v>1036</v>
      </c>
      <c r="N550">
        <v>54.83</v>
      </c>
    </row>
    <row r="551" spans="1:14" x14ac:dyDescent="0.3">
      <c r="A551" t="s">
        <v>559</v>
      </c>
      <c r="B551" t="s">
        <v>1017</v>
      </c>
      <c r="C551" t="s">
        <v>1030</v>
      </c>
      <c r="D551">
        <v>27</v>
      </c>
      <c r="E551">
        <v>6</v>
      </c>
      <c r="F551" s="3">
        <v>28664</v>
      </c>
      <c r="G551">
        <v>45</v>
      </c>
      <c r="H551">
        <v>6</v>
      </c>
      <c r="I551">
        <v>13</v>
      </c>
      <c r="J551">
        <v>26</v>
      </c>
      <c r="K551">
        <v>4.8</v>
      </c>
      <c r="L551" s="3">
        <v>3.8</v>
      </c>
      <c r="M551" t="s">
        <v>1036</v>
      </c>
      <c r="N551">
        <v>47.2</v>
      </c>
    </row>
    <row r="552" spans="1:14" hidden="1" x14ac:dyDescent="0.3">
      <c r="A552" t="s">
        <v>560</v>
      </c>
      <c r="B552" t="s">
        <v>1015</v>
      </c>
      <c r="C552" t="s">
        <v>1020</v>
      </c>
      <c r="D552">
        <v>22</v>
      </c>
      <c r="E552">
        <v>1</v>
      </c>
      <c r="F552" s="3">
        <v>28547</v>
      </c>
      <c r="G552">
        <v>44</v>
      </c>
      <c r="H552">
        <v>9</v>
      </c>
      <c r="I552">
        <v>1</v>
      </c>
      <c r="J552">
        <v>20</v>
      </c>
      <c r="K552">
        <v>3.6</v>
      </c>
      <c r="L552" s="3">
        <v>4</v>
      </c>
      <c r="M552" t="s">
        <v>1036</v>
      </c>
      <c r="N552">
        <v>49.8</v>
      </c>
    </row>
    <row r="553" spans="1:14" hidden="1" x14ac:dyDescent="0.3">
      <c r="A553" t="s">
        <v>561</v>
      </c>
      <c r="B553" t="s">
        <v>1018</v>
      </c>
      <c r="C553" t="s">
        <v>1032</v>
      </c>
      <c r="D553">
        <v>31</v>
      </c>
      <c r="E553">
        <v>0</v>
      </c>
      <c r="F553" s="3">
        <v>69147</v>
      </c>
      <c r="G553">
        <v>47</v>
      </c>
      <c r="H553">
        <v>8</v>
      </c>
      <c r="I553">
        <v>24</v>
      </c>
      <c r="J553">
        <v>38</v>
      </c>
      <c r="K553">
        <v>3.7</v>
      </c>
      <c r="L553" s="3">
        <v>3.6</v>
      </c>
      <c r="M553" t="s">
        <v>1036</v>
      </c>
      <c r="N553">
        <v>46.03</v>
      </c>
    </row>
    <row r="554" spans="1:14" hidden="1" x14ac:dyDescent="0.3">
      <c r="A554" t="s">
        <v>562</v>
      </c>
      <c r="B554" t="s">
        <v>1016</v>
      </c>
      <c r="C554" t="s">
        <v>1033</v>
      </c>
      <c r="D554">
        <v>47</v>
      </c>
      <c r="E554">
        <v>4</v>
      </c>
      <c r="F554" s="3">
        <v>33663</v>
      </c>
      <c r="G554">
        <v>45</v>
      </c>
      <c r="H554">
        <v>2</v>
      </c>
      <c r="I554">
        <v>15</v>
      </c>
      <c r="J554">
        <v>36</v>
      </c>
      <c r="K554">
        <v>4.2</v>
      </c>
      <c r="L554" s="3">
        <v>6.8</v>
      </c>
      <c r="M554" t="s">
        <v>1035</v>
      </c>
      <c r="N554">
        <v>56.73</v>
      </c>
    </row>
    <row r="555" spans="1:14" hidden="1" x14ac:dyDescent="0.3">
      <c r="A555" t="s">
        <v>563</v>
      </c>
      <c r="B555" t="s">
        <v>1014</v>
      </c>
      <c r="C555" t="s">
        <v>1025</v>
      </c>
      <c r="D555">
        <v>47</v>
      </c>
      <c r="E555">
        <v>13</v>
      </c>
      <c r="F555" s="3">
        <v>75713</v>
      </c>
      <c r="G555">
        <v>39</v>
      </c>
      <c r="H555">
        <v>13</v>
      </c>
      <c r="I555">
        <v>4</v>
      </c>
      <c r="J555">
        <v>30</v>
      </c>
      <c r="K555">
        <v>3.7</v>
      </c>
      <c r="L555" s="3">
        <v>6.4</v>
      </c>
      <c r="M555" t="s">
        <v>1035</v>
      </c>
      <c r="N555">
        <v>71.17</v>
      </c>
    </row>
    <row r="556" spans="1:14" x14ac:dyDescent="0.3">
      <c r="A556" t="s">
        <v>564</v>
      </c>
      <c r="B556" t="s">
        <v>1015</v>
      </c>
      <c r="C556" t="s">
        <v>1020</v>
      </c>
      <c r="D556">
        <v>34</v>
      </c>
      <c r="E556">
        <v>8</v>
      </c>
      <c r="F556" s="3">
        <v>65369</v>
      </c>
      <c r="G556">
        <v>51</v>
      </c>
      <c r="H556">
        <v>4</v>
      </c>
      <c r="I556">
        <v>7</v>
      </c>
      <c r="J556">
        <v>4</v>
      </c>
      <c r="K556">
        <v>2.8</v>
      </c>
      <c r="L556" s="3">
        <v>6</v>
      </c>
      <c r="M556" t="s">
        <v>1035</v>
      </c>
      <c r="N556">
        <v>51.07</v>
      </c>
    </row>
    <row r="557" spans="1:14" hidden="1" x14ac:dyDescent="0.3">
      <c r="A557" t="s">
        <v>565</v>
      </c>
      <c r="B557" t="s">
        <v>1015</v>
      </c>
      <c r="C557" t="s">
        <v>1020</v>
      </c>
      <c r="D557">
        <v>27</v>
      </c>
      <c r="E557">
        <v>0</v>
      </c>
      <c r="F557" s="3">
        <v>69023</v>
      </c>
      <c r="G557">
        <v>48</v>
      </c>
      <c r="H557">
        <v>7</v>
      </c>
      <c r="I557">
        <v>11</v>
      </c>
      <c r="J557">
        <v>22</v>
      </c>
      <c r="K557">
        <v>2.6</v>
      </c>
      <c r="L557" s="3">
        <v>5.4</v>
      </c>
      <c r="M557" t="s">
        <v>1036</v>
      </c>
      <c r="N557">
        <v>51.87</v>
      </c>
    </row>
    <row r="558" spans="1:14" hidden="1" x14ac:dyDescent="0.3">
      <c r="A558" t="s">
        <v>566</v>
      </c>
      <c r="B558" t="s">
        <v>1014</v>
      </c>
      <c r="C558" t="s">
        <v>1019</v>
      </c>
      <c r="D558">
        <v>41</v>
      </c>
      <c r="E558">
        <v>5</v>
      </c>
      <c r="F558" s="3">
        <v>89726</v>
      </c>
      <c r="G558">
        <v>46</v>
      </c>
      <c r="H558">
        <v>10</v>
      </c>
      <c r="I558">
        <v>25</v>
      </c>
      <c r="J558">
        <v>28</v>
      </c>
      <c r="K558">
        <v>3.9</v>
      </c>
      <c r="L558" s="3">
        <v>6.1</v>
      </c>
      <c r="M558" t="s">
        <v>1035</v>
      </c>
      <c r="N558">
        <v>64.97</v>
      </c>
    </row>
    <row r="559" spans="1:14" hidden="1" x14ac:dyDescent="0.3">
      <c r="A559" t="s">
        <v>567</v>
      </c>
      <c r="B559" t="s">
        <v>1018</v>
      </c>
      <c r="C559" t="s">
        <v>1028</v>
      </c>
      <c r="D559">
        <v>45</v>
      </c>
      <c r="E559">
        <v>4</v>
      </c>
      <c r="F559" s="3">
        <v>74658</v>
      </c>
      <c r="G559">
        <v>37</v>
      </c>
      <c r="H559">
        <v>2</v>
      </c>
      <c r="I559">
        <v>23</v>
      </c>
      <c r="J559">
        <v>3</v>
      </c>
      <c r="K559">
        <v>2.7</v>
      </c>
      <c r="L559" s="3">
        <v>7.3</v>
      </c>
      <c r="M559" t="s">
        <v>1035</v>
      </c>
      <c r="N559">
        <v>55.23</v>
      </c>
    </row>
    <row r="560" spans="1:14" hidden="1" x14ac:dyDescent="0.3">
      <c r="A560" t="s">
        <v>568</v>
      </c>
      <c r="B560" t="s">
        <v>1016</v>
      </c>
      <c r="C560" t="s">
        <v>1022</v>
      </c>
      <c r="D560">
        <v>22</v>
      </c>
      <c r="E560">
        <v>1</v>
      </c>
      <c r="F560" s="3">
        <v>70468</v>
      </c>
      <c r="G560">
        <v>38</v>
      </c>
      <c r="H560">
        <v>5</v>
      </c>
      <c r="I560">
        <v>14</v>
      </c>
      <c r="J560">
        <v>30</v>
      </c>
      <c r="K560">
        <v>2.1</v>
      </c>
      <c r="L560" s="3">
        <v>4.5</v>
      </c>
      <c r="M560" t="s">
        <v>1036</v>
      </c>
      <c r="N560">
        <v>41.63</v>
      </c>
    </row>
    <row r="561" spans="1:14" x14ac:dyDescent="0.3">
      <c r="A561" t="s">
        <v>569</v>
      </c>
      <c r="B561" t="s">
        <v>1018</v>
      </c>
      <c r="C561" t="s">
        <v>1027</v>
      </c>
      <c r="D561">
        <v>35</v>
      </c>
      <c r="E561">
        <v>8</v>
      </c>
      <c r="F561" s="3">
        <v>59292</v>
      </c>
      <c r="G561">
        <v>43</v>
      </c>
      <c r="H561">
        <v>9</v>
      </c>
      <c r="I561">
        <v>15</v>
      </c>
      <c r="J561">
        <v>39</v>
      </c>
      <c r="K561">
        <v>4.2</v>
      </c>
      <c r="L561" s="3">
        <v>4</v>
      </c>
      <c r="M561" t="s">
        <v>1036</v>
      </c>
      <c r="N561">
        <v>51.6</v>
      </c>
    </row>
    <row r="562" spans="1:14" hidden="1" x14ac:dyDescent="0.3">
      <c r="A562" t="s">
        <v>570</v>
      </c>
      <c r="B562" t="s">
        <v>1014</v>
      </c>
      <c r="C562" t="s">
        <v>1019</v>
      </c>
      <c r="D562">
        <v>46</v>
      </c>
      <c r="E562">
        <v>1</v>
      </c>
      <c r="F562" s="3">
        <v>41741</v>
      </c>
      <c r="G562">
        <v>40</v>
      </c>
      <c r="H562">
        <v>1</v>
      </c>
      <c r="I562">
        <v>9</v>
      </c>
      <c r="J562">
        <v>12</v>
      </c>
      <c r="K562">
        <v>4.4000000000000004</v>
      </c>
      <c r="L562" s="3">
        <v>7.3</v>
      </c>
      <c r="M562" t="s">
        <v>1035</v>
      </c>
      <c r="N562">
        <v>58.67</v>
      </c>
    </row>
    <row r="563" spans="1:14" hidden="1" x14ac:dyDescent="0.3">
      <c r="A563" t="s">
        <v>571</v>
      </c>
      <c r="B563" t="s">
        <v>1017</v>
      </c>
      <c r="C563" t="s">
        <v>1024</v>
      </c>
      <c r="D563">
        <v>22</v>
      </c>
      <c r="E563">
        <v>0</v>
      </c>
      <c r="F563" s="3">
        <v>50470</v>
      </c>
      <c r="G563">
        <v>43</v>
      </c>
      <c r="H563">
        <v>11</v>
      </c>
      <c r="I563">
        <v>21</v>
      </c>
      <c r="J563">
        <v>23</v>
      </c>
      <c r="K563">
        <v>4.5999999999999996</v>
      </c>
      <c r="L563" s="3">
        <v>3.1</v>
      </c>
      <c r="M563" t="s">
        <v>1036</v>
      </c>
      <c r="N563">
        <v>50.73</v>
      </c>
    </row>
    <row r="564" spans="1:14" hidden="1" x14ac:dyDescent="0.3">
      <c r="A564" t="s">
        <v>572</v>
      </c>
      <c r="B564" t="s">
        <v>1017</v>
      </c>
      <c r="C564" t="s">
        <v>1030</v>
      </c>
      <c r="D564">
        <v>36</v>
      </c>
      <c r="E564">
        <v>12</v>
      </c>
      <c r="F564" s="3">
        <v>58327</v>
      </c>
      <c r="G564">
        <v>38</v>
      </c>
      <c r="H564">
        <v>15</v>
      </c>
      <c r="I564">
        <v>10</v>
      </c>
      <c r="J564">
        <v>31</v>
      </c>
      <c r="K564">
        <v>4.5999999999999996</v>
      </c>
      <c r="L564" s="3">
        <v>6.7</v>
      </c>
      <c r="M564" t="s">
        <v>1035</v>
      </c>
      <c r="N564">
        <v>79</v>
      </c>
    </row>
    <row r="565" spans="1:14" hidden="1" x14ac:dyDescent="0.3">
      <c r="A565" t="s">
        <v>573</v>
      </c>
      <c r="B565" t="s">
        <v>1018</v>
      </c>
      <c r="C565" t="s">
        <v>1027</v>
      </c>
      <c r="D565">
        <v>54</v>
      </c>
      <c r="E565">
        <v>14</v>
      </c>
      <c r="F565" s="3">
        <v>61745</v>
      </c>
      <c r="G565">
        <v>35</v>
      </c>
      <c r="H565">
        <v>1</v>
      </c>
      <c r="I565">
        <v>7</v>
      </c>
      <c r="J565">
        <v>33</v>
      </c>
      <c r="K565">
        <v>2.9</v>
      </c>
      <c r="L565" s="3">
        <v>6.4</v>
      </c>
      <c r="M565" t="s">
        <v>1035</v>
      </c>
      <c r="N565">
        <v>48.77</v>
      </c>
    </row>
    <row r="566" spans="1:14" hidden="1" x14ac:dyDescent="0.3">
      <c r="A566" t="s">
        <v>574</v>
      </c>
      <c r="B566" t="s">
        <v>1018</v>
      </c>
      <c r="C566" t="s">
        <v>1027</v>
      </c>
      <c r="D566">
        <v>23</v>
      </c>
      <c r="E566">
        <v>1</v>
      </c>
      <c r="F566" s="3">
        <v>69847</v>
      </c>
      <c r="G566">
        <v>46</v>
      </c>
      <c r="H566">
        <v>6</v>
      </c>
      <c r="I566">
        <v>20</v>
      </c>
      <c r="J566">
        <v>19</v>
      </c>
      <c r="K566">
        <v>2.7</v>
      </c>
      <c r="L566" s="3">
        <v>9.8000000000000007</v>
      </c>
      <c r="M566" t="s">
        <v>1034</v>
      </c>
      <c r="N566">
        <v>76.900000000000006</v>
      </c>
    </row>
    <row r="567" spans="1:14" hidden="1" x14ac:dyDescent="0.3">
      <c r="A567" t="s">
        <v>575</v>
      </c>
      <c r="B567" t="s">
        <v>1016</v>
      </c>
      <c r="C567" t="s">
        <v>1033</v>
      </c>
      <c r="D567">
        <v>25</v>
      </c>
      <c r="E567">
        <v>2</v>
      </c>
      <c r="F567" s="3">
        <v>82584</v>
      </c>
      <c r="G567">
        <v>47</v>
      </c>
      <c r="H567">
        <v>15</v>
      </c>
      <c r="I567">
        <v>0</v>
      </c>
      <c r="J567">
        <v>35</v>
      </c>
      <c r="K567">
        <v>4.8</v>
      </c>
      <c r="L567" s="3">
        <v>4.5999999999999996</v>
      </c>
      <c r="M567" t="s">
        <v>1036</v>
      </c>
      <c r="N567">
        <v>67</v>
      </c>
    </row>
    <row r="568" spans="1:14" hidden="1" x14ac:dyDescent="0.3">
      <c r="A568" t="s">
        <v>576</v>
      </c>
      <c r="B568" t="s">
        <v>1017</v>
      </c>
      <c r="C568" t="s">
        <v>1026</v>
      </c>
      <c r="D568">
        <v>30</v>
      </c>
      <c r="E568">
        <v>1</v>
      </c>
      <c r="F568" s="3">
        <v>72834</v>
      </c>
      <c r="G568">
        <v>47</v>
      </c>
      <c r="H568">
        <v>9</v>
      </c>
      <c r="I568">
        <v>21</v>
      </c>
      <c r="J568">
        <v>39</v>
      </c>
      <c r="K568">
        <v>4.5999999999999996</v>
      </c>
      <c r="L568" s="3">
        <v>7.8</v>
      </c>
      <c r="M568" t="s">
        <v>1035</v>
      </c>
      <c r="N568">
        <v>75.599999999999994</v>
      </c>
    </row>
    <row r="569" spans="1:14" x14ac:dyDescent="0.3">
      <c r="A569" t="s">
        <v>577</v>
      </c>
      <c r="B569" t="s">
        <v>1018</v>
      </c>
      <c r="C569" t="s">
        <v>1027</v>
      </c>
      <c r="D569">
        <v>31</v>
      </c>
      <c r="E569">
        <v>6</v>
      </c>
      <c r="F569" s="3">
        <v>88605</v>
      </c>
      <c r="G569">
        <v>44</v>
      </c>
      <c r="H569">
        <v>15</v>
      </c>
      <c r="I569">
        <v>19</v>
      </c>
      <c r="J569">
        <v>21</v>
      </c>
      <c r="K569">
        <v>3.3</v>
      </c>
      <c r="L569" s="3">
        <v>3.9</v>
      </c>
      <c r="M569" t="s">
        <v>1036</v>
      </c>
      <c r="N569">
        <v>58.3</v>
      </c>
    </row>
    <row r="570" spans="1:14" x14ac:dyDescent="0.3">
      <c r="A570" t="s">
        <v>578</v>
      </c>
      <c r="B570" t="s">
        <v>1018</v>
      </c>
      <c r="C570" t="s">
        <v>1028</v>
      </c>
      <c r="D570">
        <v>34</v>
      </c>
      <c r="E570">
        <v>13</v>
      </c>
      <c r="F570" s="3">
        <v>34051</v>
      </c>
      <c r="G570">
        <v>44</v>
      </c>
      <c r="H570">
        <v>12</v>
      </c>
      <c r="I570">
        <v>22</v>
      </c>
      <c r="J570">
        <v>33</v>
      </c>
      <c r="K570">
        <v>4.7</v>
      </c>
      <c r="L570" s="3">
        <v>6</v>
      </c>
      <c r="M570" t="s">
        <v>1035</v>
      </c>
      <c r="N570">
        <v>70.099999999999994</v>
      </c>
    </row>
    <row r="571" spans="1:14" hidden="1" x14ac:dyDescent="0.3">
      <c r="A571" t="s">
        <v>579</v>
      </c>
      <c r="B571" t="s">
        <v>1015</v>
      </c>
      <c r="C571" t="s">
        <v>1029</v>
      </c>
      <c r="D571">
        <v>32</v>
      </c>
      <c r="E571">
        <v>5</v>
      </c>
      <c r="F571" s="3">
        <v>29444</v>
      </c>
      <c r="G571">
        <v>52</v>
      </c>
      <c r="H571">
        <v>9</v>
      </c>
      <c r="I571">
        <v>23</v>
      </c>
      <c r="J571">
        <v>7</v>
      </c>
      <c r="K571">
        <v>2.6</v>
      </c>
      <c r="L571" s="3">
        <v>8.9</v>
      </c>
      <c r="M571" t="s">
        <v>1034</v>
      </c>
      <c r="N571">
        <v>76.2</v>
      </c>
    </row>
    <row r="572" spans="1:14" x14ac:dyDescent="0.3">
      <c r="A572" t="s">
        <v>580</v>
      </c>
      <c r="B572" t="s">
        <v>1014</v>
      </c>
      <c r="C572" t="s">
        <v>1019</v>
      </c>
      <c r="D572">
        <v>42</v>
      </c>
      <c r="E572">
        <v>13</v>
      </c>
      <c r="F572" s="3">
        <v>87992</v>
      </c>
      <c r="G572">
        <v>48</v>
      </c>
      <c r="H572">
        <v>5</v>
      </c>
      <c r="I572">
        <v>14</v>
      </c>
      <c r="J572">
        <v>40</v>
      </c>
      <c r="K572">
        <v>4.8</v>
      </c>
      <c r="L572" s="3">
        <v>4.9000000000000004</v>
      </c>
      <c r="M572" t="s">
        <v>1036</v>
      </c>
      <c r="N572">
        <v>52.13</v>
      </c>
    </row>
    <row r="573" spans="1:14" hidden="1" x14ac:dyDescent="0.3">
      <c r="A573" t="s">
        <v>581</v>
      </c>
      <c r="B573" t="s">
        <v>1014</v>
      </c>
      <c r="C573" t="s">
        <v>1019</v>
      </c>
      <c r="D573">
        <v>30</v>
      </c>
      <c r="E573">
        <v>2</v>
      </c>
      <c r="F573" s="3">
        <v>26716</v>
      </c>
      <c r="G573">
        <v>54</v>
      </c>
      <c r="H573">
        <v>10</v>
      </c>
      <c r="I573">
        <v>8</v>
      </c>
      <c r="J573">
        <v>38</v>
      </c>
      <c r="K573">
        <v>3.7</v>
      </c>
      <c r="L573" s="3">
        <v>4.5999999999999996</v>
      </c>
      <c r="M573" t="s">
        <v>1036</v>
      </c>
      <c r="N573">
        <v>55.37</v>
      </c>
    </row>
    <row r="574" spans="1:14" hidden="1" x14ac:dyDescent="0.3">
      <c r="A574" t="s">
        <v>582</v>
      </c>
      <c r="B574" t="s">
        <v>1018</v>
      </c>
      <c r="C574" t="s">
        <v>1028</v>
      </c>
      <c r="D574">
        <v>23</v>
      </c>
      <c r="E574">
        <v>1</v>
      </c>
      <c r="F574" s="3">
        <v>30208</v>
      </c>
      <c r="G574">
        <v>50</v>
      </c>
      <c r="H574">
        <v>3</v>
      </c>
      <c r="I574">
        <v>16</v>
      </c>
      <c r="J574">
        <v>38</v>
      </c>
      <c r="K574">
        <v>3.4</v>
      </c>
      <c r="L574" s="3">
        <v>7.5</v>
      </c>
      <c r="M574" t="s">
        <v>1035</v>
      </c>
      <c r="N574">
        <v>60.2</v>
      </c>
    </row>
    <row r="575" spans="1:14" hidden="1" x14ac:dyDescent="0.3">
      <c r="A575" t="s">
        <v>583</v>
      </c>
      <c r="B575" t="s">
        <v>1017</v>
      </c>
      <c r="C575" t="s">
        <v>1026</v>
      </c>
      <c r="D575">
        <v>53</v>
      </c>
      <c r="E575">
        <v>15</v>
      </c>
      <c r="F575" s="3">
        <v>34012</v>
      </c>
      <c r="G575">
        <v>40</v>
      </c>
      <c r="H575">
        <v>4</v>
      </c>
      <c r="I575">
        <v>7</v>
      </c>
      <c r="J575">
        <v>2</v>
      </c>
      <c r="K575">
        <v>3.2</v>
      </c>
      <c r="L575" s="3">
        <v>9.8000000000000007</v>
      </c>
      <c r="M575" t="s">
        <v>1034</v>
      </c>
      <c r="N575">
        <v>75.069999999999993</v>
      </c>
    </row>
    <row r="576" spans="1:14" x14ac:dyDescent="0.3">
      <c r="A576" t="s">
        <v>584</v>
      </c>
      <c r="B576" t="s">
        <v>1017</v>
      </c>
      <c r="C576" t="s">
        <v>1026</v>
      </c>
      <c r="D576">
        <v>36</v>
      </c>
      <c r="E576">
        <v>6</v>
      </c>
      <c r="F576" s="3">
        <v>74661</v>
      </c>
      <c r="G576">
        <v>41</v>
      </c>
      <c r="H576">
        <v>2</v>
      </c>
      <c r="I576">
        <v>5</v>
      </c>
      <c r="J576">
        <v>28</v>
      </c>
      <c r="K576">
        <v>4.5999999999999996</v>
      </c>
      <c r="L576" s="3">
        <v>6.4</v>
      </c>
      <c r="M576" t="s">
        <v>1035</v>
      </c>
      <c r="N576">
        <v>55.53</v>
      </c>
    </row>
    <row r="577" spans="1:14" hidden="1" x14ac:dyDescent="0.3">
      <c r="A577" t="s">
        <v>585</v>
      </c>
      <c r="B577" t="s">
        <v>1017</v>
      </c>
      <c r="C577" t="s">
        <v>1024</v>
      </c>
      <c r="D577">
        <v>37</v>
      </c>
      <c r="E577">
        <v>13</v>
      </c>
      <c r="F577" s="3">
        <v>51533</v>
      </c>
      <c r="G577">
        <v>36</v>
      </c>
      <c r="H577">
        <v>10</v>
      </c>
      <c r="I577">
        <v>23</v>
      </c>
      <c r="J577">
        <v>24</v>
      </c>
      <c r="K577">
        <v>4.2</v>
      </c>
      <c r="L577" s="3">
        <v>5.8</v>
      </c>
      <c r="M577" t="s">
        <v>1036</v>
      </c>
      <c r="N577">
        <v>64.069999999999993</v>
      </c>
    </row>
    <row r="578" spans="1:14" hidden="1" x14ac:dyDescent="0.3">
      <c r="A578" t="s">
        <v>586</v>
      </c>
      <c r="B578" t="s">
        <v>1015</v>
      </c>
      <c r="C578" t="s">
        <v>1020</v>
      </c>
      <c r="D578">
        <v>55</v>
      </c>
      <c r="E578">
        <v>1</v>
      </c>
      <c r="F578" s="3">
        <v>59121</v>
      </c>
      <c r="G578">
        <v>38</v>
      </c>
      <c r="H578">
        <v>8</v>
      </c>
      <c r="I578">
        <v>14</v>
      </c>
      <c r="J578">
        <v>2</v>
      </c>
      <c r="K578">
        <v>4.5999999999999996</v>
      </c>
      <c r="L578" s="3">
        <v>4.7</v>
      </c>
      <c r="M578" t="s">
        <v>1036</v>
      </c>
      <c r="N578">
        <v>55.33</v>
      </c>
    </row>
    <row r="579" spans="1:14" hidden="1" x14ac:dyDescent="0.3">
      <c r="A579" t="s">
        <v>587</v>
      </c>
      <c r="B579" t="s">
        <v>1017</v>
      </c>
      <c r="C579" t="s">
        <v>1026</v>
      </c>
      <c r="D579">
        <v>24</v>
      </c>
      <c r="E579">
        <v>3</v>
      </c>
      <c r="F579" s="3">
        <v>58824</v>
      </c>
      <c r="G579">
        <v>55</v>
      </c>
      <c r="H579">
        <v>1</v>
      </c>
      <c r="I579">
        <v>6</v>
      </c>
      <c r="J579">
        <v>18</v>
      </c>
      <c r="K579">
        <v>3.3</v>
      </c>
      <c r="L579" s="3">
        <v>9.1999999999999993</v>
      </c>
      <c r="M579" t="s">
        <v>1034</v>
      </c>
      <c r="N579">
        <v>66.77</v>
      </c>
    </row>
    <row r="580" spans="1:14" x14ac:dyDescent="0.3">
      <c r="A580" t="s">
        <v>588</v>
      </c>
      <c r="B580" t="s">
        <v>1017</v>
      </c>
      <c r="C580" t="s">
        <v>1024</v>
      </c>
      <c r="D580">
        <v>32</v>
      </c>
      <c r="E580">
        <v>6</v>
      </c>
      <c r="F580" s="3">
        <v>44295</v>
      </c>
      <c r="G580">
        <v>54</v>
      </c>
      <c r="H580">
        <v>15</v>
      </c>
      <c r="I580">
        <v>1</v>
      </c>
      <c r="J580">
        <v>33</v>
      </c>
      <c r="K580">
        <v>4.7</v>
      </c>
      <c r="L580" s="3">
        <v>6.2</v>
      </c>
      <c r="M580" t="s">
        <v>1035</v>
      </c>
      <c r="N580">
        <v>76.3</v>
      </c>
    </row>
    <row r="581" spans="1:14" hidden="1" x14ac:dyDescent="0.3">
      <c r="A581" t="s">
        <v>589</v>
      </c>
      <c r="B581" t="s">
        <v>1017</v>
      </c>
      <c r="C581" t="s">
        <v>1030</v>
      </c>
      <c r="D581">
        <v>27</v>
      </c>
      <c r="E581">
        <v>5</v>
      </c>
      <c r="F581" s="3">
        <v>57811</v>
      </c>
      <c r="G581">
        <v>38</v>
      </c>
      <c r="H581">
        <v>3</v>
      </c>
      <c r="I581">
        <v>24</v>
      </c>
      <c r="J581">
        <v>37</v>
      </c>
      <c r="K581">
        <v>4.8</v>
      </c>
      <c r="L581" s="3">
        <v>7.9</v>
      </c>
      <c r="M581" t="s">
        <v>1035</v>
      </c>
      <c r="N581">
        <v>66.8</v>
      </c>
    </row>
    <row r="582" spans="1:14" hidden="1" x14ac:dyDescent="0.3">
      <c r="A582" t="s">
        <v>590</v>
      </c>
      <c r="B582" t="s">
        <v>1017</v>
      </c>
      <c r="C582" t="s">
        <v>1026</v>
      </c>
      <c r="D582">
        <v>48</v>
      </c>
      <c r="E582">
        <v>10</v>
      </c>
      <c r="F582" s="3">
        <v>54549</v>
      </c>
      <c r="G582">
        <v>35</v>
      </c>
      <c r="H582">
        <v>3</v>
      </c>
      <c r="I582">
        <v>14</v>
      </c>
      <c r="J582">
        <v>37</v>
      </c>
      <c r="K582">
        <v>4.7</v>
      </c>
      <c r="L582" s="3">
        <v>9.3000000000000007</v>
      </c>
      <c r="M582" t="s">
        <v>1034</v>
      </c>
      <c r="N582">
        <v>74.900000000000006</v>
      </c>
    </row>
    <row r="583" spans="1:14" x14ac:dyDescent="0.3">
      <c r="A583" t="s">
        <v>591</v>
      </c>
      <c r="B583" t="s">
        <v>1014</v>
      </c>
      <c r="C583" t="s">
        <v>1019</v>
      </c>
      <c r="D583">
        <v>38</v>
      </c>
      <c r="E583">
        <v>10</v>
      </c>
      <c r="F583" s="3">
        <v>70332</v>
      </c>
      <c r="G583">
        <v>55</v>
      </c>
      <c r="H583">
        <v>15</v>
      </c>
      <c r="I583">
        <v>22</v>
      </c>
      <c r="J583">
        <v>10</v>
      </c>
      <c r="K583">
        <v>4.2</v>
      </c>
      <c r="L583" s="3">
        <v>3.9</v>
      </c>
      <c r="M583" t="s">
        <v>1036</v>
      </c>
      <c r="N583">
        <v>61</v>
      </c>
    </row>
    <row r="584" spans="1:14" hidden="1" x14ac:dyDescent="0.3">
      <c r="A584" t="s">
        <v>592</v>
      </c>
      <c r="B584" t="s">
        <v>1017</v>
      </c>
      <c r="C584" t="s">
        <v>1024</v>
      </c>
      <c r="D584">
        <v>45</v>
      </c>
      <c r="E584">
        <v>2</v>
      </c>
      <c r="F584" s="3">
        <v>59328</v>
      </c>
      <c r="G584">
        <v>47</v>
      </c>
      <c r="H584">
        <v>12</v>
      </c>
      <c r="I584">
        <v>25</v>
      </c>
      <c r="J584">
        <v>32</v>
      </c>
      <c r="K584">
        <v>3.8</v>
      </c>
      <c r="L584" s="3">
        <v>4.0999999999999996</v>
      </c>
      <c r="M584" t="s">
        <v>1036</v>
      </c>
      <c r="N584">
        <v>56</v>
      </c>
    </row>
    <row r="585" spans="1:14" hidden="1" x14ac:dyDescent="0.3">
      <c r="A585" t="s">
        <v>593</v>
      </c>
      <c r="B585" t="s">
        <v>1017</v>
      </c>
      <c r="C585" t="s">
        <v>1024</v>
      </c>
      <c r="D585">
        <v>24</v>
      </c>
      <c r="E585">
        <v>1</v>
      </c>
      <c r="F585" s="3">
        <v>84785</v>
      </c>
      <c r="G585">
        <v>45</v>
      </c>
      <c r="H585">
        <v>10</v>
      </c>
      <c r="I585">
        <v>21</v>
      </c>
      <c r="J585">
        <v>9</v>
      </c>
      <c r="K585">
        <v>2.5</v>
      </c>
      <c r="L585" s="3">
        <v>4</v>
      </c>
      <c r="M585" t="s">
        <v>1036</v>
      </c>
      <c r="N585">
        <v>48.17</v>
      </c>
    </row>
    <row r="586" spans="1:14" x14ac:dyDescent="0.3">
      <c r="A586" t="s">
        <v>594</v>
      </c>
      <c r="B586" t="s">
        <v>1014</v>
      </c>
      <c r="C586" t="s">
        <v>1019</v>
      </c>
      <c r="D586">
        <v>48</v>
      </c>
      <c r="E586">
        <v>9</v>
      </c>
      <c r="F586" s="3">
        <v>45284</v>
      </c>
      <c r="G586">
        <v>49</v>
      </c>
      <c r="H586">
        <v>5</v>
      </c>
      <c r="I586">
        <v>20</v>
      </c>
      <c r="J586">
        <v>11</v>
      </c>
      <c r="K586">
        <v>2.4</v>
      </c>
      <c r="L586" s="3">
        <v>3.9</v>
      </c>
      <c r="M586" t="s">
        <v>1036</v>
      </c>
      <c r="N586">
        <v>38.93</v>
      </c>
    </row>
    <row r="587" spans="1:14" hidden="1" x14ac:dyDescent="0.3">
      <c r="A587" t="s">
        <v>595</v>
      </c>
      <c r="B587" t="s">
        <v>1014</v>
      </c>
      <c r="C587" t="s">
        <v>1031</v>
      </c>
      <c r="D587">
        <v>38</v>
      </c>
      <c r="E587">
        <v>0</v>
      </c>
      <c r="F587" s="3">
        <v>55057</v>
      </c>
      <c r="G587">
        <v>50</v>
      </c>
      <c r="H587">
        <v>14</v>
      </c>
      <c r="I587">
        <v>15</v>
      </c>
      <c r="J587">
        <v>34</v>
      </c>
      <c r="K587">
        <v>4.4000000000000004</v>
      </c>
      <c r="L587" s="3">
        <v>7.3</v>
      </c>
      <c r="M587" t="s">
        <v>1035</v>
      </c>
      <c r="N587">
        <v>80.33</v>
      </c>
    </row>
    <row r="588" spans="1:14" x14ac:dyDescent="0.3">
      <c r="A588" t="s">
        <v>596</v>
      </c>
      <c r="B588" t="s">
        <v>1018</v>
      </c>
      <c r="C588" t="s">
        <v>1028</v>
      </c>
      <c r="D588">
        <v>35</v>
      </c>
      <c r="E588">
        <v>9</v>
      </c>
      <c r="F588" s="3">
        <v>68219</v>
      </c>
      <c r="G588">
        <v>50</v>
      </c>
      <c r="H588">
        <v>8</v>
      </c>
      <c r="I588">
        <v>13</v>
      </c>
      <c r="J588">
        <v>28</v>
      </c>
      <c r="K588">
        <v>2.2000000000000002</v>
      </c>
      <c r="L588" s="3">
        <v>7.2</v>
      </c>
      <c r="M588" t="s">
        <v>1035</v>
      </c>
      <c r="N588">
        <v>63.13</v>
      </c>
    </row>
    <row r="589" spans="1:14" hidden="1" x14ac:dyDescent="0.3">
      <c r="A589" t="s">
        <v>597</v>
      </c>
      <c r="B589" t="s">
        <v>1015</v>
      </c>
      <c r="C589" t="s">
        <v>1020</v>
      </c>
      <c r="D589">
        <v>39</v>
      </c>
      <c r="E589">
        <v>6</v>
      </c>
      <c r="F589" s="3">
        <v>28205</v>
      </c>
      <c r="G589">
        <v>40</v>
      </c>
      <c r="H589">
        <v>3</v>
      </c>
      <c r="I589">
        <v>1</v>
      </c>
      <c r="J589">
        <v>22</v>
      </c>
      <c r="K589">
        <v>2.1</v>
      </c>
      <c r="L589" s="3">
        <v>9</v>
      </c>
      <c r="M589" t="s">
        <v>1034</v>
      </c>
      <c r="N589">
        <v>65.3</v>
      </c>
    </row>
    <row r="590" spans="1:14" hidden="1" x14ac:dyDescent="0.3">
      <c r="A590" t="s">
        <v>598</v>
      </c>
      <c r="B590" t="s">
        <v>1015</v>
      </c>
      <c r="C590" t="s">
        <v>1021</v>
      </c>
      <c r="D590">
        <v>41</v>
      </c>
      <c r="E590">
        <v>10</v>
      </c>
      <c r="F590" s="3">
        <v>85318</v>
      </c>
      <c r="G590">
        <v>37</v>
      </c>
      <c r="H590">
        <v>1</v>
      </c>
      <c r="I590">
        <v>3</v>
      </c>
      <c r="J590">
        <v>26</v>
      </c>
      <c r="K590">
        <v>5</v>
      </c>
      <c r="L590" s="3">
        <v>4.0999999999999996</v>
      </c>
      <c r="M590" t="s">
        <v>1036</v>
      </c>
      <c r="N590">
        <v>41.27</v>
      </c>
    </row>
    <row r="591" spans="1:14" x14ac:dyDescent="0.3">
      <c r="A591" t="s">
        <v>599</v>
      </c>
      <c r="B591" t="s">
        <v>1015</v>
      </c>
      <c r="C591" t="s">
        <v>1021</v>
      </c>
      <c r="D591">
        <v>33</v>
      </c>
      <c r="E591">
        <v>7</v>
      </c>
      <c r="F591" s="3">
        <v>74108</v>
      </c>
      <c r="G591">
        <v>53</v>
      </c>
      <c r="H591">
        <v>6</v>
      </c>
      <c r="I591">
        <v>1</v>
      </c>
      <c r="J591">
        <v>5</v>
      </c>
      <c r="K591">
        <v>4.3</v>
      </c>
      <c r="L591" s="3">
        <v>5.3</v>
      </c>
      <c r="M591" t="s">
        <v>1036</v>
      </c>
      <c r="N591">
        <v>54.7</v>
      </c>
    </row>
    <row r="592" spans="1:14" hidden="1" x14ac:dyDescent="0.3">
      <c r="A592" t="s">
        <v>600</v>
      </c>
      <c r="B592" t="s">
        <v>1014</v>
      </c>
      <c r="C592" t="s">
        <v>1019</v>
      </c>
      <c r="D592">
        <v>49</v>
      </c>
      <c r="E592">
        <v>2</v>
      </c>
      <c r="F592" s="3">
        <v>44191</v>
      </c>
      <c r="G592">
        <v>50</v>
      </c>
      <c r="H592">
        <v>3</v>
      </c>
      <c r="I592">
        <v>3</v>
      </c>
      <c r="J592">
        <v>17</v>
      </c>
      <c r="K592">
        <v>3</v>
      </c>
      <c r="L592" s="3">
        <v>5.9</v>
      </c>
      <c r="M592" t="s">
        <v>1036</v>
      </c>
      <c r="N592">
        <v>49.4</v>
      </c>
    </row>
    <row r="593" spans="1:14" hidden="1" x14ac:dyDescent="0.3">
      <c r="A593" t="s">
        <v>601</v>
      </c>
      <c r="B593" t="s">
        <v>1018</v>
      </c>
      <c r="C593" t="s">
        <v>1027</v>
      </c>
      <c r="D593">
        <v>25</v>
      </c>
      <c r="E593">
        <v>0</v>
      </c>
      <c r="F593" s="3">
        <v>62445</v>
      </c>
      <c r="G593">
        <v>55</v>
      </c>
      <c r="H593">
        <v>9</v>
      </c>
      <c r="I593">
        <v>2</v>
      </c>
      <c r="J593">
        <v>30</v>
      </c>
      <c r="K593">
        <v>4.2</v>
      </c>
      <c r="L593" s="3">
        <v>7.2</v>
      </c>
      <c r="M593" t="s">
        <v>1035</v>
      </c>
      <c r="N593">
        <v>70.8</v>
      </c>
    </row>
    <row r="594" spans="1:14" x14ac:dyDescent="0.3">
      <c r="A594" t="s">
        <v>602</v>
      </c>
      <c r="B594" t="s">
        <v>1016</v>
      </c>
      <c r="C594" t="s">
        <v>1033</v>
      </c>
      <c r="D594">
        <v>49</v>
      </c>
      <c r="E594">
        <v>10</v>
      </c>
      <c r="F594" s="3">
        <v>42017</v>
      </c>
      <c r="G594">
        <v>51</v>
      </c>
      <c r="H594">
        <v>10</v>
      </c>
      <c r="I594">
        <v>19</v>
      </c>
      <c r="J594">
        <v>22</v>
      </c>
      <c r="K594">
        <v>4.8</v>
      </c>
      <c r="L594" s="3">
        <v>7.3</v>
      </c>
      <c r="M594" t="s">
        <v>1035</v>
      </c>
      <c r="N594">
        <v>74.87</v>
      </c>
    </row>
    <row r="595" spans="1:14" hidden="1" x14ac:dyDescent="0.3">
      <c r="A595" t="s">
        <v>603</v>
      </c>
      <c r="B595" t="s">
        <v>1015</v>
      </c>
      <c r="C595" t="s">
        <v>1029</v>
      </c>
      <c r="D595">
        <v>53</v>
      </c>
      <c r="E595">
        <v>15</v>
      </c>
      <c r="F595" s="3">
        <v>77951</v>
      </c>
      <c r="G595">
        <v>40</v>
      </c>
      <c r="H595">
        <v>15</v>
      </c>
      <c r="I595">
        <v>19</v>
      </c>
      <c r="J595">
        <v>14</v>
      </c>
      <c r="K595">
        <v>4.0999999999999996</v>
      </c>
      <c r="L595" s="3">
        <v>9.9</v>
      </c>
      <c r="M595" t="s">
        <v>1034</v>
      </c>
      <c r="N595">
        <v>96.7</v>
      </c>
    </row>
    <row r="596" spans="1:14" hidden="1" x14ac:dyDescent="0.3">
      <c r="A596" t="s">
        <v>604</v>
      </c>
      <c r="B596" t="s">
        <v>1014</v>
      </c>
      <c r="C596" t="s">
        <v>1031</v>
      </c>
      <c r="D596">
        <v>23</v>
      </c>
      <c r="E596">
        <v>1</v>
      </c>
      <c r="F596" s="3">
        <v>65990</v>
      </c>
      <c r="G596">
        <v>38</v>
      </c>
      <c r="H596">
        <v>12</v>
      </c>
      <c r="I596">
        <v>6</v>
      </c>
      <c r="J596">
        <v>39</v>
      </c>
      <c r="K596">
        <v>5</v>
      </c>
      <c r="L596" s="3">
        <v>5.9</v>
      </c>
      <c r="M596" t="s">
        <v>1036</v>
      </c>
      <c r="N596">
        <v>70.400000000000006</v>
      </c>
    </row>
    <row r="597" spans="1:14" hidden="1" x14ac:dyDescent="0.3">
      <c r="A597" t="s">
        <v>605</v>
      </c>
      <c r="B597" t="s">
        <v>1016</v>
      </c>
      <c r="C597" t="s">
        <v>1022</v>
      </c>
      <c r="D597">
        <v>35</v>
      </c>
      <c r="E597">
        <v>0</v>
      </c>
      <c r="F597" s="3">
        <v>66983</v>
      </c>
      <c r="G597">
        <v>41</v>
      </c>
      <c r="H597">
        <v>12</v>
      </c>
      <c r="I597">
        <v>9</v>
      </c>
      <c r="J597">
        <v>16</v>
      </c>
      <c r="K597">
        <v>4.4000000000000004</v>
      </c>
      <c r="L597" s="3">
        <v>5.2</v>
      </c>
      <c r="M597" t="s">
        <v>1036</v>
      </c>
      <c r="N597">
        <v>64.400000000000006</v>
      </c>
    </row>
    <row r="598" spans="1:14" hidden="1" x14ac:dyDescent="0.3">
      <c r="A598" t="s">
        <v>606</v>
      </c>
      <c r="B598" t="s">
        <v>1015</v>
      </c>
      <c r="C598" t="s">
        <v>1029</v>
      </c>
      <c r="D598">
        <v>42</v>
      </c>
      <c r="E598">
        <v>0</v>
      </c>
      <c r="F598" s="3">
        <v>32460</v>
      </c>
      <c r="G598">
        <v>45</v>
      </c>
      <c r="H598">
        <v>6</v>
      </c>
      <c r="I598">
        <v>12</v>
      </c>
      <c r="J598">
        <v>36</v>
      </c>
      <c r="K598">
        <v>3.8</v>
      </c>
      <c r="L598" s="3">
        <v>3.2</v>
      </c>
      <c r="M598" t="s">
        <v>1036</v>
      </c>
      <c r="N598">
        <v>40.6</v>
      </c>
    </row>
    <row r="599" spans="1:14" x14ac:dyDescent="0.3">
      <c r="A599" t="s">
        <v>607</v>
      </c>
      <c r="B599" t="s">
        <v>1018</v>
      </c>
      <c r="C599" t="s">
        <v>1027</v>
      </c>
      <c r="D599">
        <v>43</v>
      </c>
      <c r="E599">
        <v>10</v>
      </c>
      <c r="F599" s="3">
        <v>85442</v>
      </c>
      <c r="G599">
        <v>50</v>
      </c>
      <c r="H599">
        <v>15</v>
      </c>
      <c r="I599">
        <v>15</v>
      </c>
      <c r="J599">
        <v>2</v>
      </c>
      <c r="K599">
        <v>3.9</v>
      </c>
      <c r="L599" s="3">
        <v>6.4</v>
      </c>
      <c r="M599" t="s">
        <v>1035</v>
      </c>
      <c r="N599">
        <v>75.099999999999994</v>
      </c>
    </row>
    <row r="600" spans="1:14" x14ac:dyDescent="0.3">
      <c r="A600" t="s">
        <v>608</v>
      </c>
      <c r="B600" t="s">
        <v>1017</v>
      </c>
      <c r="C600" t="s">
        <v>1024</v>
      </c>
      <c r="D600">
        <v>43</v>
      </c>
      <c r="E600">
        <v>14</v>
      </c>
      <c r="F600" s="3">
        <v>76379</v>
      </c>
      <c r="G600">
        <v>48</v>
      </c>
      <c r="H600">
        <v>15</v>
      </c>
      <c r="I600">
        <v>23</v>
      </c>
      <c r="J600">
        <v>3</v>
      </c>
      <c r="K600">
        <v>4.5</v>
      </c>
      <c r="L600" s="3">
        <v>5.0999999999999996</v>
      </c>
      <c r="M600" t="s">
        <v>1036</v>
      </c>
      <c r="N600">
        <v>69.099999999999994</v>
      </c>
    </row>
    <row r="601" spans="1:14" hidden="1" x14ac:dyDescent="0.3">
      <c r="A601" t="s">
        <v>609</v>
      </c>
      <c r="B601" t="s">
        <v>1016</v>
      </c>
      <c r="C601" t="s">
        <v>1023</v>
      </c>
      <c r="D601">
        <v>23</v>
      </c>
      <c r="E601">
        <v>0</v>
      </c>
      <c r="F601" s="3">
        <v>62840</v>
      </c>
      <c r="G601">
        <v>45</v>
      </c>
      <c r="H601">
        <v>13</v>
      </c>
      <c r="I601">
        <v>25</v>
      </c>
      <c r="J601">
        <v>22</v>
      </c>
      <c r="K601">
        <v>2.2000000000000002</v>
      </c>
      <c r="L601" s="3">
        <v>4</v>
      </c>
      <c r="M601" t="s">
        <v>1036</v>
      </c>
      <c r="N601">
        <v>52.27</v>
      </c>
    </row>
    <row r="602" spans="1:14" hidden="1" x14ac:dyDescent="0.3">
      <c r="A602" t="s">
        <v>610</v>
      </c>
      <c r="B602" t="s">
        <v>1016</v>
      </c>
      <c r="C602" t="s">
        <v>1033</v>
      </c>
      <c r="D602">
        <v>46</v>
      </c>
      <c r="E602">
        <v>5</v>
      </c>
      <c r="F602" s="3">
        <v>62419</v>
      </c>
      <c r="G602">
        <v>54</v>
      </c>
      <c r="H602">
        <v>7</v>
      </c>
      <c r="I602">
        <v>5</v>
      </c>
      <c r="J602">
        <v>38</v>
      </c>
      <c r="K602">
        <v>2.4</v>
      </c>
      <c r="L602" s="3">
        <v>8.5</v>
      </c>
      <c r="M602" t="s">
        <v>1034</v>
      </c>
      <c r="N602">
        <v>69.87</v>
      </c>
    </row>
    <row r="603" spans="1:14" hidden="1" x14ac:dyDescent="0.3">
      <c r="A603" t="s">
        <v>611</v>
      </c>
      <c r="B603" t="s">
        <v>1016</v>
      </c>
      <c r="C603" t="s">
        <v>1023</v>
      </c>
      <c r="D603">
        <v>24</v>
      </c>
      <c r="E603">
        <v>2</v>
      </c>
      <c r="F603" s="3">
        <v>52123</v>
      </c>
      <c r="G603">
        <v>37</v>
      </c>
      <c r="H603">
        <v>8</v>
      </c>
      <c r="I603">
        <v>7</v>
      </c>
      <c r="J603">
        <v>23</v>
      </c>
      <c r="K603">
        <v>3.4</v>
      </c>
      <c r="L603" s="3">
        <v>9.6999999999999993</v>
      </c>
      <c r="M603" t="s">
        <v>1034</v>
      </c>
      <c r="N603">
        <v>81.73</v>
      </c>
    </row>
    <row r="604" spans="1:14" hidden="1" x14ac:dyDescent="0.3">
      <c r="A604" t="s">
        <v>612</v>
      </c>
      <c r="B604" t="s">
        <v>1015</v>
      </c>
      <c r="C604" t="s">
        <v>1029</v>
      </c>
      <c r="D604">
        <v>41</v>
      </c>
      <c r="E604">
        <v>5</v>
      </c>
      <c r="F604" s="3">
        <v>32355</v>
      </c>
      <c r="G604">
        <v>46</v>
      </c>
      <c r="H604">
        <v>13</v>
      </c>
      <c r="I604">
        <v>1</v>
      </c>
      <c r="J604">
        <v>12</v>
      </c>
      <c r="K604">
        <v>4.7</v>
      </c>
      <c r="L604" s="3">
        <v>6.1</v>
      </c>
      <c r="M604" t="s">
        <v>1035</v>
      </c>
      <c r="N604">
        <v>72.37</v>
      </c>
    </row>
    <row r="605" spans="1:14" hidden="1" x14ac:dyDescent="0.3">
      <c r="A605" t="s">
        <v>613</v>
      </c>
      <c r="B605" t="s">
        <v>1017</v>
      </c>
      <c r="C605" t="s">
        <v>1030</v>
      </c>
      <c r="D605">
        <v>54</v>
      </c>
      <c r="E605">
        <v>4</v>
      </c>
      <c r="F605" s="3">
        <v>37465</v>
      </c>
      <c r="G605">
        <v>45</v>
      </c>
      <c r="H605">
        <v>15</v>
      </c>
      <c r="I605">
        <v>15</v>
      </c>
      <c r="J605">
        <v>33</v>
      </c>
      <c r="K605">
        <v>2.9</v>
      </c>
      <c r="L605" s="3">
        <v>5.3</v>
      </c>
      <c r="M605" t="s">
        <v>1036</v>
      </c>
      <c r="N605">
        <v>65.5</v>
      </c>
    </row>
    <row r="606" spans="1:14" hidden="1" x14ac:dyDescent="0.3">
      <c r="A606" t="s">
        <v>614</v>
      </c>
      <c r="B606" t="s">
        <v>1015</v>
      </c>
      <c r="C606" t="s">
        <v>1029</v>
      </c>
      <c r="D606">
        <v>30</v>
      </c>
      <c r="E606">
        <v>3</v>
      </c>
      <c r="F606" s="3">
        <v>72485</v>
      </c>
      <c r="G606">
        <v>36</v>
      </c>
      <c r="H606">
        <v>8</v>
      </c>
      <c r="I606">
        <v>12</v>
      </c>
      <c r="J606">
        <v>33</v>
      </c>
      <c r="K606">
        <v>2.2999999999999998</v>
      </c>
      <c r="L606" s="3">
        <v>5.2</v>
      </c>
      <c r="M606" t="s">
        <v>1036</v>
      </c>
      <c r="N606">
        <v>51.43</v>
      </c>
    </row>
    <row r="607" spans="1:14" hidden="1" x14ac:dyDescent="0.3">
      <c r="A607" t="s">
        <v>615</v>
      </c>
      <c r="B607" t="s">
        <v>1015</v>
      </c>
      <c r="C607" t="s">
        <v>1020</v>
      </c>
      <c r="D607">
        <v>27</v>
      </c>
      <c r="E607">
        <v>2</v>
      </c>
      <c r="F607" s="3">
        <v>55597</v>
      </c>
      <c r="G607">
        <v>36</v>
      </c>
      <c r="H607">
        <v>2</v>
      </c>
      <c r="I607">
        <v>16</v>
      </c>
      <c r="J607">
        <v>19</v>
      </c>
      <c r="K607">
        <v>2.1</v>
      </c>
      <c r="L607" s="3">
        <v>8.3000000000000007</v>
      </c>
      <c r="M607" t="s">
        <v>1034</v>
      </c>
      <c r="N607">
        <v>59.43</v>
      </c>
    </row>
    <row r="608" spans="1:14" x14ac:dyDescent="0.3">
      <c r="A608" t="s">
        <v>616</v>
      </c>
      <c r="B608" t="s">
        <v>1018</v>
      </c>
      <c r="C608" t="s">
        <v>1032</v>
      </c>
      <c r="D608">
        <v>42</v>
      </c>
      <c r="E608">
        <v>6</v>
      </c>
      <c r="F608" s="3">
        <v>37618</v>
      </c>
      <c r="G608">
        <v>44</v>
      </c>
      <c r="H608">
        <v>5</v>
      </c>
      <c r="I608">
        <v>17</v>
      </c>
      <c r="J608">
        <v>20</v>
      </c>
      <c r="K608">
        <v>4.3</v>
      </c>
      <c r="L608" s="3">
        <v>7.7</v>
      </c>
      <c r="M608" t="s">
        <v>1035</v>
      </c>
      <c r="N608">
        <v>67.430000000000007</v>
      </c>
    </row>
    <row r="609" spans="1:14" hidden="1" x14ac:dyDescent="0.3">
      <c r="A609" t="s">
        <v>617</v>
      </c>
      <c r="B609" t="s">
        <v>1018</v>
      </c>
      <c r="C609" t="s">
        <v>1027</v>
      </c>
      <c r="D609">
        <v>32</v>
      </c>
      <c r="E609">
        <v>4</v>
      </c>
      <c r="F609" s="3">
        <v>32501</v>
      </c>
      <c r="G609">
        <v>35</v>
      </c>
      <c r="H609">
        <v>10</v>
      </c>
      <c r="I609">
        <v>17</v>
      </c>
      <c r="J609">
        <v>32</v>
      </c>
      <c r="K609">
        <v>2.2999999999999998</v>
      </c>
      <c r="L609" s="3">
        <v>6.8</v>
      </c>
      <c r="M609" t="s">
        <v>1035</v>
      </c>
      <c r="N609">
        <v>64.37</v>
      </c>
    </row>
    <row r="610" spans="1:14" hidden="1" x14ac:dyDescent="0.3">
      <c r="A610" t="s">
        <v>618</v>
      </c>
      <c r="B610" t="s">
        <v>1016</v>
      </c>
      <c r="C610" t="s">
        <v>1033</v>
      </c>
      <c r="D610">
        <v>39</v>
      </c>
      <c r="E610">
        <v>4</v>
      </c>
      <c r="F610" s="3">
        <v>86818</v>
      </c>
      <c r="G610">
        <v>44</v>
      </c>
      <c r="H610">
        <v>10</v>
      </c>
      <c r="I610">
        <v>7</v>
      </c>
      <c r="J610">
        <v>10</v>
      </c>
      <c r="K610">
        <v>2.2000000000000002</v>
      </c>
      <c r="L610" s="3">
        <v>7.3</v>
      </c>
      <c r="M610" t="s">
        <v>1035</v>
      </c>
      <c r="N610">
        <v>67.069999999999993</v>
      </c>
    </row>
    <row r="611" spans="1:14" hidden="1" x14ac:dyDescent="0.3">
      <c r="A611" t="s">
        <v>619</v>
      </c>
      <c r="B611" t="s">
        <v>1015</v>
      </c>
      <c r="C611" t="s">
        <v>1021</v>
      </c>
      <c r="D611">
        <v>50</v>
      </c>
      <c r="E611">
        <v>1</v>
      </c>
      <c r="F611" s="3">
        <v>33524</v>
      </c>
      <c r="G611">
        <v>35</v>
      </c>
      <c r="H611">
        <v>8</v>
      </c>
      <c r="I611">
        <v>21</v>
      </c>
      <c r="J611">
        <v>3</v>
      </c>
      <c r="K611">
        <v>2.2999999999999998</v>
      </c>
      <c r="L611" s="3">
        <v>3.4</v>
      </c>
      <c r="M611" t="s">
        <v>1036</v>
      </c>
      <c r="N611">
        <v>40.630000000000003</v>
      </c>
    </row>
    <row r="612" spans="1:14" x14ac:dyDescent="0.3">
      <c r="A612" t="s">
        <v>620</v>
      </c>
      <c r="B612" t="s">
        <v>1017</v>
      </c>
      <c r="C612" t="s">
        <v>1030</v>
      </c>
      <c r="D612">
        <v>33</v>
      </c>
      <c r="E612">
        <v>11</v>
      </c>
      <c r="F612" s="3">
        <v>64067</v>
      </c>
      <c r="G612">
        <v>53</v>
      </c>
      <c r="H612">
        <v>11</v>
      </c>
      <c r="I612">
        <v>22</v>
      </c>
      <c r="J612">
        <v>28</v>
      </c>
      <c r="K612">
        <v>3.8</v>
      </c>
      <c r="L612" s="3">
        <v>5.2</v>
      </c>
      <c r="M612" t="s">
        <v>1036</v>
      </c>
      <c r="N612">
        <v>60.93</v>
      </c>
    </row>
    <row r="613" spans="1:14" x14ac:dyDescent="0.3">
      <c r="A613" t="s">
        <v>621</v>
      </c>
      <c r="B613" t="s">
        <v>1015</v>
      </c>
      <c r="C613" t="s">
        <v>1021</v>
      </c>
      <c r="D613">
        <v>27</v>
      </c>
      <c r="E613">
        <v>6</v>
      </c>
      <c r="F613" s="3">
        <v>75097</v>
      </c>
      <c r="G613">
        <v>49</v>
      </c>
      <c r="H613">
        <v>10</v>
      </c>
      <c r="I613">
        <v>4</v>
      </c>
      <c r="J613">
        <v>5</v>
      </c>
      <c r="K613">
        <v>4.4000000000000004</v>
      </c>
      <c r="L613" s="3">
        <v>9.4</v>
      </c>
      <c r="M613" t="s">
        <v>1034</v>
      </c>
      <c r="N613">
        <v>86.27</v>
      </c>
    </row>
    <row r="614" spans="1:14" x14ac:dyDescent="0.3">
      <c r="A614" t="s">
        <v>622</v>
      </c>
      <c r="B614" t="s">
        <v>1014</v>
      </c>
      <c r="C614" t="s">
        <v>1019</v>
      </c>
      <c r="D614">
        <v>51</v>
      </c>
      <c r="E614">
        <v>9</v>
      </c>
      <c r="F614" s="3">
        <v>69857</v>
      </c>
      <c r="G614">
        <v>55</v>
      </c>
      <c r="H614">
        <v>12</v>
      </c>
      <c r="I614">
        <v>24</v>
      </c>
      <c r="J614">
        <v>29</v>
      </c>
      <c r="K614">
        <v>3.4</v>
      </c>
      <c r="L614" s="3">
        <v>9.6</v>
      </c>
      <c r="M614" t="s">
        <v>1034</v>
      </c>
      <c r="N614">
        <v>87.8</v>
      </c>
    </row>
    <row r="615" spans="1:14" hidden="1" x14ac:dyDescent="0.3">
      <c r="A615" t="s">
        <v>623</v>
      </c>
      <c r="B615" t="s">
        <v>1015</v>
      </c>
      <c r="C615" t="s">
        <v>1021</v>
      </c>
      <c r="D615">
        <v>38</v>
      </c>
      <c r="E615">
        <v>11</v>
      </c>
      <c r="F615" s="3">
        <v>50695</v>
      </c>
      <c r="G615">
        <v>40</v>
      </c>
      <c r="H615">
        <v>12</v>
      </c>
      <c r="I615">
        <v>21</v>
      </c>
      <c r="J615">
        <v>21</v>
      </c>
      <c r="K615">
        <v>4.4000000000000004</v>
      </c>
      <c r="L615" s="3">
        <v>9.1999999999999993</v>
      </c>
      <c r="M615" t="s">
        <v>1034</v>
      </c>
      <c r="N615">
        <v>88.4</v>
      </c>
    </row>
    <row r="616" spans="1:14" hidden="1" x14ac:dyDescent="0.3">
      <c r="A616" t="s">
        <v>624</v>
      </c>
      <c r="B616" t="s">
        <v>1017</v>
      </c>
      <c r="C616" t="s">
        <v>1026</v>
      </c>
      <c r="D616">
        <v>23</v>
      </c>
      <c r="E616">
        <v>0</v>
      </c>
      <c r="F616" s="3">
        <v>56151</v>
      </c>
      <c r="G616">
        <v>38</v>
      </c>
      <c r="H616">
        <v>6</v>
      </c>
      <c r="I616">
        <v>15</v>
      </c>
      <c r="J616">
        <v>29</v>
      </c>
      <c r="K616">
        <v>4.5</v>
      </c>
      <c r="L616" s="3">
        <v>5</v>
      </c>
      <c r="M616" t="s">
        <v>1036</v>
      </c>
      <c r="N616">
        <v>53.5</v>
      </c>
    </row>
    <row r="617" spans="1:14" x14ac:dyDescent="0.3">
      <c r="A617" t="s">
        <v>625</v>
      </c>
      <c r="B617" t="s">
        <v>1015</v>
      </c>
      <c r="C617" t="s">
        <v>1021</v>
      </c>
      <c r="D617">
        <v>30</v>
      </c>
      <c r="E617">
        <v>8</v>
      </c>
      <c r="F617" s="3">
        <v>31745</v>
      </c>
      <c r="G617">
        <v>47</v>
      </c>
      <c r="H617">
        <v>14</v>
      </c>
      <c r="I617">
        <v>22</v>
      </c>
      <c r="J617">
        <v>6</v>
      </c>
      <c r="K617">
        <v>3</v>
      </c>
      <c r="L617" s="3">
        <v>7.5</v>
      </c>
      <c r="M617" t="s">
        <v>1035</v>
      </c>
      <c r="N617">
        <v>77.33</v>
      </c>
    </row>
    <row r="618" spans="1:14" x14ac:dyDescent="0.3">
      <c r="A618" t="s">
        <v>626</v>
      </c>
      <c r="B618" t="s">
        <v>1015</v>
      </c>
      <c r="C618" t="s">
        <v>1021</v>
      </c>
      <c r="D618">
        <v>51</v>
      </c>
      <c r="E618">
        <v>12</v>
      </c>
      <c r="F618" s="3">
        <v>63701</v>
      </c>
      <c r="G618">
        <v>48</v>
      </c>
      <c r="H618">
        <v>4</v>
      </c>
      <c r="I618">
        <v>19</v>
      </c>
      <c r="J618">
        <v>15</v>
      </c>
      <c r="K618">
        <v>3.6</v>
      </c>
      <c r="L618" s="3">
        <v>9.8000000000000007</v>
      </c>
      <c r="M618" t="s">
        <v>1034</v>
      </c>
      <c r="N618">
        <v>76.27</v>
      </c>
    </row>
    <row r="619" spans="1:14" x14ac:dyDescent="0.3">
      <c r="A619" t="s">
        <v>627</v>
      </c>
      <c r="B619" t="s">
        <v>1014</v>
      </c>
      <c r="C619" t="s">
        <v>1025</v>
      </c>
      <c r="D619">
        <v>43</v>
      </c>
      <c r="E619">
        <v>6</v>
      </c>
      <c r="F619" s="3">
        <v>78340</v>
      </c>
      <c r="G619">
        <v>53</v>
      </c>
      <c r="H619">
        <v>7</v>
      </c>
      <c r="I619">
        <v>25</v>
      </c>
      <c r="J619">
        <v>27</v>
      </c>
      <c r="K619">
        <v>3.7</v>
      </c>
      <c r="L619" s="3">
        <v>5.4</v>
      </c>
      <c r="M619" t="s">
        <v>1036</v>
      </c>
      <c r="N619">
        <v>55.17</v>
      </c>
    </row>
    <row r="620" spans="1:14" hidden="1" x14ac:dyDescent="0.3">
      <c r="A620" t="s">
        <v>628</v>
      </c>
      <c r="B620" t="s">
        <v>1018</v>
      </c>
      <c r="C620" t="s">
        <v>1027</v>
      </c>
      <c r="D620">
        <v>33</v>
      </c>
      <c r="E620">
        <v>10</v>
      </c>
      <c r="F620" s="3">
        <v>68883</v>
      </c>
      <c r="G620">
        <v>37</v>
      </c>
      <c r="H620">
        <v>12</v>
      </c>
      <c r="I620">
        <v>22</v>
      </c>
      <c r="J620">
        <v>36</v>
      </c>
      <c r="K620">
        <v>4.5</v>
      </c>
      <c r="L620" s="3">
        <v>3.8</v>
      </c>
      <c r="M620" t="s">
        <v>1036</v>
      </c>
      <c r="N620">
        <v>56.3</v>
      </c>
    </row>
    <row r="621" spans="1:14" hidden="1" x14ac:dyDescent="0.3">
      <c r="A621" t="s">
        <v>629</v>
      </c>
      <c r="B621" t="s">
        <v>1017</v>
      </c>
      <c r="C621" t="s">
        <v>1024</v>
      </c>
      <c r="D621">
        <v>42</v>
      </c>
      <c r="E621">
        <v>3</v>
      </c>
      <c r="F621" s="3">
        <v>78872</v>
      </c>
      <c r="G621">
        <v>49</v>
      </c>
      <c r="H621">
        <v>3</v>
      </c>
      <c r="I621">
        <v>9</v>
      </c>
      <c r="J621">
        <v>25</v>
      </c>
      <c r="K621">
        <v>2.2000000000000002</v>
      </c>
      <c r="L621" s="3">
        <v>3.8</v>
      </c>
      <c r="M621" t="s">
        <v>1036</v>
      </c>
      <c r="N621">
        <v>34.4</v>
      </c>
    </row>
    <row r="622" spans="1:14" hidden="1" x14ac:dyDescent="0.3">
      <c r="A622" t="s">
        <v>630</v>
      </c>
      <c r="B622" t="s">
        <v>1017</v>
      </c>
      <c r="C622" t="s">
        <v>1024</v>
      </c>
      <c r="D622">
        <v>42</v>
      </c>
      <c r="E622">
        <v>15</v>
      </c>
      <c r="F622" s="3">
        <v>67270</v>
      </c>
      <c r="G622">
        <v>36</v>
      </c>
      <c r="H622">
        <v>2</v>
      </c>
      <c r="I622">
        <v>6</v>
      </c>
      <c r="J622">
        <v>8</v>
      </c>
      <c r="K622">
        <v>4.7</v>
      </c>
      <c r="L622" s="3">
        <v>9.3000000000000007</v>
      </c>
      <c r="M622" t="s">
        <v>1034</v>
      </c>
      <c r="N622">
        <v>73.23</v>
      </c>
    </row>
    <row r="623" spans="1:14" x14ac:dyDescent="0.3">
      <c r="A623" t="s">
        <v>631</v>
      </c>
      <c r="B623" t="s">
        <v>1014</v>
      </c>
      <c r="C623" t="s">
        <v>1019</v>
      </c>
      <c r="D623">
        <v>31</v>
      </c>
      <c r="E623">
        <v>10</v>
      </c>
      <c r="F623" s="3">
        <v>34779</v>
      </c>
      <c r="G623">
        <v>49</v>
      </c>
      <c r="H623">
        <v>9</v>
      </c>
      <c r="I623">
        <v>9</v>
      </c>
      <c r="J623">
        <v>24</v>
      </c>
      <c r="K623">
        <v>3.8</v>
      </c>
      <c r="L623" s="3">
        <v>6.1</v>
      </c>
      <c r="M623" t="s">
        <v>1035</v>
      </c>
      <c r="N623">
        <v>63</v>
      </c>
    </row>
    <row r="624" spans="1:14" x14ac:dyDescent="0.3">
      <c r="A624" t="s">
        <v>632</v>
      </c>
      <c r="B624" t="s">
        <v>1016</v>
      </c>
      <c r="C624" t="s">
        <v>1022</v>
      </c>
      <c r="D624">
        <v>41</v>
      </c>
      <c r="E624">
        <v>9</v>
      </c>
      <c r="F624" s="3">
        <v>85194</v>
      </c>
      <c r="G624">
        <v>48</v>
      </c>
      <c r="H624">
        <v>12</v>
      </c>
      <c r="I624">
        <v>11</v>
      </c>
      <c r="J624">
        <v>5</v>
      </c>
      <c r="K624">
        <v>3.7</v>
      </c>
      <c r="L624" s="3">
        <v>7.3</v>
      </c>
      <c r="M624" t="s">
        <v>1035</v>
      </c>
      <c r="N624">
        <v>74.900000000000006</v>
      </c>
    </row>
    <row r="625" spans="1:14" hidden="1" x14ac:dyDescent="0.3">
      <c r="A625" t="s">
        <v>633</v>
      </c>
      <c r="B625" t="s">
        <v>1017</v>
      </c>
      <c r="C625" t="s">
        <v>1026</v>
      </c>
      <c r="D625">
        <v>30</v>
      </c>
      <c r="E625">
        <v>4</v>
      </c>
      <c r="F625" s="3">
        <v>29090</v>
      </c>
      <c r="G625">
        <v>46</v>
      </c>
      <c r="H625">
        <v>15</v>
      </c>
      <c r="I625">
        <v>17</v>
      </c>
      <c r="J625">
        <v>3</v>
      </c>
      <c r="K625">
        <v>2</v>
      </c>
      <c r="L625" s="3">
        <v>6.9</v>
      </c>
      <c r="M625" t="s">
        <v>1035</v>
      </c>
      <c r="N625">
        <v>72.400000000000006</v>
      </c>
    </row>
    <row r="626" spans="1:14" hidden="1" x14ac:dyDescent="0.3">
      <c r="A626" t="s">
        <v>634</v>
      </c>
      <c r="B626" t="s">
        <v>1014</v>
      </c>
      <c r="C626" t="s">
        <v>1031</v>
      </c>
      <c r="D626">
        <v>40</v>
      </c>
      <c r="E626">
        <v>0</v>
      </c>
      <c r="F626" s="3">
        <v>40416</v>
      </c>
      <c r="G626">
        <v>48</v>
      </c>
      <c r="H626">
        <v>12</v>
      </c>
      <c r="I626">
        <v>18</v>
      </c>
      <c r="J626">
        <v>25</v>
      </c>
      <c r="K626">
        <v>3.9</v>
      </c>
      <c r="L626" s="3">
        <v>8</v>
      </c>
      <c r="M626" t="s">
        <v>1034</v>
      </c>
      <c r="N626">
        <v>79.7</v>
      </c>
    </row>
    <row r="627" spans="1:14" hidden="1" x14ac:dyDescent="0.3">
      <c r="A627" t="s">
        <v>635</v>
      </c>
      <c r="B627" t="s">
        <v>1017</v>
      </c>
      <c r="C627" t="s">
        <v>1026</v>
      </c>
      <c r="D627">
        <v>49</v>
      </c>
      <c r="E627">
        <v>6</v>
      </c>
      <c r="F627" s="3">
        <v>68416</v>
      </c>
      <c r="G627">
        <v>40</v>
      </c>
      <c r="H627">
        <v>8</v>
      </c>
      <c r="I627">
        <v>4</v>
      </c>
      <c r="J627">
        <v>12</v>
      </c>
      <c r="K627">
        <v>3.7</v>
      </c>
      <c r="L627" s="3">
        <v>8.9</v>
      </c>
      <c r="M627" t="s">
        <v>1034</v>
      </c>
      <c r="N627">
        <v>77.83</v>
      </c>
    </row>
    <row r="628" spans="1:14" hidden="1" x14ac:dyDescent="0.3">
      <c r="A628" t="s">
        <v>636</v>
      </c>
      <c r="B628" t="s">
        <v>1017</v>
      </c>
      <c r="C628" t="s">
        <v>1026</v>
      </c>
      <c r="D628">
        <v>31</v>
      </c>
      <c r="E628">
        <v>4</v>
      </c>
      <c r="F628" s="3">
        <v>82195</v>
      </c>
      <c r="G628">
        <v>39</v>
      </c>
      <c r="H628">
        <v>3</v>
      </c>
      <c r="I628">
        <v>0</v>
      </c>
      <c r="J628">
        <v>4</v>
      </c>
      <c r="K628">
        <v>3.9</v>
      </c>
      <c r="L628" s="3">
        <v>4</v>
      </c>
      <c r="M628" t="s">
        <v>1036</v>
      </c>
      <c r="N628">
        <v>40.700000000000003</v>
      </c>
    </row>
    <row r="629" spans="1:14" hidden="1" x14ac:dyDescent="0.3">
      <c r="A629" t="s">
        <v>637</v>
      </c>
      <c r="B629" t="s">
        <v>1017</v>
      </c>
      <c r="C629" t="s">
        <v>1026</v>
      </c>
      <c r="D629">
        <v>30</v>
      </c>
      <c r="E629">
        <v>1</v>
      </c>
      <c r="F629" s="3">
        <v>33992</v>
      </c>
      <c r="G629">
        <v>55</v>
      </c>
      <c r="H629">
        <v>13</v>
      </c>
      <c r="I629">
        <v>13</v>
      </c>
      <c r="J629">
        <v>29</v>
      </c>
      <c r="K629">
        <v>4.7</v>
      </c>
      <c r="L629" s="3">
        <v>7.9</v>
      </c>
      <c r="M629" t="s">
        <v>1035</v>
      </c>
      <c r="N629">
        <v>83.17</v>
      </c>
    </row>
    <row r="630" spans="1:14" x14ac:dyDescent="0.3">
      <c r="A630" t="s">
        <v>638</v>
      </c>
      <c r="B630" t="s">
        <v>1015</v>
      </c>
      <c r="C630" t="s">
        <v>1020</v>
      </c>
      <c r="D630">
        <v>33</v>
      </c>
      <c r="E630">
        <v>7</v>
      </c>
      <c r="F630" s="3">
        <v>58385</v>
      </c>
      <c r="G630">
        <v>48</v>
      </c>
      <c r="H630">
        <v>9</v>
      </c>
      <c r="I630">
        <v>14</v>
      </c>
      <c r="J630">
        <v>24</v>
      </c>
      <c r="K630">
        <v>3.1</v>
      </c>
      <c r="L630" s="3">
        <v>4.3</v>
      </c>
      <c r="M630" t="s">
        <v>1036</v>
      </c>
      <c r="N630">
        <v>50.1</v>
      </c>
    </row>
    <row r="631" spans="1:14" x14ac:dyDescent="0.3">
      <c r="A631" t="s">
        <v>639</v>
      </c>
      <c r="B631" t="s">
        <v>1014</v>
      </c>
      <c r="C631" t="s">
        <v>1019</v>
      </c>
      <c r="D631">
        <v>53</v>
      </c>
      <c r="E631">
        <v>7</v>
      </c>
      <c r="F631" s="3">
        <v>71670</v>
      </c>
      <c r="G631">
        <v>51</v>
      </c>
      <c r="H631">
        <v>5</v>
      </c>
      <c r="I631">
        <v>13</v>
      </c>
      <c r="J631">
        <v>34</v>
      </c>
      <c r="K631">
        <v>3.7</v>
      </c>
      <c r="L631" s="3">
        <v>3.2</v>
      </c>
      <c r="M631" t="s">
        <v>1036</v>
      </c>
      <c r="N631">
        <v>38.630000000000003</v>
      </c>
    </row>
    <row r="632" spans="1:14" x14ac:dyDescent="0.3">
      <c r="A632" t="s">
        <v>640</v>
      </c>
      <c r="B632" t="s">
        <v>1015</v>
      </c>
      <c r="C632" t="s">
        <v>1021</v>
      </c>
      <c r="D632">
        <v>52</v>
      </c>
      <c r="E632">
        <v>11</v>
      </c>
      <c r="F632" s="3">
        <v>32416</v>
      </c>
      <c r="G632">
        <v>53</v>
      </c>
      <c r="H632">
        <v>8</v>
      </c>
      <c r="I632">
        <v>22</v>
      </c>
      <c r="J632">
        <v>5</v>
      </c>
      <c r="K632">
        <v>2.4</v>
      </c>
      <c r="L632" s="3">
        <v>8.1</v>
      </c>
      <c r="M632" t="s">
        <v>1034</v>
      </c>
      <c r="N632">
        <v>69.13</v>
      </c>
    </row>
    <row r="633" spans="1:14" hidden="1" x14ac:dyDescent="0.3">
      <c r="A633" t="s">
        <v>641</v>
      </c>
      <c r="B633" t="s">
        <v>1017</v>
      </c>
      <c r="C633" t="s">
        <v>1024</v>
      </c>
      <c r="D633">
        <v>55</v>
      </c>
      <c r="E633">
        <v>2</v>
      </c>
      <c r="F633" s="3">
        <v>59298</v>
      </c>
      <c r="G633">
        <v>54</v>
      </c>
      <c r="H633">
        <v>2</v>
      </c>
      <c r="I633">
        <v>7</v>
      </c>
      <c r="J633">
        <v>30</v>
      </c>
      <c r="K633">
        <v>3.9</v>
      </c>
      <c r="L633" s="3">
        <v>7.6</v>
      </c>
      <c r="M633" t="s">
        <v>1035</v>
      </c>
      <c r="N633">
        <v>60.63</v>
      </c>
    </row>
    <row r="634" spans="1:14" hidden="1" x14ac:dyDescent="0.3">
      <c r="A634" t="s">
        <v>642</v>
      </c>
      <c r="B634" t="s">
        <v>1014</v>
      </c>
      <c r="C634" t="s">
        <v>1031</v>
      </c>
      <c r="D634">
        <v>41</v>
      </c>
      <c r="E634">
        <v>1</v>
      </c>
      <c r="F634" s="3">
        <v>84217</v>
      </c>
      <c r="G634">
        <v>45</v>
      </c>
      <c r="H634">
        <v>9</v>
      </c>
      <c r="I634">
        <v>24</v>
      </c>
      <c r="J634">
        <v>0</v>
      </c>
      <c r="K634">
        <v>3.4</v>
      </c>
      <c r="L634" s="3">
        <v>6.6</v>
      </c>
      <c r="M634" t="s">
        <v>1035</v>
      </c>
      <c r="N634">
        <v>64.8</v>
      </c>
    </row>
    <row r="635" spans="1:14" x14ac:dyDescent="0.3">
      <c r="A635" t="s">
        <v>643</v>
      </c>
      <c r="B635" t="s">
        <v>1015</v>
      </c>
      <c r="C635" t="s">
        <v>1021</v>
      </c>
      <c r="D635">
        <v>43</v>
      </c>
      <c r="E635">
        <v>13</v>
      </c>
      <c r="F635" s="3">
        <v>48128</v>
      </c>
      <c r="G635">
        <v>44</v>
      </c>
      <c r="H635">
        <v>5</v>
      </c>
      <c r="I635">
        <v>5</v>
      </c>
      <c r="J635">
        <v>2</v>
      </c>
      <c r="K635">
        <v>4.0999999999999996</v>
      </c>
      <c r="L635" s="3">
        <v>7.2</v>
      </c>
      <c r="M635" t="s">
        <v>1035</v>
      </c>
      <c r="N635">
        <v>63.83</v>
      </c>
    </row>
    <row r="636" spans="1:14" hidden="1" x14ac:dyDescent="0.3">
      <c r="A636" t="s">
        <v>644</v>
      </c>
      <c r="B636" t="s">
        <v>1015</v>
      </c>
      <c r="C636" t="s">
        <v>1020</v>
      </c>
      <c r="D636">
        <v>38</v>
      </c>
      <c r="E636">
        <v>1</v>
      </c>
      <c r="F636" s="3">
        <v>66241</v>
      </c>
      <c r="G636">
        <v>50</v>
      </c>
      <c r="H636">
        <v>10</v>
      </c>
      <c r="I636">
        <v>5</v>
      </c>
      <c r="J636">
        <v>36</v>
      </c>
      <c r="K636">
        <v>2.2000000000000002</v>
      </c>
      <c r="L636" s="3">
        <v>9.9</v>
      </c>
      <c r="M636" t="s">
        <v>1034</v>
      </c>
      <c r="N636">
        <v>82.67</v>
      </c>
    </row>
    <row r="637" spans="1:14" hidden="1" x14ac:dyDescent="0.3">
      <c r="A637" t="s">
        <v>645</v>
      </c>
      <c r="B637" t="s">
        <v>1015</v>
      </c>
      <c r="C637" t="s">
        <v>1029</v>
      </c>
      <c r="D637">
        <v>23</v>
      </c>
      <c r="E637">
        <v>1</v>
      </c>
      <c r="F637" s="3">
        <v>56769</v>
      </c>
      <c r="G637">
        <v>37</v>
      </c>
      <c r="H637">
        <v>3</v>
      </c>
      <c r="I637">
        <v>16</v>
      </c>
      <c r="J637">
        <v>4</v>
      </c>
      <c r="K637">
        <v>4.5999999999999996</v>
      </c>
      <c r="L637" s="3">
        <v>4.9000000000000004</v>
      </c>
      <c r="M637" t="s">
        <v>1036</v>
      </c>
      <c r="N637">
        <v>48.2</v>
      </c>
    </row>
    <row r="638" spans="1:14" x14ac:dyDescent="0.3">
      <c r="A638" t="s">
        <v>646</v>
      </c>
      <c r="B638" t="s">
        <v>1015</v>
      </c>
      <c r="C638" t="s">
        <v>1020</v>
      </c>
      <c r="D638">
        <v>39</v>
      </c>
      <c r="E638">
        <v>8</v>
      </c>
      <c r="F638" s="3">
        <v>81220</v>
      </c>
      <c r="G638">
        <v>43</v>
      </c>
      <c r="H638">
        <v>1</v>
      </c>
      <c r="I638">
        <v>23</v>
      </c>
      <c r="J638">
        <v>7</v>
      </c>
      <c r="K638">
        <v>3.8</v>
      </c>
      <c r="L638" s="3">
        <v>9.4</v>
      </c>
      <c r="M638" t="s">
        <v>1034</v>
      </c>
      <c r="N638">
        <v>69.47</v>
      </c>
    </row>
    <row r="639" spans="1:14" hidden="1" x14ac:dyDescent="0.3">
      <c r="A639" t="s">
        <v>647</v>
      </c>
      <c r="B639" t="s">
        <v>1018</v>
      </c>
      <c r="C639" t="s">
        <v>1028</v>
      </c>
      <c r="D639">
        <v>50</v>
      </c>
      <c r="E639">
        <v>11</v>
      </c>
      <c r="F639" s="3">
        <v>77942</v>
      </c>
      <c r="G639">
        <v>40</v>
      </c>
      <c r="H639">
        <v>5</v>
      </c>
      <c r="I639">
        <v>25</v>
      </c>
      <c r="J639">
        <v>15</v>
      </c>
      <c r="K639">
        <v>3.5</v>
      </c>
      <c r="L639" s="3">
        <v>8.6</v>
      </c>
      <c r="M639" t="s">
        <v>1034</v>
      </c>
      <c r="N639">
        <v>70.430000000000007</v>
      </c>
    </row>
    <row r="640" spans="1:14" hidden="1" x14ac:dyDescent="0.3">
      <c r="A640" t="s">
        <v>648</v>
      </c>
      <c r="B640" t="s">
        <v>1016</v>
      </c>
      <c r="C640" t="s">
        <v>1033</v>
      </c>
      <c r="D640">
        <v>27</v>
      </c>
      <c r="E640">
        <v>1</v>
      </c>
      <c r="F640" s="3">
        <v>64029</v>
      </c>
      <c r="G640">
        <v>39</v>
      </c>
      <c r="H640">
        <v>14</v>
      </c>
      <c r="I640">
        <v>15</v>
      </c>
      <c r="J640">
        <v>26</v>
      </c>
      <c r="K640">
        <v>4.3</v>
      </c>
      <c r="L640" s="3">
        <v>4.7</v>
      </c>
      <c r="M640" t="s">
        <v>1036</v>
      </c>
      <c r="N640">
        <v>64.430000000000007</v>
      </c>
    </row>
    <row r="641" spans="1:14" x14ac:dyDescent="0.3">
      <c r="A641" t="s">
        <v>649</v>
      </c>
      <c r="B641" t="s">
        <v>1018</v>
      </c>
      <c r="C641" t="s">
        <v>1028</v>
      </c>
      <c r="D641">
        <v>35</v>
      </c>
      <c r="E641">
        <v>9</v>
      </c>
      <c r="F641" s="3">
        <v>73127</v>
      </c>
      <c r="G641">
        <v>46</v>
      </c>
      <c r="H641">
        <v>1</v>
      </c>
      <c r="I641">
        <v>20</v>
      </c>
      <c r="J641">
        <v>16</v>
      </c>
      <c r="K641">
        <v>4.3</v>
      </c>
      <c r="L641" s="3">
        <v>3.8</v>
      </c>
      <c r="M641" t="s">
        <v>1036</v>
      </c>
      <c r="N641">
        <v>37.369999999999997</v>
      </c>
    </row>
    <row r="642" spans="1:14" x14ac:dyDescent="0.3">
      <c r="A642" t="s">
        <v>650</v>
      </c>
      <c r="B642" t="s">
        <v>1017</v>
      </c>
      <c r="C642" t="s">
        <v>1026</v>
      </c>
      <c r="D642">
        <v>47</v>
      </c>
      <c r="E642">
        <v>15</v>
      </c>
      <c r="F642" s="3">
        <v>44750</v>
      </c>
      <c r="G642">
        <v>50</v>
      </c>
      <c r="H642">
        <v>12</v>
      </c>
      <c r="I642">
        <v>24</v>
      </c>
      <c r="J642">
        <v>34</v>
      </c>
      <c r="K642">
        <v>2.7</v>
      </c>
      <c r="L642" s="3">
        <v>7.8</v>
      </c>
      <c r="M642" t="s">
        <v>1035</v>
      </c>
      <c r="N642">
        <v>74.900000000000006</v>
      </c>
    </row>
    <row r="643" spans="1:14" hidden="1" x14ac:dyDescent="0.3">
      <c r="A643" t="s">
        <v>651</v>
      </c>
      <c r="B643" t="s">
        <v>1017</v>
      </c>
      <c r="C643" t="s">
        <v>1024</v>
      </c>
      <c r="D643">
        <v>38</v>
      </c>
      <c r="E643">
        <v>4</v>
      </c>
      <c r="F643" s="3">
        <v>59763</v>
      </c>
      <c r="G643">
        <v>48</v>
      </c>
      <c r="H643">
        <v>1</v>
      </c>
      <c r="I643">
        <v>9</v>
      </c>
      <c r="J643">
        <v>28</v>
      </c>
      <c r="K643">
        <v>3.1</v>
      </c>
      <c r="L643" s="3">
        <v>5.2</v>
      </c>
      <c r="M643" t="s">
        <v>1036</v>
      </c>
      <c r="N643">
        <v>42.17</v>
      </c>
    </row>
    <row r="644" spans="1:14" hidden="1" x14ac:dyDescent="0.3">
      <c r="A644" t="s">
        <v>652</v>
      </c>
      <c r="B644" t="s">
        <v>1014</v>
      </c>
      <c r="C644" t="s">
        <v>1019</v>
      </c>
      <c r="D644">
        <v>28</v>
      </c>
      <c r="E644">
        <v>5</v>
      </c>
      <c r="F644" s="3">
        <v>87664</v>
      </c>
      <c r="G644">
        <v>48</v>
      </c>
      <c r="H644">
        <v>10</v>
      </c>
      <c r="I644">
        <v>20</v>
      </c>
      <c r="J644">
        <v>17</v>
      </c>
      <c r="K644">
        <v>3</v>
      </c>
      <c r="L644" s="3">
        <v>4.9000000000000004</v>
      </c>
      <c r="M644" t="s">
        <v>1036</v>
      </c>
      <c r="N644">
        <v>55.07</v>
      </c>
    </row>
    <row r="645" spans="1:14" x14ac:dyDescent="0.3">
      <c r="A645" t="s">
        <v>653</v>
      </c>
      <c r="B645" t="s">
        <v>1016</v>
      </c>
      <c r="C645" t="s">
        <v>1022</v>
      </c>
      <c r="D645">
        <v>47</v>
      </c>
      <c r="E645">
        <v>14</v>
      </c>
      <c r="F645" s="3">
        <v>75669</v>
      </c>
      <c r="G645">
        <v>42</v>
      </c>
      <c r="H645">
        <v>12</v>
      </c>
      <c r="I645">
        <v>21</v>
      </c>
      <c r="J645">
        <v>37</v>
      </c>
      <c r="K645">
        <v>4.3</v>
      </c>
      <c r="L645" s="3">
        <v>6.6</v>
      </c>
      <c r="M645" t="s">
        <v>1035</v>
      </c>
      <c r="N645">
        <v>72.5</v>
      </c>
    </row>
    <row r="646" spans="1:14" hidden="1" x14ac:dyDescent="0.3">
      <c r="A646" t="s">
        <v>654</v>
      </c>
      <c r="B646" t="s">
        <v>1018</v>
      </c>
      <c r="C646" t="s">
        <v>1027</v>
      </c>
      <c r="D646">
        <v>42</v>
      </c>
      <c r="E646">
        <v>0</v>
      </c>
      <c r="F646" s="3">
        <v>69092</v>
      </c>
      <c r="G646">
        <v>35</v>
      </c>
      <c r="H646">
        <v>14</v>
      </c>
      <c r="I646">
        <v>2</v>
      </c>
      <c r="J646">
        <v>0</v>
      </c>
      <c r="K646">
        <v>3.2</v>
      </c>
      <c r="L646" s="3">
        <v>6.7</v>
      </c>
      <c r="M646" t="s">
        <v>1035</v>
      </c>
      <c r="N646">
        <v>73.13</v>
      </c>
    </row>
    <row r="647" spans="1:14" x14ac:dyDescent="0.3">
      <c r="A647" t="s">
        <v>655</v>
      </c>
      <c r="B647" t="s">
        <v>1017</v>
      </c>
      <c r="C647" t="s">
        <v>1024</v>
      </c>
      <c r="D647">
        <v>44</v>
      </c>
      <c r="E647">
        <v>7</v>
      </c>
      <c r="F647" s="3">
        <v>72530</v>
      </c>
      <c r="G647">
        <v>44</v>
      </c>
      <c r="H647">
        <v>5</v>
      </c>
      <c r="I647">
        <v>6</v>
      </c>
      <c r="J647">
        <v>2</v>
      </c>
      <c r="K647">
        <v>2.1</v>
      </c>
      <c r="L647" s="3">
        <v>3.6</v>
      </c>
      <c r="M647" t="s">
        <v>1036</v>
      </c>
      <c r="N647">
        <v>36.229999999999997</v>
      </c>
    </row>
    <row r="648" spans="1:14" hidden="1" x14ac:dyDescent="0.3">
      <c r="A648" t="s">
        <v>656</v>
      </c>
      <c r="B648" t="s">
        <v>1018</v>
      </c>
      <c r="C648" t="s">
        <v>1028</v>
      </c>
      <c r="D648">
        <v>29</v>
      </c>
      <c r="E648">
        <v>1</v>
      </c>
      <c r="F648" s="3">
        <v>30661</v>
      </c>
      <c r="G648">
        <v>54</v>
      </c>
      <c r="H648">
        <v>3</v>
      </c>
      <c r="I648">
        <v>12</v>
      </c>
      <c r="J648">
        <v>36</v>
      </c>
      <c r="K648">
        <v>4.4000000000000004</v>
      </c>
      <c r="L648" s="3">
        <v>4.3</v>
      </c>
      <c r="M648" t="s">
        <v>1036</v>
      </c>
      <c r="N648">
        <v>44</v>
      </c>
    </row>
    <row r="649" spans="1:14" hidden="1" x14ac:dyDescent="0.3">
      <c r="A649" t="s">
        <v>657</v>
      </c>
      <c r="B649" t="s">
        <v>1018</v>
      </c>
      <c r="C649" t="s">
        <v>1027</v>
      </c>
      <c r="D649">
        <v>38</v>
      </c>
      <c r="E649">
        <v>9</v>
      </c>
      <c r="F649" s="3">
        <v>55602</v>
      </c>
      <c r="G649">
        <v>37</v>
      </c>
      <c r="H649">
        <v>11</v>
      </c>
      <c r="I649">
        <v>14</v>
      </c>
      <c r="J649">
        <v>17</v>
      </c>
      <c r="K649">
        <v>4.3</v>
      </c>
      <c r="L649" s="3">
        <v>7.8</v>
      </c>
      <c r="M649" t="s">
        <v>1035</v>
      </c>
      <c r="N649">
        <v>78.03</v>
      </c>
    </row>
    <row r="650" spans="1:14" hidden="1" x14ac:dyDescent="0.3">
      <c r="A650" t="s">
        <v>658</v>
      </c>
      <c r="B650" t="s">
        <v>1016</v>
      </c>
      <c r="C650" t="s">
        <v>1023</v>
      </c>
      <c r="D650">
        <v>38</v>
      </c>
      <c r="E650">
        <v>5</v>
      </c>
      <c r="F650" s="3">
        <v>76166</v>
      </c>
      <c r="G650">
        <v>37</v>
      </c>
      <c r="H650">
        <v>5</v>
      </c>
      <c r="I650">
        <v>24</v>
      </c>
      <c r="J650">
        <v>3</v>
      </c>
      <c r="K650">
        <v>3.1</v>
      </c>
      <c r="L650" s="3">
        <v>5.3</v>
      </c>
      <c r="M650" t="s">
        <v>1036</v>
      </c>
      <c r="N650">
        <v>49.43</v>
      </c>
    </row>
    <row r="651" spans="1:14" hidden="1" x14ac:dyDescent="0.3">
      <c r="A651" t="s">
        <v>659</v>
      </c>
      <c r="B651" t="s">
        <v>1016</v>
      </c>
      <c r="C651" t="s">
        <v>1023</v>
      </c>
      <c r="D651">
        <v>38</v>
      </c>
      <c r="E651">
        <v>5</v>
      </c>
      <c r="F651" s="3">
        <v>53873</v>
      </c>
      <c r="G651">
        <v>37</v>
      </c>
      <c r="H651">
        <v>8</v>
      </c>
      <c r="I651">
        <v>6</v>
      </c>
      <c r="J651">
        <v>39</v>
      </c>
      <c r="K651">
        <v>3.2</v>
      </c>
      <c r="L651" s="3">
        <v>7.5</v>
      </c>
      <c r="M651" t="s">
        <v>1035</v>
      </c>
      <c r="N651">
        <v>67.930000000000007</v>
      </c>
    </row>
    <row r="652" spans="1:14" x14ac:dyDescent="0.3">
      <c r="A652" t="s">
        <v>660</v>
      </c>
      <c r="B652" t="s">
        <v>1018</v>
      </c>
      <c r="C652" t="s">
        <v>1027</v>
      </c>
      <c r="D652">
        <v>49</v>
      </c>
      <c r="E652">
        <v>6</v>
      </c>
      <c r="F652" s="3">
        <v>65236</v>
      </c>
      <c r="G652">
        <v>55</v>
      </c>
      <c r="H652">
        <v>2</v>
      </c>
      <c r="I652">
        <v>14</v>
      </c>
      <c r="J652">
        <v>16</v>
      </c>
      <c r="K652">
        <v>2.2999999999999998</v>
      </c>
      <c r="L652" s="3">
        <v>3.5</v>
      </c>
      <c r="M652" t="s">
        <v>1036</v>
      </c>
      <c r="N652">
        <v>31.23</v>
      </c>
    </row>
    <row r="653" spans="1:14" hidden="1" x14ac:dyDescent="0.3">
      <c r="A653" t="s">
        <v>661</v>
      </c>
      <c r="B653" t="s">
        <v>1016</v>
      </c>
      <c r="C653" t="s">
        <v>1033</v>
      </c>
      <c r="D653">
        <v>50</v>
      </c>
      <c r="E653">
        <v>0</v>
      </c>
      <c r="F653" s="3">
        <v>83753</v>
      </c>
      <c r="G653">
        <v>50</v>
      </c>
      <c r="H653">
        <v>3</v>
      </c>
      <c r="I653">
        <v>20</v>
      </c>
      <c r="J653">
        <v>40</v>
      </c>
      <c r="K653">
        <v>2</v>
      </c>
      <c r="L653" s="3">
        <v>3.3</v>
      </c>
      <c r="M653" t="s">
        <v>1036</v>
      </c>
      <c r="N653">
        <v>30.8</v>
      </c>
    </row>
    <row r="654" spans="1:14" hidden="1" x14ac:dyDescent="0.3">
      <c r="A654" t="s">
        <v>662</v>
      </c>
      <c r="B654" t="s">
        <v>1016</v>
      </c>
      <c r="C654" t="s">
        <v>1033</v>
      </c>
      <c r="D654">
        <v>31</v>
      </c>
      <c r="E654">
        <v>5</v>
      </c>
      <c r="F654" s="3">
        <v>84285</v>
      </c>
      <c r="G654">
        <v>47</v>
      </c>
      <c r="H654">
        <v>10</v>
      </c>
      <c r="I654">
        <v>0</v>
      </c>
      <c r="J654">
        <v>32</v>
      </c>
      <c r="K654">
        <v>4.0999999999999996</v>
      </c>
      <c r="L654" s="3">
        <v>8.4</v>
      </c>
      <c r="M654" t="s">
        <v>1034</v>
      </c>
      <c r="N654">
        <v>79.37</v>
      </c>
    </row>
    <row r="655" spans="1:14" hidden="1" x14ac:dyDescent="0.3">
      <c r="A655" t="s">
        <v>663</v>
      </c>
      <c r="B655" t="s">
        <v>1017</v>
      </c>
      <c r="C655" t="s">
        <v>1026</v>
      </c>
      <c r="D655">
        <v>47</v>
      </c>
      <c r="E655">
        <v>2</v>
      </c>
      <c r="F655" s="3">
        <v>60397</v>
      </c>
      <c r="G655">
        <v>42</v>
      </c>
      <c r="H655">
        <v>1</v>
      </c>
      <c r="I655">
        <v>12</v>
      </c>
      <c r="J655">
        <v>30</v>
      </c>
      <c r="K655">
        <v>2.4</v>
      </c>
      <c r="L655" s="3">
        <v>6.7</v>
      </c>
      <c r="M655" t="s">
        <v>1035</v>
      </c>
      <c r="N655">
        <v>49.07</v>
      </c>
    </row>
    <row r="656" spans="1:14" x14ac:dyDescent="0.3">
      <c r="A656" t="s">
        <v>664</v>
      </c>
      <c r="B656" t="s">
        <v>1016</v>
      </c>
      <c r="C656" t="s">
        <v>1023</v>
      </c>
      <c r="D656">
        <v>41</v>
      </c>
      <c r="E656">
        <v>12</v>
      </c>
      <c r="F656" s="3">
        <v>28617</v>
      </c>
      <c r="G656">
        <v>55</v>
      </c>
      <c r="H656">
        <v>11</v>
      </c>
      <c r="I656">
        <v>2</v>
      </c>
      <c r="J656">
        <v>23</v>
      </c>
      <c r="K656">
        <v>3.6</v>
      </c>
      <c r="L656" s="3">
        <v>9.6999999999999993</v>
      </c>
      <c r="M656" t="s">
        <v>1034</v>
      </c>
      <c r="N656">
        <v>87.33</v>
      </c>
    </row>
    <row r="657" spans="1:14" x14ac:dyDescent="0.3">
      <c r="A657" t="s">
        <v>665</v>
      </c>
      <c r="B657" t="s">
        <v>1017</v>
      </c>
      <c r="C657" t="s">
        <v>1030</v>
      </c>
      <c r="D657">
        <v>40</v>
      </c>
      <c r="E657">
        <v>6</v>
      </c>
      <c r="F657" s="3">
        <v>36574</v>
      </c>
      <c r="G657">
        <v>52</v>
      </c>
      <c r="H657">
        <v>1</v>
      </c>
      <c r="I657">
        <v>12</v>
      </c>
      <c r="J657">
        <v>12</v>
      </c>
      <c r="K657">
        <v>2.9</v>
      </c>
      <c r="L657" s="3">
        <v>5.7</v>
      </c>
      <c r="M657" t="s">
        <v>1036</v>
      </c>
      <c r="N657">
        <v>44.57</v>
      </c>
    </row>
    <row r="658" spans="1:14" hidden="1" x14ac:dyDescent="0.3">
      <c r="A658" t="s">
        <v>666</v>
      </c>
      <c r="B658" t="s">
        <v>1016</v>
      </c>
      <c r="C658" t="s">
        <v>1022</v>
      </c>
      <c r="D658">
        <v>53</v>
      </c>
      <c r="E658">
        <v>2</v>
      </c>
      <c r="F658" s="3">
        <v>83013</v>
      </c>
      <c r="G658">
        <v>55</v>
      </c>
      <c r="H658">
        <v>8</v>
      </c>
      <c r="I658">
        <v>23</v>
      </c>
      <c r="J658">
        <v>12</v>
      </c>
      <c r="K658">
        <v>2.4</v>
      </c>
      <c r="L658" s="3">
        <v>4.4000000000000004</v>
      </c>
      <c r="M658" t="s">
        <v>1036</v>
      </c>
      <c r="N658">
        <v>46.93</v>
      </c>
    </row>
    <row r="659" spans="1:14" hidden="1" x14ac:dyDescent="0.3">
      <c r="A659" t="s">
        <v>667</v>
      </c>
      <c r="B659" t="s">
        <v>1015</v>
      </c>
      <c r="C659" t="s">
        <v>1021</v>
      </c>
      <c r="D659">
        <v>37</v>
      </c>
      <c r="E659">
        <v>15</v>
      </c>
      <c r="F659" s="3">
        <v>50478</v>
      </c>
      <c r="G659">
        <v>37</v>
      </c>
      <c r="H659">
        <v>13</v>
      </c>
      <c r="I659">
        <v>17</v>
      </c>
      <c r="J659">
        <v>19</v>
      </c>
      <c r="K659">
        <v>3.5</v>
      </c>
      <c r="L659" s="3">
        <v>9.8000000000000007</v>
      </c>
      <c r="M659" t="s">
        <v>1034</v>
      </c>
      <c r="N659">
        <v>90.97</v>
      </c>
    </row>
    <row r="660" spans="1:14" hidden="1" x14ac:dyDescent="0.3">
      <c r="A660" t="s">
        <v>668</v>
      </c>
      <c r="B660" t="s">
        <v>1014</v>
      </c>
      <c r="C660" t="s">
        <v>1025</v>
      </c>
      <c r="D660">
        <v>24</v>
      </c>
      <c r="E660">
        <v>2</v>
      </c>
      <c r="F660" s="3">
        <v>28673</v>
      </c>
      <c r="G660">
        <v>45</v>
      </c>
      <c r="H660">
        <v>13</v>
      </c>
      <c r="I660">
        <v>23</v>
      </c>
      <c r="J660">
        <v>2</v>
      </c>
      <c r="K660">
        <v>3.2</v>
      </c>
      <c r="L660" s="3">
        <v>4.5</v>
      </c>
      <c r="M660" t="s">
        <v>1036</v>
      </c>
      <c r="N660">
        <v>58.27</v>
      </c>
    </row>
    <row r="661" spans="1:14" hidden="1" x14ac:dyDescent="0.3">
      <c r="A661" t="s">
        <v>669</v>
      </c>
      <c r="B661" t="s">
        <v>1015</v>
      </c>
      <c r="C661" t="s">
        <v>1029</v>
      </c>
      <c r="D661">
        <v>51</v>
      </c>
      <c r="E661">
        <v>4</v>
      </c>
      <c r="F661" s="3">
        <v>73565</v>
      </c>
      <c r="G661">
        <v>53</v>
      </c>
      <c r="H661">
        <v>4</v>
      </c>
      <c r="I661">
        <v>2</v>
      </c>
      <c r="J661">
        <v>2</v>
      </c>
      <c r="K661">
        <v>4.2</v>
      </c>
      <c r="L661" s="3">
        <v>6.4</v>
      </c>
      <c r="M661" t="s">
        <v>1035</v>
      </c>
      <c r="N661">
        <v>57.67</v>
      </c>
    </row>
    <row r="662" spans="1:14" hidden="1" x14ac:dyDescent="0.3">
      <c r="A662" t="s">
        <v>670</v>
      </c>
      <c r="B662" t="s">
        <v>1017</v>
      </c>
      <c r="C662" t="s">
        <v>1030</v>
      </c>
      <c r="D662">
        <v>24</v>
      </c>
      <c r="E662">
        <v>1</v>
      </c>
      <c r="F662" s="3">
        <v>70960</v>
      </c>
      <c r="G662">
        <v>55</v>
      </c>
      <c r="H662">
        <v>3</v>
      </c>
      <c r="I662">
        <v>0</v>
      </c>
      <c r="J662">
        <v>11</v>
      </c>
      <c r="K662">
        <v>3.9</v>
      </c>
      <c r="L662" s="3">
        <v>9.3000000000000007</v>
      </c>
      <c r="M662" t="s">
        <v>1034</v>
      </c>
      <c r="N662">
        <v>72.5</v>
      </c>
    </row>
    <row r="663" spans="1:14" hidden="1" x14ac:dyDescent="0.3">
      <c r="A663" t="s">
        <v>671</v>
      </c>
      <c r="B663" t="s">
        <v>1017</v>
      </c>
      <c r="C663" t="s">
        <v>1030</v>
      </c>
      <c r="D663">
        <v>32</v>
      </c>
      <c r="E663">
        <v>9</v>
      </c>
      <c r="F663" s="3">
        <v>29191</v>
      </c>
      <c r="G663">
        <v>38</v>
      </c>
      <c r="H663">
        <v>2</v>
      </c>
      <c r="I663">
        <v>15</v>
      </c>
      <c r="J663">
        <v>38</v>
      </c>
      <c r="K663">
        <v>4.4000000000000004</v>
      </c>
      <c r="L663" s="3">
        <v>4.5</v>
      </c>
      <c r="M663" t="s">
        <v>1036</v>
      </c>
      <c r="N663">
        <v>43.53</v>
      </c>
    </row>
    <row r="664" spans="1:14" hidden="1" x14ac:dyDescent="0.3">
      <c r="A664" t="s">
        <v>672</v>
      </c>
      <c r="B664" t="s">
        <v>1017</v>
      </c>
      <c r="C664" t="s">
        <v>1030</v>
      </c>
      <c r="D664">
        <v>43</v>
      </c>
      <c r="E664">
        <v>12</v>
      </c>
      <c r="F664" s="3">
        <v>46249</v>
      </c>
      <c r="G664">
        <v>38</v>
      </c>
      <c r="H664">
        <v>11</v>
      </c>
      <c r="I664">
        <v>18</v>
      </c>
      <c r="J664">
        <v>34</v>
      </c>
      <c r="K664">
        <v>2.4</v>
      </c>
      <c r="L664" s="3">
        <v>8.9</v>
      </c>
      <c r="M664" t="s">
        <v>1034</v>
      </c>
      <c r="N664">
        <v>78.930000000000007</v>
      </c>
    </row>
    <row r="665" spans="1:14" hidden="1" x14ac:dyDescent="0.3">
      <c r="A665" t="s">
        <v>673</v>
      </c>
      <c r="B665" t="s">
        <v>1014</v>
      </c>
      <c r="C665" t="s">
        <v>1019</v>
      </c>
      <c r="D665">
        <v>33</v>
      </c>
      <c r="E665">
        <v>5</v>
      </c>
      <c r="F665" s="3">
        <v>29143</v>
      </c>
      <c r="G665">
        <v>38</v>
      </c>
      <c r="H665">
        <v>5</v>
      </c>
      <c r="I665">
        <v>4</v>
      </c>
      <c r="J665">
        <v>26</v>
      </c>
      <c r="K665">
        <v>2.5</v>
      </c>
      <c r="L665" s="3">
        <v>5.6</v>
      </c>
      <c r="M665" t="s">
        <v>1036</v>
      </c>
      <c r="N665">
        <v>49.43</v>
      </c>
    </row>
    <row r="666" spans="1:14" hidden="1" x14ac:dyDescent="0.3">
      <c r="A666" t="s">
        <v>674</v>
      </c>
      <c r="B666" t="s">
        <v>1017</v>
      </c>
      <c r="C666" t="s">
        <v>1026</v>
      </c>
      <c r="D666">
        <v>37</v>
      </c>
      <c r="E666">
        <v>1</v>
      </c>
      <c r="F666" s="3">
        <v>33740</v>
      </c>
      <c r="G666">
        <v>38</v>
      </c>
      <c r="H666">
        <v>13</v>
      </c>
      <c r="I666">
        <v>20</v>
      </c>
      <c r="J666">
        <v>39</v>
      </c>
      <c r="K666">
        <v>3.1</v>
      </c>
      <c r="L666" s="3">
        <v>4.0999999999999996</v>
      </c>
      <c r="M666" t="s">
        <v>1036</v>
      </c>
      <c r="N666">
        <v>55.57</v>
      </c>
    </row>
    <row r="667" spans="1:14" hidden="1" x14ac:dyDescent="0.3">
      <c r="A667" t="s">
        <v>675</v>
      </c>
      <c r="B667" t="s">
        <v>1014</v>
      </c>
      <c r="C667" t="s">
        <v>1031</v>
      </c>
      <c r="D667">
        <v>22</v>
      </c>
      <c r="E667">
        <v>0</v>
      </c>
      <c r="F667" s="3">
        <v>36758</v>
      </c>
      <c r="G667">
        <v>37</v>
      </c>
      <c r="H667">
        <v>12</v>
      </c>
      <c r="I667">
        <v>20</v>
      </c>
      <c r="J667">
        <v>37</v>
      </c>
      <c r="K667">
        <v>4.7</v>
      </c>
      <c r="L667" s="3">
        <v>5.9</v>
      </c>
      <c r="M667" t="s">
        <v>1036</v>
      </c>
      <c r="N667">
        <v>69.5</v>
      </c>
    </row>
    <row r="668" spans="1:14" hidden="1" x14ac:dyDescent="0.3">
      <c r="A668" t="s">
        <v>676</v>
      </c>
      <c r="B668" t="s">
        <v>1018</v>
      </c>
      <c r="C668" t="s">
        <v>1027</v>
      </c>
      <c r="D668">
        <v>35</v>
      </c>
      <c r="E668">
        <v>2</v>
      </c>
      <c r="F668" s="3">
        <v>66931</v>
      </c>
      <c r="G668">
        <v>43</v>
      </c>
      <c r="H668">
        <v>9</v>
      </c>
      <c r="I668">
        <v>14</v>
      </c>
      <c r="J668">
        <v>26</v>
      </c>
      <c r="K668">
        <v>2.7</v>
      </c>
      <c r="L668" s="3">
        <v>4.2</v>
      </c>
      <c r="M668" t="s">
        <v>1036</v>
      </c>
      <c r="N668">
        <v>48.3</v>
      </c>
    </row>
    <row r="669" spans="1:14" x14ac:dyDescent="0.3">
      <c r="A669" t="s">
        <v>677</v>
      </c>
      <c r="B669" t="s">
        <v>1014</v>
      </c>
      <c r="C669" t="s">
        <v>1019</v>
      </c>
      <c r="D669">
        <v>33</v>
      </c>
      <c r="E669">
        <v>11</v>
      </c>
      <c r="F669" s="3">
        <v>57760</v>
      </c>
      <c r="G669">
        <v>54</v>
      </c>
      <c r="H669">
        <v>2</v>
      </c>
      <c r="I669">
        <v>20</v>
      </c>
      <c r="J669">
        <v>19</v>
      </c>
      <c r="K669">
        <v>3</v>
      </c>
      <c r="L669" s="3">
        <v>3</v>
      </c>
      <c r="M669" t="s">
        <v>1036</v>
      </c>
      <c r="N669">
        <v>30.33</v>
      </c>
    </row>
    <row r="670" spans="1:14" hidden="1" x14ac:dyDescent="0.3">
      <c r="A670" t="s">
        <v>678</v>
      </c>
      <c r="B670" t="s">
        <v>1018</v>
      </c>
      <c r="C670" t="s">
        <v>1027</v>
      </c>
      <c r="D670">
        <v>29</v>
      </c>
      <c r="E670">
        <v>8</v>
      </c>
      <c r="F670" s="3">
        <v>89015</v>
      </c>
      <c r="G670">
        <v>38</v>
      </c>
      <c r="H670">
        <v>10</v>
      </c>
      <c r="I670">
        <v>11</v>
      </c>
      <c r="J670">
        <v>34</v>
      </c>
      <c r="K670">
        <v>3.5</v>
      </c>
      <c r="L670" s="3">
        <v>6.2</v>
      </c>
      <c r="M670" t="s">
        <v>1035</v>
      </c>
      <c r="N670">
        <v>64.37</v>
      </c>
    </row>
    <row r="671" spans="1:14" hidden="1" x14ac:dyDescent="0.3">
      <c r="A671" t="s">
        <v>679</v>
      </c>
      <c r="B671" t="s">
        <v>1018</v>
      </c>
      <c r="C671" t="s">
        <v>1028</v>
      </c>
      <c r="D671">
        <v>39</v>
      </c>
      <c r="E671">
        <v>1</v>
      </c>
      <c r="F671" s="3">
        <v>37695</v>
      </c>
      <c r="G671">
        <v>38</v>
      </c>
      <c r="H671">
        <v>13</v>
      </c>
      <c r="I671">
        <v>4</v>
      </c>
      <c r="J671">
        <v>30</v>
      </c>
      <c r="K671">
        <v>3.5</v>
      </c>
      <c r="L671" s="3">
        <v>4.0999999999999996</v>
      </c>
      <c r="M671" t="s">
        <v>1036</v>
      </c>
      <c r="N671">
        <v>56.77</v>
      </c>
    </row>
    <row r="672" spans="1:14" x14ac:dyDescent="0.3">
      <c r="A672" t="s">
        <v>680</v>
      </c>
      <c r="B672" t="s">
        <v>1014</v>
      </c>
      <c r="C672" t="s">
        <v>1019</v>
      </c>
      <c r="D672">
        <v>45</v>
      </c>
      <c r="E672">
        <v>9</v>
      </c>
      <c r="F672" s="3">
        <v>38735</v>
      </c>
      <c r="G672">
        <v>48</v>
      </c>
      <c r="H672">
        <v>5</v>
      </c>
      <c r="I672">
        <v>10</v>
      </c>
      <c r="J672">
        <v>39</v>
      </c>
      <c r="K672">
        <v>4.4000000000000004</v>
      </c>
      <c r="L672" s="3">
        <v>8.3000000000000007</v>
      </c>
      <c r="M672" t="s">
        <v>1034</v>
      </c>
      <c r="N672">
        <v>71.33</v>
      </c>
    </row>
    <row r="673" spans="1:14" hidden="1" x14ac:dyDescent="0.3">
      <c r="A673" t="s">
        <v>681</v>
      </c>
      <c r="B673" t="s">
        <v>1014</v>
      </c>
      <c r="C673" t="s">
        <v>1019</v>
      </c>
      <c r="D673">
        <v>25</v>
      </c>
      <c r="E673">
        <v>4</v>
      </c>
      <c r="F673" s="3">
        <v>36526</v>
      </c>
      <c r="G673">
        <v>40</v>
      </c>
      <c r="H673">
        <v>13</v>
      </c>
      <c r="I673">
        <v>0</v>
      </c>
      <c r="J673">
        <v>31</v>
      </c>
      <c r="K673">
        <v>3.5</v>
      </c>
      <c r="L673" s="3">
        <v>3.5</v>
      </c>
      <c r="M673" t="s">
        <v>1036</v>
      </c>
      <c r="N673">
        <v>53.17</v>
      </c>
    </row>
    <row r="674" spans="1:14" x14ac:dyDescent="0.3">
      <c r="A674" t="s">
        <v>682</v>
      </c>
      <c r="B674" t="s">
        <v>1017</v>
      </c>
      <c r="C674" t="s">
        <v>1024</v>
      </c>
      <c r="D674">
        <v>42</v>
      </c>
      <c r="E674">
        <v>13</v>
      </c>
      <c r="F674" s="3">
        <v>38025</v>
      </c>
      <c r="G674">
        <v>45</v>
      </c>
      <c r="H674">
        <v>4</v>
      </c>
      <c r="I674">
        <v>24</v>
      </c>
      <c r="J674">
        <v>7</v>
      </c>
      <c r="K674">
        <v>3</v>
      </c>
      <c r="L674" s="3">
        <v>3.7</v>
      </c>
      <c r="M674" t="s">
        <v>1036</v>
      </c>
      <c r="N674">
        <v>37.869999999999997</v>
      </c>
    </row>
    <row r="675" spans="1:14" x14ac:dyDescent="0.3">
      <c r="A675" t="s">
        <v>683</v>
      </c>
      <c r="B675" t="s">
        <v>1017</v>
      </c>
      <c r="C675" t="s">
        <v>1030</v>
      </c>
      <c r="D675">
        <v>34</v>
      </c>
      <c r="E675">
        <v>6</v>
      </c>
      <c r="F675" s="3">
        <v>83416</v>
      </c>
      <c r="G675">
        <v>42</v>
      </c>
      <c r="H675">
        <v>2</v>
      </c>
      <c r="I675">
        <v>15</v>
      </c>
      <c r="J675">
        <v>37</v>
      </c>
      <c r="K675">
        <v>3.5</v>
      </c>
      <c r="L675" s="3">
        <v>9.1999999999999993</v>
      </c>
      <c r="M675" t="s">
        <v>1034</v>
      </c>
      <c r="N675">
        <v>69.03</v>
      </c>
    </row>
    <row r="676" spans="1:14" hidden="1" x14ac:dyDescent="0.3">
      <c r="A676" t="s">
        <v>684</v>
      </c>
      <c r="B676" t="s">
        <v>1018</v>
      </c>
      <c r="C676" t="s">
        <v>1028</v>
      </c>
      <c r="D676">
        <v>51</v>
      </c>
      <c r="E676">
        <v>5</v>
      </c>
      <c r="F676" s="3">
        <v>50384</v>
      </c>
      <c r="G676">
        <v>46</v>
      </c>
      <c r="H676">
        <v>3</v>
      </c>
      <c r="I676">
        <v>14</v>
      </c>
      <c r="J676">
        <v>12</v>
      </c>
      <c r="K676">
        <v>3.9</v>
      </c>
      <c r="L676" s="3">
        <v>9.8000000000000007</v>
      </c>
      <c r="M676" t="s">
        <v>1034</v>
      </c>
      <c r="N676">
        <v>75.5</v>
      </c>
    </row>
    <row r="677" spans="1:14" hidden="1" x14ac:dyDescent="0.3">
      <c r="A677" t="s">
        <v>685</v>
      </c>
      <c r="B677" t="s">
        <v>1016</v>
      </c>
      <c r="C677" t="s">
        <v>1033</v>
      </c>
      <c r="D677">
        <v>30</v>
      </c>
      <c r="E677">
        <v>0</v>
      </c>
      <c r="F677" s="3">
        <v>70364</v>
      </c>
      <c r="G677">
        <v>53</v>
      </c>
      <c r="H677">
        <v>1</v>
      </c>
      <c r="I677">
        <v>8</v>
      </c>
      <c r="J677">
        <v>8</v>
      </c>
      <c r="K677">
        <v>2.2999999999999998</v>
      </c>
      <c r="L677" s="3">
        <v>6.3</v>
      </c>
      <c r="M677" t="s">
        <v>1035</v>
      </c>
      <c r="N677">
        <v>46.37</v>
      </c>
    </row>
    <row r="678" spans="1:14" x14ac:dyDescent="0.3">
      <c r="A678" t="s">
        <v>686</v>
      </c>
      <c r="B678" t="s">
        <v>1018</v>
      </c>
      <c r="C678" t="s">
        <v>1027</v>
      </c>
      <c r="D678">
        <v>43</v>
      </c>
      <c r="E678">
        <v>7</v>
      </c>
      <c r="F678" s="3">
        <v>83091</v>
      </c>
      <c r="G678">
        <v>44</v>
      </c>
      <c r="H678">
        <v>10</v>
      </c>
      <c r="I678">
        <v>5</v>
      </c>
      <c r="J678">
        <v>40</v>
      </c>
      <c r="K678">
        <v>4.9000000000000004</v>
      </c>
      <c r="L678" s="3">
        <v>9.3000000000000007</v>
      </c>
      <c r="M678" t="s">
        <v>1034</v>
      </c>
      <c r="N678">
        <v>87.17</v>
      </c>
    </row>
    <row r="679" spans="1:14" hidden="1" x14ac:dyDescent="0.3">
      <c r="A679" t="s">
        <v>687</v>
      </c>
      <c r="B679" t="s">
        <v>1015</v>
      </c>
      <c r="C679" t="s">
        <v>1029</v>
      </c>
      <c r="D679">
        <v>36</v>
      </c>
      <c r="E679">
        <v>2</v>
      </c>
      <c r="F679" s="3">
        <v>51980</v>
      </c>
      <c r="G679">
        <v>51</v>
      </c>
      <c r="H679">
        <v>8</v>
      </c>
      <c r="I679">
        <v>6</v>
      </c>
      <c r="J679">
        <v>37</v>
      </c>
      <c r="K679">
        <v>3.4</v>
      </c>
      <c r="L679" s="3">
        <v>6.2</v>
      </c>
      <c r="M679" t="s">
        <v>1035</v>
      </c>
      <c r="N679">
        <v>60.73</v>
      </c>
    </row>
    <row r="680" spans="1:14" x14ac:dyDescent="0.3">
      <c r="A680" t="s">
        <v>688</v>
      </c>
      <c r="B680" t="s">
        <v>1017</v>
      </c>
      <c r="C680" t="s">
        <v>1030</v>
      </c>
      <c r="D680">
        <v>37</v>
      </c>
      <c r="E680">
        <v>7</v>
      </c>
      <c r="F680" s="3">
        <v>46449</v>
      </c>
      <c r="G680">
        <v>48</v>
      </c>
      <c r="H680">
        <v>10</v>
      </c>
      <c r="I680">
        <v>7</v>
      </c>
      <c r="J680">
        <v>37</v>
      </c>
      <c r="K680">
        <v>4.8</v>
      </c>
      <c r="L680" s="3">
        <v>9.4</v>
      </c>
      <c r="M680" t="s">
        <v>1034</v>
      </c>
      <c r="N680">
        <v>87.47</v>
      </c>
    </row>
    <row r="681" spans="1:14" hidden="1" x14ac:dyDescent="0.3">
      <c r="A681" t="s">
        <v>689</v>
      </c>
      <c r="B681" t="s">
        <v>1017</v>
      </c>
      <c r="C681" t="s">
        <v>1026</v>
      </c>
      <c r="D681">
        <v>24</v>
      </c>
      <c r="E681">
        <v>0</v>
      </c>
      <c r="F681" s="3">
        <v>89964</v>
      </c>
      <c r="G681">
        <v>50</v>
      </c>
      <c r="H681">
        <v>12</v>
      </c>
      <c r="I681">
        <v>24</v>
      </c>
      <c r="J681">
        <v>32</v>
      </c>
      <c r="K681">
        <v>2.1</v>
      </c>
      <c r="L681" s="3">
        <v>6.7</v>
      </c>
      <c r="M681" t="s">
        <v>1035</v>
      </c>
      <c r="N681">
        <v>66.5</v>
      </c>
    </row>
    <row r="682" spans="1:14" hidden="1" x14ac:dyDescent="0.3">
      <c r="A682" t="s">
        <v>690</v>
      </c>
      <c r="B682" t="s">
        <v>1014</v>
      </c>
      <c r="C682" t="s">
        <v>1019</v>
      </c>
      <c r="D682">
        <v>50</v>
      </c>
      <c r="E682">
        <v>15</v>
      </c>
      <c r="F682" s="3">
        <v>40762</v>
      </c>
      <c r="G682">
        <v>37</v>
      </c>
      <c r="H682">
        <v>9</v>
      </c>
      <c r="I682">
        <v>24</v>
      </c>
      <c r="J682">
        <v>0</v>
      </c>
      <c r="K682">
        <v>4.0999999999999996</v>
      </c>
      <c r="L682" s="3">
        <v>5.8</v>
      </c>
      <c r="M682" t="s">
        <v>1036</v>
      </c>
      <c r="N682">
        <v>62.1</v>
      </c>
    </row>
    <row r="683" spans="1:14" x14ac:dyDescent="0.3">
      <c r="A683" t="s">
        <v>691</v>
      </c>
      <c r="B683" t="s">
        <v>1018</v>
      </c>
      <c r="C683" t="s">
        <v>1032</v>
      </c>
      <c r="D683">
        <v>44</v>
      </c>
      <c r="E683">
        <v>9</v>
      </c>
      <c r="F683" s="3">
        <v>40667</v>
      </c>
      <c r="G683">
        <v>55</v>
      </c>
      <c r="H683">
        <v>2</v>
      </c>
      <c r="I683">
        <v>0</v>
      </c>
      <c r="J683">
        <v>30</v>
      </c>
      <c r="K683">
        <v>4</v>
      </c>
      <c r="L683" s="3">
        <v>4.0999999999999996</v>
      </c>
      <c r="M683" t="s">
        <v>1036</v>
      </c>
      <c r="N683">
        <v>39.93</v>
      </c>
    </row>
    <row r="684" spans="1:14" hidden="1" x14ac:dyDescent="0.3">
      <c r="A684" t="s">
        <v>692</v>
      </c>
      <c r="B684" t="s">
        <v>1015</v>
      </c>
      <c r="C684" t="s">
        <v>1020</v>
      </c>
      <c r="D684">
        <v>23</v>
      </c>
      <c r="E684">
        <v>1</v>
      </c>
      <c r="F684" s="3">
        <v>55393</v>
      </c>
      <c r="G684">
        <v>39</v>
      </c>
      <c r="H684">
        <v>14</v>
      </c>
      <c r="I684">
        <v>22</v>
      </c>
      <c r="J684">
        <v>25</v>
      </c>
      <c r="K684">
        <v>2.6</v>
      </c>
      <c r="L684" s="3">
        <v>9.1</v>
      </c>
      <c r="M684" t="s">
        <v>1034</v>
      </c>
      <c r="N684">
        <v>85.73</v>
      </c>
    </row>
    <row r="685" spans="1:14" hidden="1" x14ac:dyDescent="0.3">
      <c r="A685" t="s">
        <v>693</v>
      </c>
      <c r="B685" t="s">
        <v>1017</v>
      </c>
      <c r="C685" t="s">
        <v>1024</v>
      </c>
      <c r="D685">
        <v>22</v>
      </c>
      <c r="E685">
        <v>0</v>
      </c>
      <c r="F685" s="3">
        <v>50223</v>
      </c>
      <c r="G685">
        <v>45</v>
      </c>
      <c r="H685">
        <v>9</v>
      </c>
      <c r="I685">
        <v>1</v>
      </c>
      <c r="J685">
        <v>18</v>
      </c>
      <c r="K685">
        <v>3.3</v>
      </c>
      <c r="L685" s="3">
        <v>4.9000000000000004</v>
      </c>
      <c r="M685" t="s">
        <v>1036</v>
      </c>
      <c r="N685">
        <v>54.3</v>
      </c>
    </row>
    <row r="686" spans="1:14" hidden="1" x14ac:dyDescent="0.3">
      <c r="A686" t="s">
        <v>694</v>
      </c>
      <c r="B686" t="s">
        <v>1015</v>
      </c>
      <c r="C686" t="s">
        <v>1021</v>
      </c>
      <c r="D686">
        <v>35</v>
      </c>
      <c r="E686">
        <v>12</v>
      </c>
      <c r="F686" s="3">
        <v>69870</v>
      </c>
      <c r="G686">
        <v>37</v>
      </c>
      <c r="H686">
        <v>10</v>
      </c>
      <c r="I686">
        <v>10</v>
      </c>
      <c r="J686">
        <v>3</v>
      </c>
      <c r="K686">
        <v>3.5</v>
      </c>
      <c r="L686" s="3">
        <v>9.4</v>
      </c>
      <c r="M686" t="s">
        <v>1034</v>
      </c>
      <c r="N686">
        <v>83.57</v>
      </c>
    </row>
    <row r="687" spans="1:14" x14ac:dyDescent="0.3">
      <c r="A687" t="s">
        <v>695</v>
      </c>
      <c r="B687" t="s">
        <v>1014</v>
      </c>
      <c r="C687" t="s">
        <v>1025</v>
      </c>
      <c r="D687">
        <v>29</v>
      </c>
      <c r="E687">
        <v>6</v>
      </c>
      <c r="F687" s="3">
        <v>48959</v>
      </c>
      <c r="G687">
        <v>49</v>
      </c>
      <c r="H687">
        <v>10</v>
      </c>
      <c r="I687">
        <v>1</v>
      </c>
      <c r="J687">
        <v>23</v>
      </c>
      <c r="K687">
        <v>3.1</v>
      </c>
      <c r="L687" s="3">
        <v>7.5</v>
      </c>
      <c r="M687" t="s">
        <v>1035</v>
      </c>
      <c r="N687">
        <v>70.97</v>
      </c>
    </row>
    <row r="688" spans="1:14" hidden="1" x14ac:dyDescent="0.3">
      <c r="A688" t="s">
        <v>696</v>
      </c>
      <c r="B688" t="s">
        <v>1014</v>
      </c>
      <c r="C688" t="s">
        <v>1025</v>
      </c>
      <c r="D688">
        <v>35</v>
      </c>
      <c r="E688">
        <v>2</v>
      </c>
      <c r="F688" s="3">
        <v>89307</v>
      </c>
      <c r="G688">
        <v>45</v>
      </c>
      <c r="H688">
        <v>4</v>
      </c>
      <c r="I688">
        <v>17</v>
      </c>
      <c r="J688">
        <v>7</v>
      </c>
      <c r="K688">
        <v>3.9</v>
      </c>
      <c r="L688" s="3">
        <v>8.1999999999999993</v>
      </c>
      <c r="M688" t="s">
        <v>1034</v>
      </c>
      <c r="N688">
        <v>67.569999999999993</v>
      </c>
    </row>
    <row r="689" spans="1:14" x14ac:dyDescent="0.3">
      <c r="A689" t="s">
        <v>697</v>
      </c>
      <c r="B689" t="s">
        <v>1018</v>
      </c>
      <c r="C689" t="s">
        <v>1032</v>
      </c>
      <c r="D689">
        <v>36</v>
      </c>
      <c r="E689">
        <v>10</v>
      </c>
      <c r="F689" s="3">
        <v>48115</v>
      </c>
      <c r="G689">
        <v>43</v>
      </c>
      <c r="H689">
        <v>9</v>
      </c>
      <c r="I689">
        <v>21</v>
      </c>
      <c r="J689">
        <v>27</v>
      </c>
      <c r="K689">
        <v>2.8</v>
      </c>
      <c r="L689" s="3">
        <v>3.4</v>
      </c>
      <c r="M689" t="s">
        <v>1036</v>
      </c>
      <c r="N689">
        <v>43.8</v>
      </c>
    </row>
    <row r="690" spans="1:14" hidden="1" x14ac:dyDescent="0.3">
      <c r="A690" t="s">
        <v>698</v>
      </c>
      <c r="B690" t="s">
        <v>1017</v>
      </c>
      <c r="C690" t="s">
        <v>1024</v>
      </c>
      <c r="D690">
        <v>53</v>
      </c>
      <c r="E690">
        <v>3</v>
      </c>
      <c r="F690" s="3">
        <v>55812</v>
      </c>
      <c r="G690">
        <v>52</v>
      </c>
      <c r="H690">
        <v>11</v>
      </c>
      <c r="I690">
        <v>17</v>
      </c>
      <c r="J690">
        <v>18</v>
      </c>
      <c r="K690">
        <v>3.4</v>
      </c>
      <c r="L690" s="3">
        <v>5.6</v>
      </c>
      <c r="M690" t="s">
        <v>1036</v>
      </c>
      <c r="N690">
        <v>62.13</v>
      </c>
    </row>
    <row r="691" spans="1:14" hidden="1" x14ac:dyDescent="0.3">
      <c r="A691" t="s">
        <v>699</v>
      </c>
      <c r="B691" t="s">
        <v>1014</v>
      </c>
      <c r="C691" t="s">
        <v>1019</v>
      </c>
      <c r="D691">
        <v>34</v>
      </c>
      <c r="E691">
        <v>7</v>
      </c>
      <c r="F691" s="3">
        <v>30721</v>
      </c>
      <c r="G691">
        <v>37</v>
      </c>
      <c r="H691">
        <v>7</v>
      </c>
      <c r="I691">
        <v>5</v>
      </c>
      <c r="J691">
        <v>18</v>
      </c>
      <c r="K691">
        <v>4.9000000000000004</v>
      </c>
      <c r="L691" s="3">
        <v>3.5</v>
      </c>
      <c r="M691" t="s">
        <v>1036</v>
      </c>
      <c r="N691">
        <v>47.37</v>
      </c>
    </row>
    <row r="692" spans="1:14" hidden="1" x14ac:dyDescent="0.3">
      <c r="A692" t="s">
        <v>700</v>
      </c>
      <c r="B692" t="s">
        <v>1016</v>
      </c>
      <c r="C692" t="s">
        <v>1033</v>
      </c>
      <c r="D692">
        <v>29</v>
      </c>
      <c r="E692">
        <v>2</v>
      </c>
      <c r="F692" s="3">
        <v>57527</v>
      </c>
      <c r="G692">
        <v>39</v>
      </c>
      <c r="H692">
        <v>14</v>
      </c>
      <c r="I692">
        <v>6</v>
      </c>
      <c r="J692">
        <v>33</v>
      </c>
      <c r="K692">
        <v>4.9000000000000004</v>
      </c>
      <c r="L692" s="3">
        <v>3.2</v>
      </c>
      <c r="M692" t="s">
        <v>1036</v>
      </c>
      <c r="N692">
        <v>57.23</v>
      </c>
    </row>
    <row r="693" spans="1:14" x14ac:dyDescent="0.3">
      <c r="A693" t="s">
        <v>701</v>
      </c>
      <c r="B693" t="s">
        <v>1015</v>
      </c>
      <c r="C693" t="s">
        <v>1029</v>
      </c>
      <c r="D693">
        <v>30</v>
      </c>
      <c r="E693">
        <v>7</v>
      </c>
      <c r="F693" s="3">
        <v>47721</v>
      </c>
      <c r="G693">
        <v>48</v>
      </c>
      <c r="H693">
        <v>8</v>
      </c>
      <c r="I693">
        <v>23</v>
      </c>
      <c r="J693">
        <v>1</v>
      </c>
      <c r="K693">
        <v>2.9</v>
      </c>
      <c r="L693" s="3">
        <v>3.4</v>
      </c>
      <c r="M693" t="s">
        <v>1036</v>
      </c>
      <c r="N693">
        <v>42.43</v>
      </c>
    </row>
    <row r="694" spans="1:14" x14ac:dyDescent="0.3">
      <c r="A694" t="s">
        <v>702</v>
      </c>
      <c r="B694" t="s">
        <v>1015</v>
      </c>
      <c r="C694" t="s">
        <v>1020</v>
      </c>
      <c r="D694">
        <v>43</v>
      </c>
      <c r="E694">
        <v>13</v>
      </c>
      <c r="F694" s="3">
        <v>62925</v>
      </c>
      <c r="G694">
        <v>45</v>
      </c>
      <c r="H694">
        <v>11</v>
      </c>
      <c r="I694">
        <v>20</v>
      </c>
      <c r="J694">
        <v>20</v>
      </c>
      <c r="K694">
        <v>3.5</v>
      </c>
      <c r="L694" s="3">
        <v>7.7</v>
      </c>
      <c r="M694" t="s">
        <v>1035</v>
      </c>
      <c r="N694">
        <v>75.03</v>
      </c>
    </row>
    <row r="695" spans="1:14" x14ac:dyDescent="0.3">
      <c r="A695" t="s">
        <v>703</v>
      </c>
      <c r="B695" t="s">
        <v>1015</v>
      </c>
      <c r="C695" t="s">
        <v>1021</v>
      </c>
      <c r="D695">
        <v>50</v>
      </c>
      <c r="E695">
        <v>14</v>
      </c>
      <c r="F695" s="3">
        <v>44928</v>
      </c>
      <c r="G695">
        <v>53</v>
      </c>
      <c r="H695">
        <v>3</v>
      </c>
      <c r="I695">
        <v>25</v>
      </c>
      <c r="J695">
        <v>19</v>
      </c>
      <c r="K695">
        <v>2.5</v>
      </c>
      <c r="L695" s="3">
        <v>4.8</v>
      </c>
      <c r="M695" t="s">
        <v>1036</v>
      </c>
      <c r="N695">
        <v>41.3</v>
      </c>
    </row>
    <row r="696" spans="1:14" hidden="1" x14ac:dyDescent="0.3">
      <c r="A696" t="s">
        <v>704</v>
      </c>
      <c r="B696" t="s">
        <v>1016</v>
      </c>
      <c r="C696" t="s">
        <v>1022</v>
      </c>
      <c r="D696">
        <v>40</v>
      </c>
      <c r="E696">
        <v>1</v>
      </c>
      <c r="F696" s="3">
        <v>34721</v>
      </c>
      <c r="G696">
        <v>46</v>
      </c>
      <c r="H696">
        <v>5</v>
      </c>
      <c r="I696">
        <v>14</v>
      </c>
      <c r="J696">
        <v>10</v>
      </c>
      <c r="K696">
        <v>3.9</v>
      </c>
      <c r="L696" s="3">
        <v>4.0999999999999996</v>
      </c>
      <c r="M696" t="s">
        <v>1036</v>
      </c>
      <c r="N696">
        <v>44.63</v>
      </c>
    </row>
    <row r="697" spans="1:14" hidden="1" x14ac:dyDescent="0.3">
      <c r="A697" t="s">
        <v>705</v>
      </c>
      <c r="B697" t="s">
        <v>1016</v>
      </c>
      <c r="C697" t="s">
        <v>1023</v>
      </c>
      <c r="D697">
        <v>33</v>
      </c>
      <c r="E697">
        <v>2</v>
      </c>
      <c r="F697" s="3">
        <v>80006</v>
      </c>
      <c r="G697">
        <v>39</v>
      </c>
      <c r="H697">
        <v>3</v>
      </c>
      <c r="I697">
        <v>7</v>
      </c>
      <c r="J697">
        <v>7</v>
      </c>
      <c r="K697">
        <v>2.1</v>
      </c>
      <c r="L697" s="3">
        <v>5.2</v>
      </c>
      <c r="M697" t="s">
        <v>1036</v>
      </c>
      <c r="N697">
        <v>42.5</v>
      </c>
    </row>
    <row r="698" spans="1:14" x14ac:dyDescent="0.3">
      <c r="A698" t="s">
        <v>706</v>
      </c>
      <c r="B698" t="s">
        <v>1017</v>
      </c>
      <c r="C698" t="s">
        <v>1030</v>
      </c>
      <c r="D698">
        <v>38</v>
      </c>
      <c r="E698">
        <v>11</v>
      </c>
      <c r="F698" s="3">
        <v>37091</v>
      </c>
      <c r="G698">
        <v>41</v>
      </c>
      <c r="H698">
        <v>9</v>
      </c>
      <c r="I698">
        <v>22</v>
      </c>
      <c r="J698">
        <v>2</v>
      </c>
      <c r="K698">
        <v>4</v>
      </c>
      <c r="L698" s="3">
        <v>9.8000000000000007</v>
      </c>
      <c r="M698" t="s">
        <v>1034</v>
      </c>
      <c r="N698">
        <v>85.8</v>
      </c>
    </row>
    <row r="699" spans="1:14" hidden="1" x14ac:dyDescent="0.3">
      <c r="A699" t="s">
        <v>707</v>
      </c>
      <c r="B699" t="s">
        <v>1016</v>
      </c>
      <c r="C699" t="s">
        <v>1033</v>
      </c>
      <c r="D699">
        <v>50</v>
      </c>
      <c r="E699">
        <v>5</v>
      </c>
      <c r="F699" s="3">
        <v>59972</v>
      </c>
      <c r="G699">
        <v>44</v>
      </c>
      <c r="H699">
        <v>2</v>
      </c>
      <c r="I699">
        <v>0</v>
      </c>
      <c r="J699">
        <v>25</v>
      </c>
      <c r="K699">
        <v>4.8</v>
      </c>
      <c r="L699" s="3">
        <v>8.4</v>
      </c>
      <c r="M699" t="s">
        <v>1034</v>
      </c>
      <c r="N699">
        <v>68.13</v>
      </c>
    </row>
    <row r="700" spans="1:14" hidden="1" x14ac:dyDescent="0.3">
      <c r="A700" t="s">
        <v>708</v>
      </c>
      <c r="B700" t="s">
        <v>1016</v>
      </c>
      <c r="C700" t="s">
        <v>1022</v>
      </c>
      <c r="D700">
        <v>31</v>
      </c>
      <c r="E700">
        <v>0</v>
      </c>
      <c r="F700" s="3">
        <v>88579</v>
      </c>
      <c r="G700">
        <v>52</v>
      </c>
      <c r="H700">
        <v>9</v>
      </c>
      <c r="I700">
        <v>10</v>
      </c>
      <c r="J700">
        <v>18</v>
      </c>
      <c r="K700">
        <v>3.4</v>
      </c>
      <c r="L700" s="3">
        <v>5</v>
      </c>
      <c r="M700" t="s">
        <v>1036</v>
      </c>
      <c r="N700">
        <v>55.2</v>
      </c>
    </row>
    <row r="701" spans="1:14" hidden="1" x14ac:dyDescent="0.3">
      <c r="A701" t="s">
        <v>709</v>
      </c>
      <c r="B701" t="s">
        <v>1018</v>
      </c>
      <c r="C701" t="s">
        <v>1032</v>
      </c>
      <c r="D701">
        <v>50</v>
      </c>
      <c r="E701">
        <v>10</v>
      </c>
      <c r="F701" s="3">
        <v>70163</v>
      </c>
      <c r="G701">
        <v>38</v>
      </c>
      <c r="H701">
        <v>12</v>
      </c>
      <c r="I701">
        <v>15</v>
      </c>
      <c r="J701">
        <v>2</v>
      </c>
      <c r="K701">
        <v>2.4</v>
      </c>
      <c r="L701" s="3">
        <v>6.9</v>
      </c>
      <c r="M701" t="s">
        <v>1035</v>
      </c>
      <c r="N701">
        <v>68.599999999999994</v>
      </c>
    </row>
    <row r="702" spans="1:14" x14ac:dyDescent="0.3">
      <c r="A702" t="s">
        <v>710</v>
      </c>
      <c r="B702" t="s">
        <v>1014</v>
      </c>
      <c r="C702" t="s">
        <v>1025</v>
      </c>
      <c r="D702">
        <v>47</v>
      </c>
      <c r="E702">
        <v>7</v>
      </c>
      <c r="F702" s="3">
        <v>54227</v>
      </c>
      <c r="G702">
        <v>46</v>
      </c>
      <c r="H702">
        <v>2</v>
      </c>
      <c r="I702">
        <v>10</v>
      </c>
      <c r="J702">
        <v>3</v>
      </c>
      <c r="K702">
        <v>3.8</v>
      </c>
      <c r="L702" s="3">
        <v>4.4000000000000004</v>
      </c>
      <c r="M702" t="s">
        <v>1036</v>
      </c>
      <c r="N702">
        <v>41.13</v>
      </c>
    </row>
    <row r="703" spans="1:14" hidden="1" x14ac:dyDescent="0.3">
      <c r="A703" t="s">
        <v>711</v>
      </c>
      <c r="B703" t="s">
        <v>1018</v>
      </c>
      <c r="C703" t="s">
        <v>1032</v>
      </c>
      <c r="D703">
        <v>39</v>
      </c>
      <c r="E703">
        <v>6</v>
      </c>
      <c r="F703" s="3">
        <v>26477</v>
      </c>
      <c r="G703">
        <v>37</v>
      </c>
      <c r="H703">
        <v>9</v>
      </c>
      <c r="I703">
        <v>14</v>
      </c>
      <c r="J703">
        <v>5</v>
      </c>
      <c r="K703">
        <v>4.9000000000000004</v>
      </c>
      <c r="L703" s="3">
        <v>5.8</v>
      </c>
      <c r="M703" t="s">
        <v>1036</v>
      </c>
      <c r="N703">
        <v>64.5</v>
      </c>
    </row>
    <row r="704" spans="1:14" hidden="1" x14ac:dyDescent="0.3">
      <c r="A704" t="s">
        <v>712</v>
      </c>
      <c r="B704" t="s">
        <v>1016</v>
      </c>
      <c r="C704" t="s">
        <v>1033</v>
      </c>
      <c r="D704">
        <v>54</v>
      </c>
      <c r="E704">
        <v>1</v>
      </c>
      <c r="F704" s="3">
        <v>84535</v>
      </c>
      <c r="G704">
        <v>46</v>
      </c>
      <c r="H704">
        <v>7</v>
      </c>
      <c r="I704">
        <v>4</v>
      </c>
      <c r="J704">
        <v>27</v>
      </c>
      <c r="K704">
        <v>3.1</v>
      </c>
      <c r="L704" s="3">
        <v>5.6</v>
      </c>
      <c r="M704" t="s">
        <v>1036</v>
      </c>
      <c r="N704">
        <v>54.57</v>
      </c>
    </row>
    <row r="705" spans="1:14" x14ac:dyDescent="0.3">
      <c r="A705" t="s">
        <v>713</v>
      </c>
      <c r="B705" t="s">
        <v>1016</v>
      </c>
      <c r="C705" t="s">
        <v>1022</v>
      </c>
      <c r="D705">
        <v>44</v>
      </c>
      <c r="E705">
        <v>9</v>
      </c>
      <c r="F705" s="3">
        <v>89062</v>
      </c>
      <c r="G705">
        <v>49</v>
      </c>
      <c r="H705">
        <v>14</v>
      </c>
      <c r="I705">
        <v>17</v>
      </c>
      <c r="J705">
        <v>5</v>
      </c>
      <c r="K705">
        <v>2.6</v>
      </c>
      <c r="L705" s="3">
        <v>9.1999999999999993</v>
      </c>
      <c r="M705" t="s">
        <v>1034</v>
      </c>
      <c r="N705">
        <v>86.33</v>
      </c>
    </row>
    <row r="706" spans="1:14" x14ac:dyDescent="0.3">
      <c r="A706" t="s">
        <v>714</v>
      </c>
      <c r="B706" t="s">
        <v>1017</v>
      </c>
      <c r="C706" t="s">
        <v>1030</v>
      </c>
      <c r="D706">
        <v>50</v>
      </c>
      <c r="E706">
        <v>9</v>
      </c>
      <c r="F706" s="3">
        <v>35734</v>
      </c>
      <c r="G706">
        <v>48</v>
      </c>
      <c r="H706">
        <v>12</v>
      </c>
      <c r="I706">
        <v>13</v>
      </c>
      <c r="J706">
        <v>8</v>
      </c>
      <c r="K706">
        <v>4.5</v>
      </c>
      <c r="L706" s="3">
        <v>7.2</v>
      </c>
      <c r="M706" t="s">
        <v>1035</v>
      </c>
      <c r="N706">
        <v>76.7</v>
      </c>
    </row>
    <row r="707" spans="1:14" x14ac:dyDescent="0.3">
      <c r="A707" t="s">
        <v>715</v>
      </c>
      <c r="B707" t="s">
        <v>1018</v>
      </c>
      <c r="C707" t="s">
        <v>1032</v>
      </c>
      <c r="D707">
        <v>41</v>
      </c>
      <c r="E707">
        <v>15</v>
      </c>
      <c r="F707" s="3">
        <v>89774</v>
      </c>
      <c r="G707">
        <v>51</v>
      </c>
      <c r="H707">
        <v>6</v>
      </c>
      <c r="I707">
        <v>2</v>
      </c>
      <c r="J707">
        <v>37</v>
      </c>
      <c r="K707">
        <v>4.3</v>
      </c>
      <c r="L707" s="3">
        <v>3.6</v>
      </c>
      <c r="M707" t="s">
        <v>1036</v>
      </c>
      <c r="N707">
        <v>44.5</v>
      </c>
    </row>
    <row r="708" spans="1:14" hidden="1" x14ac:dyDescent="0.3">
      <c r="A708" t="s">
        <v>716</v>
      </c>
      <c r="B708" t="s">
        <v>1016</v>
      </c>
      <c r="C708" t="s">
        <v>1033</v>
      </c>
      <c r="D708">
        <v>48</v>
      </c>
      <c r="E708">
        <v>5</v>
      </c>
      <c r="F708" s="3">
        <v>61425</v>
      </c>
      <c r="G708">
        <v>49</v>
      </c>
      <c r="H708">
        <v>12</v>
      </c>
      <c r="I708">
        <v>18</v>
      </c>
      <c r="J708">
        <v>8</v>
      </c>
      <c r="K708">
        <v>2.6</v>
      </c>
      <c r="L708" s="3">
        <v>8.8000000000000007</v>
      </c>
      <c r="M708" t="s">
        <v>1034</v>
      </c>
      <c r="N708">
        <v>80.599999999999994</v>
      </c>
    </row>
    <row r="709" spans="1:14" hidden="1" x14ac:dyDescent="0.3">
      <c r="A709" t="s">
        <v>717</v>
      </c>
      <c r="B709" t="s">
        <v>1015</v>
      </c>
      <c r="C709" t="s">
        <v>1029</v>
      </c>
      <c r="D709">
        <v>53</v>
      </c>
      <c r="E709">
        <v>1</v>
      </c>
      <c r="F709" s="3">
        <v>78922</v>
      </c>
      <c r="G709">
        <v>44</v>
      </c>
      <c r="H709">
        <v>14</v>
      </c>
      <c r="I709">
        <v>18</v>
      </c>
      <c r="J709">
        <v>19</v>
      </c>
      <c r="K709">
        <v>3.5</v>
      </c>
      <c r="L709" s="3">
        <v>8.1999999999999993</v>
      </c>
      <c r="M709" t="s">
        <v>1034</v>
      </c>
      <c r="N709">
        <v>83.03</v>
      </c>
    </row>
    <row r="710" spans="1:14" hidden="1" x14ac:dyDescent="0.3">
      <c r="A710" t="s">
        <v>718</v>
      </c>
      <c r="B710" t="s">
        <v>1014</v>
      </c>
      <c r="C710" t="s">
        <v>1031</v>
      </c>
      <c r="D710">
        <v>22</v>
      </c>
      <c r="E710">
        <v>0</v>
      </c>
      <c r="F710" s="3">
        <v>42214</v>
      </c>
      <c r="G710">
        <v>44</v>
      </c>
      <c r="H710">
        <v>11</v>
      </c>
      <c r="I710">
        <v>20</v>
      </c>
      <c r="J710">
        <v>30</v>
      </c>
      <c r="K710">
        <v>2.4</v>
      </c>
      <c r="L710" s="3">
        <v>7.7</v>
      </c>
      <c r="M710" t="s">
        <v>1035</v>
      </c>
      <c r="N710">
        <v>71.73</v>
      </c>
    </row>
    <row r="711" spans="1:14" x14ac:dyDescent="0.3">
      <c r="A711" t="s">
        <v>719</v>
      </c>
      <c r="B711" t="s">
        <v>1017</v>
      </c>
      <c r="C711" t="s">
        <v>1030</v>
      </c>
      <c r="D711">
        <v>33</v>
      </c>
      <c r="E711">
        <v>7</v>
      </c>
      <c r="F711" s="3">
        <v>84427</v>
      </c>
      <c r="G711">
        <v>55</v>
      </c>
      <c r="H711">
        <v>4</v>
      </c>
      <c r="I711">
        <v>0</v>
      </c>
      <c r="J711">
        <v>7</v>
      </c>
      <c r="K711">
        <v>4.3</v>
      </c>
      <c r="L711" s="3">
        <v>6.5</v>
      </c>
      <c r="M711" t="s">
        <v>1035</v>
      </c>
      <c r="N711">
        <v>58.57</v>
      </c>
    </row>
    <row r="712" spans="1:14" x14ac:dyDescent="0.3">
      <c r="A712" t="s">
        <v>720</v>
      </c>
      <c r="B712" t="s">
        <v>1015</v>
      </c>
      <c r="C712" t="s">
        <v>1029</v>
      </c>
      <c r="D712">
        <v>45</v>
      </c>
      <c r="E712">
        <v>15</v>
      </c>
      <c r="F712" s="3">
        <v>62065</v>
      </c>
      <c r="G712">
        <v>48</v>
      </c>
      <c r="H712">
        <v>14</v>
      </c>
      <c r="I712">
        <v>8</v>
      </c>
      <c r="J712">
        <v>40</v>
      </c>
      <c r="K712">
        <v>4.0999999999999996</v>
      </c>
      <c r="L712" s="3">
        <v>9.8000000000000007</v>
      </c>
      <c r="M712" t="s">
        <v>1034</v>
      </c>
      <c r="N712">
        <v>94.43</v>
      </c>
    </row>
    <row r="713" spans="1:14" hidden="1" x14ac:dyDescent="0.3">
      <c r="A713" t="s">
        <v>721</v>
      </c>
      <c r="B713" t="s">
        <v>1016</v>
      </c>
      <c r="C713" t="s">
        <v>1022</v>
      </c>
      <c r="D713">
        <v>54</v>
      </c>
      <c r="E713">
        <v>0</v>
      </c>
      <c r="F713" s="3">
        <v>80396</v>
      </c>
      <c r="G713">
        <v>43</v>
      </c>
      <c r="H713">
        <v>3</v>
      </c>
      <c r="I713">
        <v>18</v>
      </c>
      <c r="J713">
        <v>3</v>
      </c>
      <c r="K713">
        <v>2.4</v>
      </c>
      <c r="L713" s="3">
        <v>6.2</v>
      </c>
      <c r="M713" t="s">
        <v>1035</v>
      </c>
      <c r="N713">
        <v>49.4</v>
      </c>
    </row>
    <row r="714" spans="1:14" hidden="1" x14ac:dyDescent="0.3">
      <c r="A714" t="s">
        <v>722</v>
      </c>
      <c r="B714" t="s">
        <v>1018</v>
      </c>
      <c r="C714" t="s">
        <v>1032</v>
      </c>
      <c r="D714">
        <v>44</v>
      </c>
      <c r="E714">
        <v>5</v>
      </c>
      <c r="F714" s="3">
        <v>28466</v>
      </c>
      <c r="G714">
        <v>43</v>
      </c>
      <c r="H714">
        <v>6</v>
      </c>
      <c r="I714">
        <v>13</v>
      </c>
      <c r="J714">
        <v>40</v>
      </c>
      <c r="K714">
        <v>4.7</v>
      </c>
      <c r="L714" s="3">
        <v>5.5</v>
      </c>
      <c r="M714" t="s">
        <v>1036</v>
      </c>
      <c r="N714">
        <v>57.1</v>
      </c>
    </row>
    <row r="715" spans="1:14" hidden="1" x14ac:dyDescent="0.3">
      <c r="A715" t="s">
        <v>723</v>
      </c>
      <c r="B715" t="s">
        <v>1016</v>
      </c>
      <c r="C715" t="s">
        <v>1023</v>
      </c>
      <c r="D715">
        <v>55</v>
      </c>
      <c r="E715">
        <v>2</v>
      </c>
      <c r="F715" s="3">
        <v>58676</v>
      </c>
      <c r="G715">
        <v>41</v>
      </c>
      <c r="H715">
        <v>13</v>
      </c>
      <c r="I715">
        <v>20</v>
      </c>
      <c r="J715">
        <v>11</v>
      </c>
      <c r="K715">
        <v>4.3</v>
      </c>
      <c r="L715" s="3">
        <v>7.2</v>
      </c>
      <c r="M715" t="s">
        <v>1035</v>
      </c>
      <c r="N715">
        <v>77.77</v>
      </c>
    </row>
    <row r="716" spans="1:14" x14ac:dyDescent="0.3">
      <c r="A716" t="s">
        <v>724</v>
      </c>
      <c r="B716" t="s">
        <v>1015</v>
      </c>
      <c r="C716" t="s">
        <v>1029</v>
      </c>
      <c r="D716">
        <v>42</v>
      </c>
      <c r="E716">
        <v>10</v>
      </c>
      <c r="F716" s="3">
        <v>79186</v>
      </c>
      <c r="G716">
        <v>44</v>
      </c>
      <c r="H716">
        <v>5</v>
      </c>
      <c r="I716">
        <v>21</v>
      </c>
      <c r="J716">
        <v>23</v>
      </c>
      <c r="K716">
        <v>2.2999999999999998</v>
      </c>
      <c r="L716" s="3">
        <v>7.1</v>
      </c>
      <c r="M716" t="s">
        <v>1035</v>
      </c>
      <c r="N716">
        <v>57.83</v>
      </c>
    </row>
    <row r="717" spans="1:14" x14ac:dyDescent="0.3">
      <c r="A717" t="s">
        <v>725</v>
      </c>
      <c r="B717" t="s">
        <v>1014</v>
      </c>
      <c r="C717" t="s">
        <v>1019</v>
      </c>
      <c r="D717">
        <v>30</v>
      </c>
      <c r="E717">
        <v>8</v>
      </c>
      <c r="F717" s="3">
        <v>43442</v>
      </c>
      <c r="G717">
        <v>46</v>
      </c>
      <c r="H717">
        <v>13</v>
      </c>
      <c r="I717">
        <v>15</v>
      </c>
      <c r="J717">
        <v>26</v>
      </c>
      <c r="K717">
        <v>3</v>
      </c>
      <c r="L717" s="3">
        <v>9.4</v>
      </c>
      <c r="M717" t="s">
        <v>1034</v>
      </c>
      <c r="N717">
        <v>87.07</v>
      </c>
    </row>
    <row r="718" spans="1:14" x14ac:dyDescent="0.3">
      <c r="A718" t="s">
        <v>726</v>
      </c>
      <c r="B718" t="s">
        <v>1018</v>
      </c>
      <c r="C718" t="s">
        <v>1027</v>
      </c>
      <c r="D718">
        <v>31</v>
      </c>
      <c r="E718">
        <v>8</v>
      </c>
      <c r="F718" s="3">
        <v>39490</v>
      </c>
      <c r="G718">
        <v>41</v>
      </c>
      <c r="H718">
        <v>13</v>
      </c>
      <c r="I718">
        <v>17</v>
      </c>
      <c r="J718">
        <v>39</v>
      </c>
      <c r="K718">
        <v>4.0999999999999996</v>
      </c>
      <c r="L718" s="3">
        <v>9.6999999999999993</v>
      </c>
      <c r="M718" t="s">
        <v>1034</v>
      </c>
      <c r="N718">
        <v>92.17</v>
      </c>
    </row>
    <row r="719" spans="1:14" hidden="1" x14ac:dyDescent="0.3">
      <c r="A719" t="s">
        <v>727</v>
      </c>
      <c r="B719" t="s">
        <v>1015</v>
      </c>
      <c r="C719" t="s">
        <v>1021</v>
      </c>
      <c r="D719">
        <v>29</v>
      </c>
      <c r="E719">
        <v>6</v>
      </c>
      <c r="F719" s="3">
        <v>55178</v>
      </c>
      <c r="G719">
        <v>37</v>
      </c>
      <c r="H719">
        <v>2</v>
      </c>
      <c r="I719">
        <v>4</v>
      </c>
      <c r="J719">
        <v>1</v>
      </c>
      <c r="K719">
        <v>3.4</v>
      </c>
      <c r="L719" s="3">
        <v>5.2</v>
      </c>
      <c r="M719" t="s">
        <v>1036</v>
      </c>
      <c r="N719">
        <v>44.73</v>
      </c>
    </row>
    <row r="720" spans="1:14" x14ac:dyDescent="0.3">
      <c r="A720" t="s">
        <v>728</v>
      </c>
      <c r="B720" t="s">
        <v>1018</v>
      </c>
      <c r="C720" t="s">
        <v>1028</v>
      </c>
      <c r="D720">
        <v>50</v>
      </c>
      <c r="E720">
        <v>10</v>
      </c>
      <c r="F720" s="3">
        <v>36285</v>
      </c>
      <c r="G720">
        <v>44</v>
      </c>
      <c r="H720">
        <v>1</v>
      </c>
      <c r="I720">
        <v>23</v>
      </c>
      <c r="J720">
        <v>7</v>
      </c>
      <c r="K720">
        <v>2.7</v>
      </c>
      <c r="L720" s="3">
        <v>9</v>
      </c>
      <c r="M720" t="s">
        <v>1034</v>
      </c>
      <c r="N720">
        <v>63.77</v>
      </c>
    </row>
    <row r="721" spans="1:14" hidden="1" x14ac:dyDescent="0.3">
      <c r="A721" t="s">
        <v>729</v>
      </c>
      <c r="B721" t="s">
        <v>1018</v>
      </c>
      <c r="C721" t="s">
        <v>1032</v>
      </c>
      <c r="D721">
        <v>41</v>
      </c>
      <c r="E721">
        <v>4</v>
      </c>
      <c r="F721" s="3">
        <v>38752</v>
      </c>
      <c r="G721">
        <v>39</v>
      </c>
      <c r="H721">
        <v>2</v>
      </c>
      <c r="I721">
        <v>13</v>
      </c>
      <c r="J721">
        <v>7</v>
      </c>
      <c r="K721">
        <v>2.2000000000000002</v>
      </c>
      <c r="L721" s="3">
        <v>8.4</v>
      </c>
      <c r="M721" t="s">
        <v>1034</v>
      </c>
      <c r="N721">
        <v>60.33</v>
      </c>
    </row>
    <row r="722" spans="1:14" hidden="1" x14ac:dyDescent="0.3">
      <c r="A722" t="s">
        <v>730</v>
      </c>
      <c r="B722" t="s">
        <v>1014</v>
      </c>
      <c r="C722" t="s">
        <v>1019</v>
      </c>
      <c r="D722">
        <v>34</v>
      </c>
      <c r="E722">
        <v>1</v>
      </c>
      <c r="F722" s="3">
        <v>27149</v>
      </c>
      <c r="G722">
        <v>51</v>
      </c>
      <c r="H722">
        <v>10</v>
      </c>
      <c r="I722">
        <v>1</v>
      </c>
      <c r="J722">
        <v>30</v>
      </c>
      <c r="K722">
        <v>2.4</v>
      </c>
      <c r="L722" s="3">
        <v>4.8</v>
      </c>
      <c r="M722" t="s">
        <v>1036</v>
      </c>
      <c r="N722">
        <v>52.67</v>
      </c>
    </row>
    <row r="723" spans="1:14" hidden="1" x14ac:dyDescent="0.3">
      <c r="A723" t="s">
        <v>731</v>
      </c>
      <c r="B723" t="s">
        <v>1016</v>
      </c>
      <c r="C723" t="s">
        <v>1022</v>
      </c>
      <c r="D723">
        <v>22</v>
      </c>
      <c r="E723">
        <v>0</v>
      </c>
      <c r="F723" s="3">
        <v>76273</v>
      </c>
      <c r="G723">
        <v>38</v>
      </c>
      <c r="H723">
        <v>15</v>
      </c>
      <c r="I723">
        <v>19</v>
      </c>
      <c r="J723">
        <v>13</v>
      </c>
      <c r="K723">
        <v>3.8</v>
      </c>
      <c r="L723" s="3">
        <v>4.4000000000000004</v>
      </c>
      <c r="M723" t="s">
        <v>1036</v>
      </c>
      <c r="N723">
        <v>62.8</v>
      </c>
    </row>
    <row r="724" spans="1:14" hidden="1" x14ac:dyDescent="0.3">
      <c r="A724" t="s">
        <v>732</v>
      </c>
      <c r="B724" t="s">
        <v>1016</v>
      </c>
      <c r="C724" t="s">
        <v>1022</v>
      </c>
      <c r="D724">
        <v>23</v>
      </c>
      <c r="E724">
        <v>0</v>
      </c>
      <c r="F724" s="3">
        <v>34539</v>
      </c>
      <c r="G724">
        <v>43</v>
      </c>
      <c r="H724">
        <v>10</v>
      </c>
      <c r="I724">
        <v>11</v>
      </c>
      <c r="J724">
        <v>22</v>
      </c>
      <c r="K724">
        <v>2.5</v>
      </c>
      <c r="L724" s="3">
        <v>6.5</v>
      </c>
      <c r="M724" t="s">
        <v>1035</v>
      </c>
      <c r="N724">
        <v>63.17</v>
      </c>
    </row>
    <row r="725" spans="1:14" hidden="1" x14ac:dyDescent="0.3">
      <c r="A725" t="s">
        <v>733</v>
      </c>
      <c r="B725" t="s">
        <v>1015</v>
      </c>
      <c r="C725" t="s">
        <v>1021</v>
      </c>
      <c r="D725">
        <v>37</v>
      </c>
      <c r="E725">
        <v>2</v>
      </c>
      <c r="F725" s="3">
        <v>31494</v>
      </c>
      <c r="G725">
        <v>53</v>
      </c>
      <c r="H725">
        <v>13</v>
      </c>
      <c r="I725">
        <v>0</v>
      </c>
      <c r="J725">
        <v>33</v>
      </c>
      <c r="K725">
        <v>2.7</v>
      </c>
      <c r="L725" s="3">
        <v>4.3</v>
      </c>
      <c r="M725" t="s">
        <v>1036</v>
      </c>
      <c r="N725">
        <v>55.57</v>
      </c>
    </row>
    <row r="726" spans="1:14" hidden="1" x14ac:dyDescent="0.3">
      <c r="A726" t="s">
        <v>734</v>
      </c>
      <c r="B726" t="s">
        <v>1018</v>
      </c>
      <c r="C726" t="s">
        <v>1032</v>
      </c>
      <c r="D726">
        <v>22</v>
      </c>
      <c r="E726">
        <v>0</v>
      </c>
      <c r="F726" s="3">
        <v>85570</v>
      </c>
      <c r="G726">
        <v>41</v>
      </c>
      <c r="H726">
        <v>15</v>
      </c>
      <c r="I726">
        <v>16</v>
      </c>
      <c r="J726">
        <v>30</v>
      </c>
      <c r="K726">
        <v>3.1</v>
      </c>
      <c r="L726" s="3">
        <v>7.1</v>
      </c>
      <c r="M726" t="s">
        <v>1035</v>
      </c>
      <c r="N726">
        <v>76.900000000000006</v>
      </c>
    </row>
    <row r="727" spans="1:14" hidden="1" x14ac:dyDescent="0.3">
      <c r="A727" t="s">
        <v>735</v>
      </c>
      <c r="B727" t="s">
        <v>1014</v>
      </c>
      <c r="C727" t="s">
        <v>1031</v>
      </c>
      <c r="D727">
        <v>33</v>
      </c>
      <c r="E727">
        <v>5</v>
      </c>
      <c r="F727" s="3">
        <v>89310</v>
      </c>
      <c r="G727">
        <v>47</v>
      </c>
      <c r="H727">
        <v>7</v>
      </c>
      <c r="I727">
        <v>6</v>
      </c>
      <c r="J727">
        <v>32</v>
      </c>
      <c r="K727">
        <v>2.7</v>
      </c>
      <c r="L727" s="3">
        <v>3.8</v>
      </c>
      <c r="M727" t="s">
        <v>1036</v>
      </c>
      <c r="N727">
        <v>42.57</v>
      </c>
    </row>
    <row r="728" spans="1:14" hidden="1" x14ac:dyDescent="0.3">
      <c r="A728" t="s">
        <v>736</v>
      </c>
      <c r="B728" t="s">
        <v>1014</v>
      </c>
      <c r="C728" t="s">
        <v>1019</v>
      </c>
      <c r="D728">
        <v>51</v>
      </c>
      <c r="E728">
        <v>3</v>
      </c>
      <c r="F728" s="3">
        <v>59060</v>
      </c>
      <c r="G728">
        <v>39</v>
      </c>
      <c r="H728">
        <v>8</v>
      </c>
      <c r="I728">
        <v>24</v>
      </c>
      <c r="J728">
        <v>23</v>
      </c>
      <c r="K728">
        <v>4.0999999999999996</v>
      </c>
      <c r="L728" s="3">
        <v>6.9</v>
      </c>
      <c r="M728" t="s">
        <v>1035</v>
      </c>
      <c r="N728">
        <v>67.03</v>
      </c>
    </row>
    <row r="729" spans="1:14" x14ac:dyDescent="0.3">
      <c r="A729" t="s">
        <v>737</v>
      </c>
      <c r="B729" t="s">
        <v>1014</v>
      </c>
      <c r="C729" t="s">
        <v>1031</v>
      </c>
      <c r="D729">
        <v>42</v>
      </c>
      <c r="E729">
        <v>15</v>
      </c>
      <c r="F729" s="3">
        <v>32583</v>
      </c>
      <c r="G729">
        <v>47</v>
      </c>
      <c r="H729">
        <v>5</v>
      </c>
      <c r="I729">
        <v>14</v>
      </c>
      <c r="J729">
        <v>38</v>
      </c>
      <c r="K729">
        <v>4.2</v>
      </c>
      <c r="L729" s="3">
        <v>7.8</v>
      </c>
      <c r="M729" t="s">
        <v>1035</v>
      </c>
      <c r="N729">
        <v>67.73</v>
      </c>
    </row>
    <row r="730" spans="1:14" x14ac:dyDescent="0.3">
      <c r="A730" t="s">
        <v>738</v>
      </c>
      <c r="B730" t="s">
        <v>1018</v>
      </c>
      <c r="C730" t="s">
        <v>1028</v>
      </c>
      <c r="D730">
        <v>48</v>
      </c>
      <c r="E730">
        <v>9</v>
      </c>
      <c r="F730" s="3">
        <v>89550</v>
      </c>
      <c r="G730">
        <v>48</v>
      </c>
      <c r="H730">
        <v>4</v>
      </c>
      <c r="I730">
        <v>2</v>
      </c>
      <c r="J730">
        <v>30</v>
      </c>
      <c r="K730">
        <v>4.8</v>
      </c>
      <c r="L730" s="3">
        <v>5.6</v>
      </c>
      <c r="M730" t="s">
        <v>1036</v>
      </c>
      <c r="N730">
        <v>54.67</v>
      </c>
    </row>
    <row r="731" spans="1:14" x14ac:dyDescent="0.3">
      <c r="A731" t="s">
        <v>739</v>
      </c>
      <c r="B731" t="s">
        <v>1017</v>
      </c>
      <c r="C731" t="s">
        <v>1024</v>
      </c>
      <c r="D731">
        <v>28</v>
      </c>
      <c r="E731">
        <v>6</v>
      </c>
      <c r="F731" s="3">
        <v>53708</v>
      </c>
      <c r="G731">
        <v>51</v>
      </c>
      <c r="H731">
        <v>11</v>
      </c>
      <c r="I731">
        <v>21</v>
      </c>
      <c r="J731">
        <v>5</v>
      </c>
      <c r="K731">
        <v>2.4</v>
      </c>
      <c r="L731" s="3">
        <v>5.8</v>
      </c>
      <c r="M731" t="s">
        <v>1036</v>
      </c>
      <c r="N731">
        <v>60.33</v>
      </c>
    </row>
    <row r="732" spans="1:14" hidden="1" x14ac:dyDescent="0.3">
      <c r="A732" t="s">
        <v>740</v>
      </c>
      <c r="B732" t="s">
        <v>1015</v>
      </c>
      <c r="C732" t="s">
        <v>1029</v>
      </c>
      <c r="D732">
        <v>28</v>
      </c>
      <c r="E732">
        <v>2</v>
      </c>
      <c r="F732" s="3">
        <v>29240</v>
      </c>
      <c r="G732">
        <v>46</v>
      </c>
      <c r="H732">
        <v>4</v>
      </c>
      <c r="I732">
        <v>10</v>
      </c>
      <c r="J732">
        <v>12</v>
      </c>
      <c r="K732">
        <v>3.8</v>
      </c>
      <c r="L732" s="3">
        <v>9.9</v>
      </c>
      <c r="M732" t="s">
        <v>1034</v>
      </c>
      <c r="N732">
        <v>77.47</v>
      </c>
    </row>
    <row r="733" spans="1:14" x14ac:dyDescent="0.3">
      <c r="A733" t="s">
        <v>741</v>
      </c>
      <c r="B733" t="s">
        <v>1018</v>
      </c>
      <c r="C733" t="s">
        <v>1032</v>
      </c>
      <c r="D733">
        <v>49</v>
      </c>
      <c r="E733">
        <v>15</v>
      </c>
      <c r="F733" s="3">
        <v>43252</v>
      </c>
      <c r="G733">
        <v>53</v>
      </c>
      <c r="H733">
        <v>10</v>
      </c>
      <c r="I733">
        <v>8</v>
      </c>
      <c r="J733">
        <v>25</v>
      </c>
      <c r="K733">
        <v>3.1</v>
      </c>
      <c r="L733" s="3">
        <v>7.7</v>
      </c>
      <c r="M733" t="s">
        <v>1035</v>
      </c>
      <c r="N733">
        <v>72.17</v>
      </c>
    </row>
    <row r="734" spans="1:14" x14ac:dyDescent="0.3">
      <c r="A734" t="s">
        <v>742</v>
      </c>
      <c r="B734" t="s">
        <v>1017</v>
      </c>
      <c r="C734" t="s">
        <v>1030</v>
      </c>
      <c r="D734">
        <v>54</v>
      </c>
      <c r="E734">
        <v>8</v>
      </c>
      <c r="F734" s="3">
        <v>34658</v>
      </c>
      <c r="G734">
        <v>49</v>
      </c>
      <c r="H734">
        <v>2</v>
      </c>
      <c r="I734">
        <v>3</v>
      </c>
      <c r="J734">
        <v>16</v>
      </c>
      <c r="K734">
        <v>3.5</v>
      </c>
      <c r="L734" s="3">
        <v>4.5999999999999996</v>
      </c>
      <c r="M734" t="s">
        <v>1036</v>
      </c>
      <c r="N734">
        <v>41.43</v>
      </c>
    </row>
    <row r="735" spans="1:14" hidden="1" x14ac:dyDescent="0.3">
      <c r="A735" t="s">
        <v>743</v>
      </c>
      <c r="B735" t="s">
        <v>1014</v>
      </c>
      <c r="C735" t="s">
        <v>1025</v>
      </c>
      <c r="D735">
        <v>28</v>
      </c>
      <c r="E735">
        <v>0</v>
      </c>
      <c r="F735" s="3">
        <v>79415</v>
      </c>
      <c r="G735">
        <v>37</v>
      </c>
      <c r="H735">
        <v>8</v>
      </c>
      <c r="I735">
        <v>21</v>
      </c>
      <c r="J735">
        <v>1</v>
      </c>
      <c r="K735">
        <v>4.9000000000000004</v>
      </c>
      <c r="L735" s="3">
        <v>5.7</v>
      </c>
      <c r="M735" t="s">
        <v>1036</v>
      </c>
      <c r="N735">
        <v>62.23</v>
      </c>
    </row>
    <row r="736" spans="1:14" hidden="1" x14ac:dyDescent="0.3">
      <c r="A736" t="s">
        <v>744</v>
      </c>
      <c r="B736" t="s">
        <v>1016</v>
      </c>
      <c r="C736" t="s">
        <v>1033</v>
      </c>
      <c r="D736">
        <v>31</v>
      </c>
      <c r="E736">
        <v>4</v>
      </c>
      <c r="F736" s="3">
        <v>65761</v>
      </c>
      <c r="G736">
        <v>54</v>
      </c>
      <c r="H736">
        <v>2</v>
      </c>
      <c r="I736">
        <v>24</v>
      </c>
      <c r="J736">
        <v>4</v>
      </c>
      <c r="K736">
        <v>4</v>
      </c>
      <c r="L736" s="3">
        <v>6.6</v>
      </c>
      <c r="M736" t="s">
        <v>1035</v>
      </c>
      <c r="N736">
        <v>54.93</v>
      </c>
    </row>
    <row r="737" spans="1:14" hidden="1" x14ac:dyDescent="0.3">
      <c r="A737" t="s">
        <v>745</v>
      </c>
      <c r="B737" t="s">
        <v>1017</v>
      </c>
      <c r="C737" t="s">
        <v>1024</v>
      </c>
      <c r="D737">
        <v>34</v>
      </c>
      <c r="E737">
        <v>4</v>
      </c>
      <c r="F737" s="3">
        <v>68390</v>
      </c>
      <c r="G737">
        <v>50</v>
      </c>
      <c r="H737">
        <v>8</v>
      </c>
      <c r="I737">
        <v>16</v>
      </c>
      <c r="J737">
        <v>16</v>
      </c>
      <c r="K737">
        <v>3.6</v>
      </c>
      <c r="L737" s="3">
        <v>8.6999999999999993</v>
      </c>
      <c r="M737" t="s">
        <v>1034</v>
      </c>
      <c r="N737">
        <v>76.33</v>
      </c>
    </row>
    <row r="738" spans="1:14" hidden="1" x14ac:dyDescent="0.3">
      <c r="A738" t="s">
        <v>746</v>
      </c>
      <c r="B738" t="s">
        <v>1015</v>
      </c>
      <c r="C738" t="s">
        <v>1021</v>
      </c>
      <c r="D738">
        <v>23</v>
      </c>
      <c r="E738">
        <v>0</v>
      </c>
      <c r="F738" s="3">
        <v>89927</v>
      </c>
      <c r="G738">
        <v>48</v>
      </c>
      <c r="H738">
        <v>15</v>
      </c>
      <c r="I738">
        <v>3</v>
      </c>
      <c r="J738">
        <v>24</v>
      </c>
      <c r="K738">
        <v>3.4</v>
      </c>
      <c r="L738" s="3">
        <v>9</v>
      </c>
      <c r="M738" t="s">
        <v>1034</v>
      </c>
      <c r="N738">
        <v>89.2</v>
      </c>
    </row>
    <row r="739" spans="1:14" hidden="1" x14ac:dyDescent="0.3">
      <c r="A739" t="s">
        <v>747</v>
      </c>
      <c r="B739" t="s">
        <v>1017</v>
      </c>
      <c r="C739" t="s">
        <v>1026</v>
      </c>
      <c r="D739">
        <v>24</v>
      </c>
      <c r="E739">
        <v>0</v>
      </c>
      <c r="F739" s="3">
        <v>36591</v>
      </c>
      <c r="G739">
        <v>52</v>
      </c>
      <c r="H739">
        <v>11</v>
      </c>
      <c r="I739">
        <v>24</v>
      </c>
      <c r="J739">
        <v>19</v>
      </c>
      <c r="K739">
        <v>4.7</v>
      </c>
      <c r="L739" s="3">
        <v>4.0999999999999996</v>
      </c>
      <c r="M739" t="s">
        <v>1036</v>
      </c>
      <c r="N739">
        <v>57.03</v>
      </c>
    </row>
    <row r="740" spans="1:14" hidden="1" x14ac:dyDescent="0.3">
      <c r="A740" t="s">
        <v>748</v>
      </c>
      <c r="B740" t="s">
        <v>1018</v>
      </c>
      <c r="C740" t="s">
        <v>1027</v>
      </c>
      <c r="D740">
        <v>41</v>
      </c>
      <c r="E740">
        <v>12</v>
      </c>
      <c r="F740" s="3">
        <v>56945</v>
      </c>
      <c r="G740">
        <v>38</v>
      </c>
      <c r="H740">
        <v>10</v>
      </c>
      <c r="I740">
        <v>21</v>
      </c>
      <c r="J740">
        <v>31</v>
      </c>
      <c r="K740">
        <v>4</v>
      </c>
      <c r="L740" s="3">
        <v>7.8</v>
      </c>
      <c r="M740" t="s">
        <v>1035</v>
      </c>
      <c r="N740">
        <v>75.47</v>
      </c>
    </row>
    <row r="741" spans="1:14" hidden="1" x14ac:dyDescent="0.3">
      <c r="A741" t="s">
        <v>749</v>
      </c>
      <c r="B741" t="s">
        <v>1017</v>
      </c>
      <c r="C741" t="s">
        <v>1024</v>
      </c>
      <c r="D741">
        <v>52</v>
      </c>
      <c r="E741">
        <v>5</v>
      </c>
      <c r="F741" s="3">
        <v>58206</v>
      </c>
      <c r="G741">
        <v>36</v>
      </c>
      <c r="H741">
        <v>7</v>
      </c>
      <c r="I741">
        <v>8</v>
      </c>
      <c r="J741">
        <v>31</v>
      </c>
      <c r="K741">
        <v>3.8</v>
      </c>
      <c r="L741" s="3">
        <v>5.6</v>
      </c>
      <c r="M741" t="s">
        <v>1036</v>
      </c>
      <c r="N741">
        <v>56.67</v>
      </c>
    </row>
    <row r="742" spans="1:14" hidden="1" x14ac:dyDescent="0.3">
      <c r="A742" t="s">
        <v>750</v>
      </c>
      <c r="B742" t="s">
        <v>1016</v>
      </c>
      <c r="C742" t="s">
        <v>1022</v>
      </c>
      <c r="D742">
        <v>40</v>
      </c>
      <c r="E742">
        <v>10</v>
      </c>
      <c r="F742" s="3">
        <v>29025</v>
      </c>
      <c r="G742">
        <v>35</v>
      </c>
      <c r="H742">
        <v>10</v>
      </c>
      <c r="I742">
        <v>1</v>
      </c>
      <c r="J742">
        <v>8</v>
      </c>
      <c r="K742">
        <v>4.5</v>
      </c>
      <c r="L742" s="3">
        <v>5.4</v>
      </c>
      <c r="M742" t="s">
        <v>1036</v>
      </c>
      <c r="N742">
        <v>62.57</v>
      </c>
    </row>
    <row r="743" spans="1:14" hidden="1" x14ac:dyDescent="0.3">
      <c r="A743" t="s">
        <v>751</v>
      </c>
      <c r="B743" t="s">
        <v>1015</v>
      </c>
      <c r="C743" t="s">
        <v>1029</v>
      </c>
      <c r="D743">
        <v>23</v>
      </c>
      <c r="E743">
        <v>2</v>
      </c>
      <c r="F743" s="3">
        <v>47364</v>
      </c>
      <c r="G743">
        <v>47</v>
      </c>
      <c r="H743">
        <v>2</v>
      </c>
      <c r="I743">
        <v>13</v>
      </c>
      <c r="J743">
        <v>22</v>
      </c>
      <c r="K743">
        <v>5</v>
      </c>
      <c r="L743" s="3">
        <v>5.9</v>
      </c>
      <c r="M743" t="s">
        <v>1036</v>
      </c>
      <c r="N743">
        <v>53.73</v>
      </c>
    </row>
    <row r="744" spans="1:14" x14ac:dyDescent="0.3">
      <c r="A744" t="s">
        <v>752</v>
      </c>
      <c r="B744" t="s">
        <v>1018</v>
      </c>
      <c r="C744" t="s">
        <v>1028</v>
      </c>
      <c r="D744">
        <v>37</v>
      </c>
      <c r="E744">
        <v>7</v>
      </c>
      <c r="F744" s="3">
        <v>67472</v>
      </c>
      <c r="G744">
        <v>44</v>
      </c>
      <c r="H744">
        <v>10</v>
      </c>
      <c r="I744">
        <v>2</v>
      </c>
      <c r="J744">
        <v>4</v>
      </c>
      <c r="K744">
        <v>4.5999999999999996</v>
      </c>
      <c r="L744" s="3">
        <v>3.8</v>
      </c>
      <c r="M744" t="s">
        <v>1036</v>
      </c>
      <c r="N744">
        <v>53.27</v>
      </c>
    </row>
    <row r="745" spans="1:14" hidden="1" x14ac:dyDescent="0.3">
      <c r="A745" t="s">
        <v>753</v>
      </c>
      <c r="B745" t="s">
        <v>1014</v>
      </c>
      <c r="C745" t="s">
        <v>1025</v>
      </c>
      <c r="D745">
        <v>42</v>
      </c>
      <c r="E745">
        <v>1</v>
      </c>
      <c r="F745" s="3">
        <v>55206</v>
      </c>
      <c r="G745">
        <v>48</v>
      </c>
      <c r="H745">
        <v>10</v>
      </c>
      <c r="I745">
        <v>16</v>
      </c>
      <c r="J745">
        <v>26</v>
      </c>
      <c r="K745">
        <v>2.8</v>
      </c>
      <c r="L745" s="3">
        <v>7.9</v>
      </c>
      <c r="M745" t="s">
        <v>1035</v>
      </c>
      <c r="N745">
        <v>72.47</v>
      </c>
    </row>
    <row r="746" spans="1:14" x14ac:dyDescent="0.3">
      <c r="A746" t="s">
        <v>754</v>
      </c>
      <c r="B746" t="s">
        <v>1014</v>
      </c>
      <c r="C746" t="s">
        <v>1025</v>
      </c>
      <c r="D746">
        <v>42</v>
      </c>
      <c r="E746">
        <v>12</v>
      </c>
      <c r="F746" s="3">
        <v>62378</v>
      </c>
      <c r="G746">
        <v>47</v>
      </c>
      <c r="H746">
        <v>6</v>
      </c>
      <c r="I746">
        <v>18</v>
      </c>
      <c r="J746">
        <v>6</v>
      </c>
      <c r="K746">
        <v>4.4000000000000004</v>
      </c>
      <c r="L746" s="3">
        <v>3.7</v>
      </c>
      <c r="M746" t="s">
        <v>1036</v>
      </c>
      <c r="N746">
        <v>45.4</v>
      </c>
    </row>
    <row r="747" spans="1:14" x14ac:dyDescent="0.3">
      <c r="A747" t="s">
        <v>755</v>
      </c>
      <c r="B747" t="s">
        <v>1018</v>
      </c>
      <c r="C747" t="s">
        <v>1032</v>
      </c>
      <c r="D747">
        <v>43</v>
      </c>
      <c r="E747">
        <v>15</v>
      </c>
      <c r="F747" s="3">
        <v>57949</v>
      </c>
      <c r="G747">
        <v>45</v>
      </c>
      <c r="H747">
        <v>3</v>
      </c>
      <c r="I747">
        <v>19</v>
      </c>
      <c r="J747">
        <v>19</v>
      </c>
      <c r="K747">
        <v>3.1</v>
      </c>
      <c r="L747" s="3">
        <v>6.1</v>
      </c>
      <c r="M747" t="s">
        <v>1035</v>
      </c>
      <c r="N747">
        <v>50.9</v>
      </c>
    </row>
    <row r="748" spans="1:14" hidden="1" x14ac:dyDescent="0.3">
      <c r="A748" t="s">
        <v>756</v>
      </c>
      <c r="B748" t="s">
        <v>1014</v>
      </c>
      <c r="C748" t="s">
        <v>1019</v>
      </c>
      <c r="D748">
        <v>35</v>
      </c>
      <c r="E748">
        <v>4</v>
      </c>
      <c r="F748" s="3">
        <v>42377</v>
      </c>
      <c r="G748">
        <v>36</v>
      </c>
      <c r="H748">
        <v>5</v>
      </c>
      <c r="I748">
        <v>18</v>
      </c>
      <c r="J748">
        <v>25</v>
      </c>
      <c r="K748">
        <v>4.4000000000000004</v>
      </c>
      <c r="L748" s="3">
        <v>7.4</v>
      </c>
      <c r="M748" t="s">
        <v>1035</v>
      </c>
      <c r="N748">
        <v>65.930000000000007</v>
      </c>
    </row>
    <row r="749" spans="1:14" hidden="1" x14ac:dyDescent="0.3">
      <c r="A749" t="s">
        <v>757</v>
      </c>
      <c r="B749" t="s">
        <v>1015</v>
      </c>
      <c r="C749" t="s">
        <v>1029</v>
      </c>
      <c r="D749">
        <v>28</v>
      </c>
      <c r="E749">
        <v>5</v>
      </c>
      <c r="F749" s="3">
        <v>42915</v>
      </c>
      <c r="G749">
        <v>37</v>
      </c>
      <c r="H749">
        <v>10</v>
      </c>
      <c r="I749">
        <v>25</v>
      </c>
      <c r="J749">
        <v>33</v>
      </c>
      <c r="K749">
        <v>3.4</v>
      </c>
      <c r="L749" s="3">
        <v>4.5</v>
      </c>
      <c r="M749" t="s">
        <v>1036</v>
      </c>
      <c r="N749">
        <v>53.87</v>
      </c>
    </row>
    <row r="750" spans="1:14" x14ac:dyDescent="0.3">
      <c r="A750" t="s">
        <v>758</v>
      </c>
      <c r="B750" t="s">
        <v>1016</v>
      </c>
      <c r="C750" t="s">
        <v>1033</v>
      </c>
      <c r="D750">
        <v>54</v>
      </c>
      <c r="E750">
        <v>9</v>
      </c>
      <c r="F750" s="3">
        <v>53371</v>
      </c>
      <c r="G750">
        <v>52</v>
      </c>
      <c r="H750">
        <v>6</v>
      </c>
      <c r="I750">
        <v>6</v>
      </c>
      <c r="J750">
        <v>26</v>
      </c>
      <c r="K750">
        <v>3.2</v>
      </c>
      <c r="L750" s="3">
        <v>7.4</v>
      </c>
      <c r="M750" t="s">
        <v>1035</v>
      </c>
      <c r="N750">
        <v>64</v>
      </c>
    </row>
    <row r="751" spans="1:14" hidden="1" x14ac:dyDescent="0.3">
      <c r="A751" t="s">
        <v>759</v>
      </c>
      <c r="B751" t="s">
        <v>1015</v>
      </c>
      <c r="C751" t="s">
        <v>1020</v>
      </c>
      <c r="D751">
        <v>33</v>
      </c>
      <c r="E751">
        <v>0</v>
      </c>
      <c r="F751" s="3">
        <v>66146</v>
      </c>
      <c r="G751">
        <v>51</v>
      </c>
      <c r="H751">
        <v>14</v>
      </c>
      <c r="I751">
        <v>5</v>
      </c>
      <c r="J751">
        <v>36</v>
      </c>
      <c r="K751">
        <v>3.5</v>
      </c>
      <c r="L751" s="3">
        <v>7.6</v>
      </c>
      <c r="M751" t="s">
        <v>1035</v>
      </c>
      <c r="N751">
        <v>79.430000000000007</v>
      </c>
    </row>
    <row r="752" spans="1:14" x14ac:dyDescent="0.3">
      <c r="A752" t="s">
        <v>760</v>
      </c>
      <c r="B752" t="s">
        <v>1017</v>
      </c>
      <c r="C752" t="s">
        <v>1030</v>
      </c>
      <c r="D752">
        <v>39</v>
      </c>
      <c r="E752">
        <v>13</v>
      </c>
      <c r="F752" s="3">
        <v>86252</v>
      </c>
      <c r="G752">
        <v>53</v>
      </c>
      <c r="H752">
        <v>12</v>
      </c>
      <c r="I752">
        <v>20</v>
      </c>
      <c r="J752">
        <v>3</v>
      </c>
      <c r="K752">
        <v>3.6</v>
      </c>
      <c r="L752" s="3">
        <v>5.5</v>
      </c>
      <c r="M752" t="s">
        <v>1036</v>
      </c>
      <c r="N752">
        <v>63.8</v>
      </c>
    </row>
    <row r="753" spans="1:14" x14ac:dyDescent="0.3">
      <c r="A753" t="s">
        <v>761</v>
      </c>
      <c r="B753" t="s">
        <v>1018</v>
      </c>
      <c r="C753" t="s">
        <v>1028</v>
      </c>
      <c r="D753">
        <v>31</v>
      </c>
      <c r="E753">
        <v>10</v>
      </c>
      <c r="F753" s="3">
        <v>75169</v>
      </c>
      <c r="G753">
        <v>44</v>
      </c>
      <c r="H753">
        <v>14</v>
      </c>
      <c r="I753">
        <v>13</v>
      </c>
      <c r="J753">
        <v>26</v>
      </c>
      <c r="K753">
        <v>3</v>
      </c>
      <c r="L753" s="3">
        <v>8.8000000000000007</v>
      </c>
      <c r="M753" t="s">
        <v>1034</v>
      </c>
      <c r="N753">
        <v>85.13</v>
      </c>
    </row>
    <row r="754" spans="1:14" x14ac:dyDescent="0.3">
      <c r="A754" t="s">
        <v>762</v>
      </c>
      <c r="B754" t="s">
        <v>1018</v>
      </c>
      <c r="C754" t="s">
        <v>1028</v>
      </c>
      <c r="D754">
        <v>48</v>
      </c>
      <c r="E754">
        <v>8</v>
      </c>
      <c r="F754" s="3">
        <v>78982</v>
      </c>
      <c r="G754">
        <v>44</v>
      </c>
      <c r="H754">
        <v>11</v>
      </c>
      <c r="I754">
        <v>5</v>
      </c>
      <c r="J754">
        <v>16</v>
      </c>
      <c r="K754">
        <v>4.0999999999999996</v>
      </c>
      <c r="L754" s="3">
        <v>4.7</v>
      </c>
      <c r="M754" t="s">
        <v>1036</v>
      </c>
      <c r="N754">
        <v>58.83</v>
      </c>
    </row>
    <row r="755" spans="1:14" hidden="1" x14ac:dyDescent="0.3">
      <c r="A755" t="s">
        <v>763</v>
      </c>
      <c r="B755" t="s">
        <v>1014</v>
      </c>
      <c r="C755" t="s">
        <v>1031</v>
      </c>
      <c r="D755">
        <v>31</v>
      </c>
      <c r="E755">
        <v>3</v>
      </c>
      <c r="F755" s="3">
        <v>26815</v>
      </c>
      <c r="G755">
        <v>42</v>
      </c>
      <c r="H755">
        <v>13</v>
      </c>
      <c r="I755">
        <v>9</v>
      </c>
      <c r="J755">
        <v>29</v>
      </c>
      <c r="K755">
        <v>3.5</v>
      </c>
      <c r="L755" s="3">
        <v>9.9</v>
      </c>
      <c r="M755" t="s">
        <v>1034</v>
      </c>
      <c r="N755">
        <v>91.57</v>
      </c>
    </row>
    <row r="756" spans="1:14" hidden="1" x14ac:dyDescent="0.3">
      <c r="A756" t="s">
        <v>764</v>
      </c>
      <c r="B756" t="s">
        <v>1014</v>
      </c>
      <c r="C756" t="s">
        <v>1019</v>
      </c>
      <c r="D756">
        <v>34</v>
      </c>
      <c r="E756">
        <v>2</v>
      </c>
      <c r="F756" s="3">
        <v>42872</v>
      </c>
      <c r="G756">
        <v>39</v>
      </c>
      <c r="H756">
        <v>1</v>
      </c>
      <c r="I756">
        <v>8</v>
      </c>
      <c r="J756">
        <v>17</v>
      </c>
      <c r="K756">
        <v>4</v>
      </c>
      <c r="L756" s="3">
        <v>4.2</v>
      </c>
      <c r="M756" t="s">
        <v>1036</v>
      </c>
      <c r="N756">
        <v>38.869999999999997</v>
      </c>
    </row>
    <row r="757" spans="1:14" hidden="1" x14ac:dyDescent="0.3">
      <c r="A757" t="s">
        <v>765</v>
      </c>
      <c r="B757" t="s">
        <v>1017</v>
      </c>
      <c r="C757" t="s">
        <v>1026</v>
      </c>
      <c r="D757">
        <v>23</v>
      </c>
      <c r="E757">
        <v>0</v>
      </c>
      <c r="F757" s="3">
        <v>81333</v>
      </c>
      <c r="G757">
        <v>37</v>
      </c>
      <c r="H757">
        <v>6</v>
      </c>
      <c r="I757">
        <v>19</v>
      </c>
      <c r="J757">
        <v>19</v>
      </c>
      <c r="K757">
        <v>4.5999999999999996</v>
      </c>
      <c r="L757" s="3">
        <v>9.3000000000000007</v>
      </c>
      <c r="M757" t="s">
        <v>1034</v>
      </c>
      <c r="N757">
        <v>79.599999999999994</v>
      </c>
    </row>
    <row r="758" spans="1:14" hidden="1" x14ac:dyDescent="0.3">
      <c r="A758" t="s">
        <v>766</v>
      </c>
      <c r="B758" t="s">
        <v>1016</v>
      </c>
      <c r="C758" t="s">
        <v>1022</v>
      </c>
      <c r="D758">
        <v>27</v>
      </c>
      <c r="E758">
        <v>3</v>
      </c>
      <c r="F758" s="3">
        <v>86811</v>
      </c>
      <c r="G758">
        <v>39</v>
      </c>
      <c r="H758">
        <v>4</v>
      </c>
      <c r="I758">
        <v>3</v>
      </c>
      <c r="J758">
        <v>36</v>
      </c>
      <c r="K758">
        <v>4.2</v>
      </c>
      <c r="L758" s="3">
        <v>9.5</v>
      </c>
      <c r="M758" t="s">
        <v>1034</v>
      </c>
      <c r="N758">
        <v>76.27</v>
      </c>
    </row>
    <row r="759" spans="1:14" hidden="1" x14ac:dyDescent="0.3">
      <c r="A759" t="s">
        <v>767</v>
      </c>
      <c r="B759" t="s">
        <v>1015</v>
      </c>
      <c r="C759" t="s">
        <v>1020</v>
      </c>
      <c r="D759">
        <v>55</v>
      </c>
      <c r="E759">
        <v>8</v>
      </c>
      <c r="F759" s="3">
        <v>57535</v>
      </c>
      <c r="G759">
        <v>37</v>
      </c>
      <c r="H759">
        <v>4</v>
      </c>
      <c r="I759">
        <v>19</v>
      </c>
      <c r="J759">
        <v>7</v>
      </c>
      <c r="K759">
        <v>4.3</v>
      </c>
      <c r="L759" s="3">
        <v>5.2</v>
      </c>
      <c r="M759" t="s">
        <v>1036</v>
      </c>
      <c r="N759">
        <v>50.77</v>
      </c>
    </row>
    <row r="760" spans="1:14" hidden="1" x14ac:dyDescent="0.3">
      <c r="A760" t="s">
        <v>768</v>
      </c>
      <c r="B760" t="s">
        <v>1017</v>
      </c>
      <c r="C760" t="s">
        <v>1026</v>
      </c>
      <c r="D760">
        <v>37</v>
      </c>
      <c r="E760">
        <v>13</v>
      </c>
      <c r="F760" s="3">
        <v>39287</v>
      </c>
      <c r="G760">
        <v>39</v>
      </c>
      <c r="H760">
        <v>2</v>
      </c>
      <c r="I760">
        <v>5</v>
      </c>
      <c r="J760">
        <v>13</v>
      </c>
      <c r="K760">
        <v>4.9000000000000004</v>
      </c>
      <c r="L760" s="3">
        <v>6.1</v>
      </c>
      <c r="M760" t="s">
        <v>1035</v>
      </c>
      <c r="N760">
        <v>54.63</v>
      </c>
    </row>
    <row r="761" spans="1:14" hidden="1" x14ac:dyDescent="0.3">
      <c r="A761" t="s">
        <v>769</v>
      </c>
      <c r="B761" t="s">
        <v>1015</v>
      </c>
      <c r="C761" t="s">
        <v>1029</v>
      </c>
      <c r="D761">
        <v>25</v>
      </c>
      <c r="E761">
        <v>3</v>
      </c>
      <c r="F761" s="3">
        <v>59961</v>
      </c>
      <c r="G761">
        <v>46</v>
      </c>
      <c r="H761">
        <v>12</v>
      </c>
      <c r="I761">
        <v>3</v>
      </c>
      <c r="J761">
        <v>20</v>
      </c>
      <c r="K761">
        <v>3.6</v>
      </c>
      <c r="L761" s="3">
        <v>6.3</v>
      </c>
      <c r="M761" t="s">
        <v>1035</v>
      </c>
      <c r="N761">
        <v>68.599999999999994</v>
      </c>
    </row>
    <row r="762" spans="1:14" hidden="1" x14ac:dyDescent="0.3">
      <c r="A762" t="s">
        <v>770</v>
      </c>
      <c r="B762" t="s">
        <v>1016</v>
      </c>
      <c r="C762" t="s">
        <v>1023</v>
      </c>
      <c r="D762">
        <v>31</v>
      </c>
      <c r="E762">
        <v>5</v>
      </c>
      <c r="F762" s="3">
        <v>56144</v>
      </c>
      <c r="G762">
        <v>46</v>
      </c>
      <c r="H762">
        <v>14</v>
      </c>
      <c r="I762">
        <v>9</v>
      </c>
      <c r="J762">
        <v>1</v>
      </c>
      <c r="K762">
        <v>3.9</v>
      </c>
      <c r="L762" s="3">
        <v>9.3000000000000007</v>
      </c>
      <c r="M762" t="s">
        <v>1034</v>
      </c>
      <c r="N762">
        <v>90.83</v>
      </c>
    </row>
    <row r="763" spans="1:14" x14ac:dyDescent="0.3">
      <c r="A763" t="s">
        <v>771</v>
      </c>
      <c r="B763" t="s">
        <v>1014</v>
      </c>
      <c r="C763" t="s">
        <v>1025</v>
      </c>
      <c r="D763">
        <v>37</v>
      </c>
      <c r="E763">
        <v>8</v>
      </c>
      <c r="F763" s="3">
        <v>61223</v>
      </c>
      <c r="G763">
        <v>47</v>
      </c>
      <c r="H763">
        <v>5</v>
      </c>
      <c r="I763">
        <v>20</v>
      </c>
      <c r="J763">
        <v>23</v>
      </c>
      <c r="K763">
        <v>4.7</v>
      </c>
      <c r="L763" s="3">
        <v>7.8</v>
      </c>
      <c r="M763" t="s">
        <v>1035</v>
      </c>
      <c r="N763">
        <v>69.23</v>
      </c>
    </row>
    <row r="764" spans="1:14" x14ac:dyDescent="0.3">
      <c r="A764" t="s">
        <v>772</v>
      </c>
      <c r="B764" t="s">
        <v>1018</v>
      </c>
      <c r="C764" t="s">
        <v>1028</v>
      </c>
      <c r="D764">
        <v>50</v>
      </c>
      <c r="E764">
        <v>12</v>
      </c>
      <c r="F764" s="3">
        <v>25515</v>
      </c>
      <c r="G764">
        <v>47</v>
      </c>
      <c r="H764">
        <v>15</v>
      </c>
      <c r="I764">
        <v>8</v>
      </c>
      <c r="J764">
        <v>19</v>
      </c>
      <c r="K764">
        <v>2.2999999999999998</v>
      </c>
      <c r="L764" s="3">
        <v>8.8000000000000007</v>
      </c>
      <c r="M764" t="s">
        <v>1034</v>
      </c>
      <c r="N764">
        <v>84.7</v>
      </c>
    </row>
    <row r="765" spans="1:14" hidden="1" x14ac:dyDescent="0.3">
      <c r="A765" t="s">
        <v>773</v>
      </c>
      <c r="B765" t="s">
        <v>1016</v>
      </c>
      <c r="C765" t="s">
        <v>1022</v>
      </c>
      <c r="D765">
        <v>35</v>
      </c>
      <c r="E765">
        <v>13</v>
      </c>
      <c r="F765" s="3">
        <v>83343</v>
      </c>
      <c r="G765">
        <v>40</v>
      </c>
      <c r="H765">
        <v>15</v>
      </c>
      <c r="I765">
        <v>14</v>
      </c>
      <c r="J765">
        <v>40</v>
      </c>
      <c r="K765">
        <v>3</v>
      </c>
      <c r="L765" s="3">
        <v>8.6999999999999993</v>
      </c>
      <c r="M765" t="s">
        <v>1034</v>
      </c>
      <c r="N765">
        <v>86.2</v>
      </c>
    </row>
    <row r="766" spans="1:14" hidden="1" x14ac:dyDescent="0.3">
      <c r="A766" t="s">
        <v>774</v>
      </c>
      <c r="B766" t="s">
        <v>1017</v>
      </c>
      <c r="C766" t="s">
        <v>1026</v>
      </c>
      <c r="D766">
        <v>24</v>
      </c>
      <c r="E766">
        <v>2</v>
      </c>
      <c r="F766" s="3">
        <v>81783</v>
      </c>
      <c r="G766">
        <v>37</v>
      </c>
      <c r="H766">
        <v>14</v>
      </c>
      <c r="I766">
        <v>24</v>
      </c>
      <c r="J766">
        <v>31</v>
      </c>
      <c r="K766">
        <v>3.4</v>
      </c>
      <c r="L766" s="3">
        <v>5.9</v>
      </c>
      <c r="M766" t="s">
        <v>1036</v>
      </c>
      <c r="N766">
        <v>68.930000000000007</v>
      </c>
    </row>
    <row r="767" spans="1:14" hidden="1" x14ac:dyDescent="0.3">
      <c r="A767" t="s">
        <v>775</v>
      </c>
      <c r="B767" t="s">
        <v>1017</v>
      </c>
      <c r="C767" t="s">
        <v>1024</v>
      </c>
      <c r="D767">
        <v>28</v>
      </c>
      <c r="E767">
        <v>2</v>
      </c>
      <c r="F767" s="3">
        <v>70775</v>
      </c>
      <c r="G767">
        <v>43</v>
      </c>
      <c r="H767">
        <v>9</v>
      </c>
      <c r="I767">
        <v>2</v>
      </c>
      <c r="J767">
        <v>22</v>
      </c>
      <c r="K767">
        <v>3.3</v>
      </c>
      <c r="L767" s="3">
        <v>8.1</v>
      </c>
      <c r="M767" t="s">
        <v>1034</v>
      </c>
      <c r="N767">
        <v>73.5</v>
      </c>
    </row>
    <row r="768" spans="1:14" hidden="1" x14ac:dyDescent="0.3">
      <c r="A768" t="s">
        <v>776</v>
      </c>
      <c r="B768" t="s">
        <v>1016</v>
      </c>
      <c r="C768" t="s">
        <v>1023</v>
      </c>
      <c r="D768">
        <v>51</v>
      </c>
      <c r="E768">
        <v>0</v>
      </c>
      <c r="F768" s="3">
        <v>74936</v>
      </c>
      <c r="G768">
        <v>36</v>
      </c>
      <c r="H768">
        <v>11</v>
      </c>
      <c r="I768">
        <v>20</v>
      </c>
      <c r="J768">
        <v>11</v>
      </c>
      <c r="K768">
        <v>3.9</v>
      </c>
      <c r="L768" s="3">
        <v>8.5</v>
      </c>
      <c r="M768" t="s">
        <v>1034</v>
      </c>
      <c r="N768">
        <v>81.03</v>
      </c>
    </row>
    <row r="769" spans="1:14" x14ac:dyDescent="0.3">
      <c r="A769" t="s">
        <v>777</v>
      </c>
      <c r="B769" t="s">
        <v>1014</v>
      </c>
      <c r="C769" t="s">
        <v>1025</v>
      </c>
      <c r="D769">
        <v>47</v>
      </c>
      <c r="E769">
        <v>6</v>
      </c>
      <c r="F769" s="3">
        <v>66176</v>
      </c>
      <c r="G769">
        <v>44</v>
      </c>
      <c r="H769">
        <v>6</v>
      </c>
      <c r="I769">
        <v>18</v>
      </c>
      <c r="J769">
        <v>5</v>
      </c>
      <c r="K769">
        <v>2.2999999999999998</v>
      </c>
      <c r="L769" s="3">
        <v>4.7</v>
      </c>
      <c r="M769" t="s">
        <v>1036</v>
      </c>
      <c r="N769">
        <v>45.1</v>
      </c>
    </row>
    <row r="770" spans="1:14" x14ac:dyDescent="0.3">
      <c r="A770" t="s">
        <v>778</v>
      </c>
      <c r="B770" t="s">
        <v>1018</v>
      </c>
      <c r="C770" t="s">
        <v>1032</v>
      </c>
      <c r="D770">
        <v>48</v>
      </c>
      <c r="E770">
        <v>10</v>
      </c>
      <c r="F770" s="3">
        <v>54588</v>
      </c>
      <c r="G770">
        <v>50</v>
      </c>
      <c r="H770">
        <v>14</v>
      </c>
      <c r="I770">
        <v>23</v>
      </c>
      <c r="J770">
        <v>8</v>
      </c>
      <c r="K770">
        <v>2.8</v>
      </c>
      <c r="L770" s="3">
        <v>7.8</v>
      </c>
      <c r="M770" t="s">
        <v>1035</v>
      </c>
      <c r="N770">
        <v>78.53</v>
      </c>
    </row>
    <row r="771" spans="1:14" hidden="1" x14ac:dyDescent="0.3">
      <c r="A771" t="s">
        <v>779</v>
      </c>
      <c r="B771" t="s">
        <v>1016</v>
      </c>
      <c r="C771" t="s">
        <v>1023</v>
      </c>
      <c r="D771">
        <v>34</v>
      </c>
      <c r="E771">
        <v>1</v>
      </c>
      <c r="F771" s="3">
        <v>52164</v>
      </c>
      <c r="G771">
        <v>46</v>
      </c>
      <c r="H771">
        <v>3</v>
      </c>
      <c r="I771">
        <v>12</v>
      </c>
      <c r="J771">
        <v>24</v>
      </c>
      <c r="K771">
        <v>4.8</v>
      </c>
      <c r="L771" s="3">
        <v>9.1999999999999993</v>
      </c>
      <c r="M771" t="s">
        <v>1034</v>
      </c>
      <c r="N771">
        <v>74.599999999999994</v>
      </c>
    </row>
    <row r="772" spans="1:14" hidden="1" x14ac:dyDescent="0.3">
      <c r="A772" t="s">
        <v>780</v>
      </c>
      <c r="B772" t="s">
        <v>1014</v>
      </c>
      <c r="C772" t="s">
        <v>1025</v>
      </c>
      <c r="D772">
        <v>23</v>
      </c>
      <c r="E772">
        <v>2</v>
      </c>
      <c r="F772" s="3">
        <v>67408</v>
      </c>
      <c r="G772">
        <v>54</v>
      </c>
      <c r="H772">
        <v>11</v>
      </c>
      <c r="I772">
        <v>7</v>
      </c>
      <c r="J772">
        <v>5</v>
      </c>
      <c r="K772">
        <v>4.9000000000000004</v>
      </c>
      <c r="L772" s="3">
        <v>4.4000000000000004</v>
      </c>
      <c r="M772" t="s">
        <v>1036</v>
      </c>
      <c r="N772">
        <v>59.43</v>
      </c>
    </row>
    <row r="773" spans="1:14" hidden="1" x14ac:dyDescent="0.3">
      <c r="A773" t="s">
        <v>781</v>
      </c>
      <c r="B773" t="s">
        <v>1018</v>
      </c>
      <c r="C773" t="s">
        <v>1027</v>
      </c>
      <c r="D773">
        <v>25</v>
      </c>
      <c r="E773">
        <v>3</v>
      </c>
      <c r="F773" s="3">
        <v>65501</v>
      </c>
      <c r="G773">
        <v>48</v>
      </c>
      <c r="H773">
        <v>10</v>
      </c>
      <c r="I773">
        <v>8</v>
      </c>
      <c r="J773">
        <v>9</v>
      </c>
      <c r="K773">
        <v>2.2999999999999998</v>
      </c>
      <c r="L773" s="3">
        <v>5.6</v>
      </c>
      <c r="M773" t="s">
        <v>1036</v>
      </c>
      <c r="N773">
        <v>57.17</v>
      </c>
    </row>
    <row r="774" spans="1:14" hidden="1" x14ac:dyDescent="0.3">
      <c r="A774" t="s">
        <v>782</v>
      </c>
      <c r="B774" t="s">
        <v>1014</v>
      </c>
      <c r="C774" t="s">
        <v>1019</v>
      </c>
      <c r="D774">
        <v>22</v>
      </c>
      <c r="E774">
        <v>1</v>
      </c>
      <c r="F774" s="3">
        <v>75682</v>
      </c>
      <c r="G774">
        <v>49</v>
      </c>
      <c r="H774">
        <v>14</v>
      </c>
      <c r="I774">
        <v>21</v>
      </c>
      <c r="J774">
        <v>31</v>
      </c>
      <c r="K774">
        <v>2.4</v>
      </c>
      <c r="L774" s="3">
        <v>8</v>
      </c>
      <c r="M774" t="s">
        <v>1034</v>
      </c>
      <c r="N774">
        <v>78.53</v>
      </c>
    </row>
    <row r="775" spans="1:14" hidden="1" x14ac:dyDescent="0.3">
      <c r="A775" t="s">
        <v>783</v>
      </c>
      <c r="B775" t="s">
        <v>1016</v>
      </c>
      <c r="C775" t="s">
        <v>1022</v>
      </c>
      <c r="D775">
        <v>40</v>
      </c>
      <c r="E775">
        <v>15</v>
      </c>
      <c r="F775" s="3">
        <v>50039</v>
      </c>
      <c r="G775">
        <v>39</v>
      </c>
      <c r="H775">
        <v>7</v>
      </c>
      <c r="I775">
        <v>6</v>
      </c>
      <c r="J775">
        <v>38</v>
      </c>
      <c r="K775">
        <v>2.6</v>
      </c>
      <c r="L775" s="3">
        <v>8.8000000000000007</v>
      </c>
      <c r="M775" t="s">
        <v>1034</v>
      </c>
      <c r="N775">
        <v>72.27</v>
      </c>
    </row>
    <row r="776" spans="1:14" hidden="1" x14ac:dyDescent="0.3">
      <c r="A776" t="s">
        <v>784</v>
      </c>
      <c r="B776" t="s">
        <v>1018</v>
      </c>
      <c r="C776" t="s">
        <v>1028</v>
      </c>
      <c r="D776">
        <v>48</v>
      </c>
      <c r="E776">
        <v>5</v>
      </c>
      <c r="F776" s="3">
        <v>51773</v>
      </c>
      <c r="G776">
        <v>39</v>
      </c>
      <c r="H776">
        <v>1</v>
      </c>
      <c r="I776">
        <v>9</v>
      </c>
      <c r="J776">
        <v>16</v>
      </c>
      <c r="K776">
        <v>2.7</v>
      </c>
      <c r="L776" s="3">
        <v>6.2</v>
      </c>
      <c r="M776" t="s">
        <v>1035</v>
      </c>
      <c r="N776">
        <v>46.97</v>
      </c>
    </row>
    <row r="777" spans="1:14" hidden="1" x14ac:dyDescent="0.3">
      <c r="A777" t="s">
        <v>785</v>
      </c>
      <c r="B777" t="s">
        <v>1016</v>
      </c>
      <c r="C777" t="s">
        <v>1022</v>
      </c>
      <c r="D777">
        <v>51</v>
      </c>
      <c r="E777">
        <v>2</v>
      </c>
      <c r="F777" s="3">
        <v>25676</v>
      </c>
      <c r="G777">
        <v>50</v>
      </c>
      <c r="H777">
        <v>3</v>
      </c>
      <c r="I777">
        <v>10</v>
      </c>
      <c r="J777">
        <v>25</v>
      </c>
      <c r="K777">
        <v>4.0999999999999996</v>
      </c>
      <c r="L777" s="3">
        <v>8</v>
      </c>
      <c r="M777" t="s">
        <v>1034</v>
      </c>
      <c r="N777">
        <v>65.3</v>
      </c>
    </row>
    <row r="778" spans="1:14" hidden="1" x14ac:dyDescent="0.3">
      <c r="A778" t="s">
        <v>786</v>
      </c>
      <c r="B778" t="s">
        <v>1017</v>
      </c>
      <c r="C778" t="s">
        <v>1026</v>
      </c>
      <c r="D778">
        <v>38</v>
      </c>
      <c r="E778">
        <v>2</v>
      </c>
      <c r="F778" s="3">
        <v>31244</v>
      </c>
      <c r="G778">
        <v>52</v>
      </c>
      <c r="H778">
        <v>1</v>
      </c>
      <c r="I778">
        <v>1</v>
      </c>
      <c r="J778">
        <v>21</v>
      </c>
      <c r="K778">
        <v>4.8</v>
      </c>
      <c r="L778" s="3">
        <v>6.3</v>
      </c>
      <c r="M778" t="s">
        <v>1035</v>
      </c>
      <c r="N778">
        <v>53.87</v>
      </c>
    </row>
    <row r="779" spans="1:14" hidden="1" x14ac:dyDescent="0.3">
      <c r="A779" t="s">
        <v>787</v>
      </c>
      <c r="B779" t="s">
        <v>1015</v>
      </c>
      <c r="C779" t="s">
        <v>1029</v>
      </c>
      <c r="D779">
        <v>24</v>
      </c>
      <c r="E779">
        <v>0</v>
      </c>
      <c r="F779" s="3">
        <v>41623</v>
      </c>
      <c r="G779">
        <v>51</v>
      </c>
      <c r="H779">
        <v>10</v>
      </c>
      <c r="I779">
        <v>12</v>
      </c>
      <c r="J779">
        <v>19</v>
      </c>
      <c r="K779">
        <v>4.9000000000000004</v>
      </c>
      <c r="L779" s="3">
        <v>7.7</v>
      </c>
      <c r="M779" t="s">
        <v>1035</v>
      </c>
      <c r="N779">
        <v>77.569999999999993</v>
      </c>
    </row>
    <row r="780" spans="1:14" hidden="1" x14ac:dyDescent="0.3">
      <c r="A780" t="s">
        <v>788</v>
      </c>
      <c r="B780" t="s">
        <v>1015</v>
      </c>
      <c r="C780" t="s">
        <v>1021</v>
      </c>
      <c r="D780">
        <v>24</v>
      </c>
      <c r="E780">
        <v>1</v>
      </c>
      <c r="F780" s="3">
        <v>42058</v>
      </c>
      <c r="G780">
        <v>40</v>
      </c>
      <c r="H780">
        <v>9</v>
      </c>
      <c r="I780">
        <v>15</v>
      </c>
      <c r="J780">
        <v>21</v>
      </c>
      <c r="K780">
        <v>4.5999999999999996</v>
      </c>
      <c r="L780" s="3">
        <v>3.9</v>
      </c>
      <c r="M780" t="s">
        <v>1036</v>
      </c>
      <c r="N780">
        <v>52.2</v>
      </c>
    </row>
    <row r="781" spans="1:14" hidden="1" x14ac:dyDescent="0.3">
      <c r="A781" t="s">
        <v>789</v>
      </c>
      <c r="B781" t="s">
        <v>1015</v>
      </c>
      <c r="C781" t="s">
        <v>1021</v>
      </c>
      <c r="D781">
        <v>49</v>
      </c>
      <c r="E781">
        <v>4</v>
      </c>
      <c r="F781" s="3">
        <v>42065</v>
      </c>
      <c r="G781">
        <v>38</v>
      </c>
      <c r="H781">
        <v>6</v>
      </c>
      <c r="I781">
        <v>1</v>
      </c>
      <c r="J781">
        <v>8</v>
      </c>
      <c r="K781">
        <v>3.5</v>
      </c>
      <c r="L781" s="3">
        <v>9.8000000000000007</v>
      </c>
      <c r="M781" t="s">
        <v>1034</v>
      </c>
      <c r="N781">
        <v>79.3</v>
      </c>
    </row>
    <row r="782" spans="1:14" x14ac:dyDescent="0.3">
      <c r="A782" t="s">
        <v>790</v>
      </c>
      <c r="B782" t="s">
        <v>1016</v>
      </c>
      <c r="C782" t="s">
        <v>1023</v>
      </c>
      <c r="D782">
        <v>49</v>
      </c>
      <c r="E782">
        <v>9</v>
      </c>
      <c r="F782" s="3">
        <v>84165</v>
      </c>
      <c r="G782">
        <v>43</v>
      </c>
      <c r="H782">
        <v>10</v>
      </c>
      <c r="I782">
        <v>24</v>
      </c>
      <c r="J782">
        <v>16</v>
      </c>
      <c r="K782">
        <v>3.6</v>
      </c>
      <c r="L782" s="3">
        <v>6.1</v>
      </c>
      <c r="M782" t="s">
        <v>1035</v>
      </c>
      <c r="N782">
        <v>64.069999999999993</v>
      </c>
    </row>
    <row r="783" spans="1:14" hidden="1" x14ac:dyDescent="0.3">
      <c r="A783" t="s">
        <v>791</v>
      </c>
      <c r="B783" t="s">
        <v>1016</v>
      </c>
      <c r="C783" t="s">
        <v>1023</v>
      </c>
      <c r="D783">
        <v>53</v>
      </c>
      <c r="E783">
        <v>4</v>
      </c>
      <c r="F783" s="3">
        <v>61416</v>
      </c>
      <c r="G783">
        <v>55</v>
      </c>
      <c r="H783">
        <v>13</v>
      </c>
      <c r="I783">
        <v>14</v>
      </c>
      <c r="J783">
        <v>3</v>
      </c>
      <c r="K783">
        <v>2.6</v>
      </c>
      <c r="L783" s="3">
        <v>3.4</v>
      </c>
      <c r="M783" t="s">
        <v>1036</v>
      </c>
      <c r="N783">
        <v>49.87</v>
      </c>
    </row>
    <row r="784" spans="1:14" x14ac:dyDescent="0.3">
      <c r="A784" t="s">
        <v>792</v>
      </c>
      <c r="B784" t="s">
        <v>1014</v>
      </c>
      <c r="C784" t="s">
        <v>1025</v>
      </c>
      <c r="D784">
        <v>52</v>
      </c>
      <c r="E784">
        <v>8</v>
      </c>
      <c r="F784" s="3">
        <v>35718</v>
      </c>
      <c r="G784">
        <v>49</v>
      </c>
      <c r="H784">
        <v>7</v>
      </c>
      <c r="I784">
        <v>3</v>
      </c>
      <c r="J784">
        <v>31</v>
      </c>
      <c r="K784">
        <v>2.1</v>
      </c>
      <c r="L784" s="3">
        <v>5.5</v>
      </c>
      <c r="M784" t="s">
        <v>1036</v>
      </c>
      <c r="N784">
        <v>50.97</v>
      </c>
    </row>
    <row r="785" spans="1:14" hidden="1" x14ac:dyDescent="0.3">
      <c r="A785" t="s">
        <v>793</v>
      </c>
      <c r="B785" t="s">
        <v>1015</v>
      </c>
      <c r="C785" t="s">
        <v>1021</v>
      </c>
      <c r="D785">
        <v>53</v>
      </c>
      <c r="E785">
        <v>14</v>
      </c>
      <c r="F785" s="3">
        <v>57308</v>
      </c>
      <c r="G785">
        <v>38</v>
      </c>
      <c r="H785">
        <v>14</v>
      </c>
      <c r="I785">
        <v>23</v>
      </c>
      <c r="J785">
        <v>9</v>
      </c>
      <c r="K785">
        <v>2.4</v>
      </c>
      <c r="L785" s="3">
        <v>3.7</v>
      </c>
      <c r="M785" t="s">
        <v>1036</v>
      </c>
      <c r="N785">
        <v>52.73</v>
      </c>
    </row>
    <row r="786" spans="1:14" x14ac:dyDescent="0.3">
      <c r="A786" t="s">
        <v>794</v>
      </c>
      <c r="B786" t="s">
        <v>1018</v>
      </c>
      <c r="C786" t="s">
        <v>1028</v>
      </c>
      <c r="D786">
        <v>32</v>
      </c>
      <c r="E786">
        <v>11</v>
      </c>
      <c r="F786" s="3">
        <v>58340</v>
      </c>
      <c r="G786">
        <v>43</v>
      </c>
      <c r="H786">
        <v>10</v>
      </c>
      <c r="I786">
        <v>21</v>
      </c>
      <c r="J786">
        <v>37</v>
      </c>
      <c r="K786">
        <v>2.6</v>
      </c>
      <c r="L786" s="3">
        <v>10</v>
      </c>
      <c r="M786" t="s">
        <v>1034</v>
      </c>
      <c r="N786">
        <v>84.47</v>
      </c>
    </row>
    <row r="787" spans="1:14" hidden="1" x14ac:dyDescent="0.3">
      <c r="A787" t="s">
        <v>795</v>
      </c>
      <c r="B787" t="s">
        <v>1015</v>
      </c>
      <c r="C787" t="s">
        <v>1029</v>
      </c>
      <c r="D787">
        <v>33</v>
      </c>
      <c r="E787">
        <v>6</v>
      </c>
      <c r="F787" s="3">
        <v>85320</v>
      </c>
      <c r="G787">
        <v>37</v>
      </c>
      <c r="H787">
        <v>4</v>
      </c>
      <c r="I787">
        <v>24</v>
      </c>
      <c r="J787">
        <v>31</v>
      </c>
      <c r="K787">
        <v>4</v>
      </c>
      <c r="L787" s="3">
        <v>9.1999999999999993</v>
      </c>
      <c r="M787" t="s">
        <v>1034</v>
      </c>
      <c r="N787">
        <v>73.87</v>
      </c>
    </row>
    <row r="788" spans="1:14" x14ac:dyDescent="0.3">
      <c r="A788" t="s">
        <v>796</v>
      </c>
      <c r="B788" t="s">
        <v>1016</v>
      </c>
      <c r="C788" t="s">
        <v>1022</v>
      </c>
      <c r="D788">
        <v>29</v>
      </c>
      <c r="E788">
        <v>6</v>
      </c>
      <c r="F788" s="3">
        <v>49481</v>
      </c>
      <c r="G788">
        <v>53</v>
      </c>
      <c r="H788">
        <v>15</v>
      </c>
      <c r="I788">
        <v>3</v>
      </c>
      <c r="J788">
        <v>20</v>
      </c>
      <c r="K788">
        <v>2.5</v>
      </c>
      <c r="L788" s="3">
        <v>3.6</v>
      </c>
      <c r="M788" t="s">
        <v>1036</v>
      </c>
      <c r="N788">
        <v>54.1</v>
      </c>
    </row>
    <row r="789" spans="1:14" hidden="1" x14ac:dyDescent="0.3">
      <c r="A789" t="s">
        <v>797</v>
      </c>
      <c r="B789" t="s">
        <v>1017</v>
      </c>
      <c r="C789" t="s">
        <v>1024</v>
      </c>
      <c r="D789">
        <v>51</v>
      </c>
      <c r="E789">
        <v>8</v>
      </c>
      <c r="F789" s="3">
        <v>63941</v>
      </c>
      <c r="G789">
        <v>35</v>
      </c>
      <c r="H789">
        <v>6</v>
      </c>
      <c r="I789">
        <v>1</v>
      </c>
      <c r="J789">
        <v>39</v>
      </c>
      <c r="K789">
        <v>4.9000000000000004</v>
      </c>
      <c r="L789" s="3">
        <v>5.3</v>
      </c>
      <c r="M789" t="s">
        <v>1036</v>
      </c>
      <c r="N789">
        <v>56.5</v>
      </c>
    </row>
    <row r="790" spans="1:14" hidden="1" x14ac:dyDescent="0.3">
      <c r="A790" t="s">
        <v>798</v>
      </c>
      <c r="B790" t="s">
        <v>1015</v>
      </c>
      <c r="C790" t="s">
        <v>1029</v>
      </c>
      <c r="D790">
        <v>30</v>
      </c>
      <c r="E790">
        <v>3</v>
      </c>
      <c r="F790" s="3">
        <v>81575</v>
      </c>
      <c r="G790">
        <v>36</v>
      </c>
      <c r="H790">
        <v>13</v>
      </c>
      <c r="I790">
        <v>20</v>
      </c>
      <c r="J790">
        <v>18</v>
      </c>
      <c r="K790">
        <v>3</v>
      </c>
      <c r="L790" s="3">
        <v>3.4</v>
      </c>
      <c r="M790" t="s">
        <v>1036</v>
      </c>
      <c r="N790">
        <v>51.07</v>
      </c>
    </row>
    <row r="791" spans="1:14" hidden="1" x14ac:dyDescent="0.3">
      <c r="A791" t="s">
        <v>799</v>
      </c>
      <c r="B791" t="s">
        <v>1015</v>
      </c>
      <c r="C791" t="s">
        <v>1029</v>
      </c>
      <c r="D791">
        <v>46</v>
      </c>
      <c r="E791">
        <v>2</v>
      </c>
      <c r="F791" s="3">
        <v>51139</v>
      </c>
      <c r="G791">
        <v>43</v>
      </c>
      <c r="H791">
        <v>3</v>
      </c>
      <c r="I791">
        <v>7</v>
      </c>
      <c r="J791">
        <v>25</v>
      </c>
      <c r="K791">
        <v>2.2999999999999998</v>
      </c>
      <c r="L791" s="3">
        <v>9</v>
      </c>
      <c r="M791" t="s">
        <v>1034</v>
      </c>
      <c r="N791">
        <v>65.900000000000006</v>
      </c>
    </row>
    <row r="792" spans="1:14" x14ac:dyDescent="0.3">
      <c r="A792" t="s">
        <v>800</v>
      </c>
      <c r="B792" t="s">
        <v>1017</v>
      </c>
      <c r="C792" t="s">
        <v>1026</v>
      </c>
      <c r="D792">
        <v>47</v>
      </c>
      <c r="E792">
        <v>9</v>
      </c>
      <c r="F792" s="3">
        <v>67412</v>
      </c>
      <c r="G792">
        <v>55</v>
      </c>
      <c r="H792">
        <v>3</v>
      </c>
      <c r="I792">
        <v>3</v>
      </c>
      <c r="J792">
        <v>19</v>
      </c>
      <c r="K792">
        <v>3.5</v>
      </c>
      <c r="L792" s="3">
        <v>6</v>
      </c>
      <c r="M792" t="s">
        <v>1035</v>
      </c>
      <c r="N792">
        <v>51.5</v>
      </c>
    </row>
    <row r="793" spans="1:14" hidden="1" x14ac:dyDescent="0.3">
      <c r="A793" t="s">
        <v>801</v>
      </c>
      <c r="B793" t="s">
        <v>1015</v>
      </c>
      <c r="C793" t="s">
        <v>1021</v>
      </c>
      <c r="D793">
        <v>30</v>
      </c>
      <c r="E793">
        <v>5</v>
      </c>
      <c r="F793" s="3">
        <v>68615</v>
      </c>
      <c r="G793">
        <v>38</v>
      </c>
      <c r="H793">
        <v>14</v>
      </c>
      <c r="I793">
        <v>11</v>
      </c>
      <c r="J793">
        <v>32</v>
      </c>
      <c r="K793">
        <v>2.6</v>
      </c>
      <c r="L793" s="3">
        <v>6.1</v>
      </c>
      <c r="M793" t="s">
        <v>1035</v>
      </c>
      <c r="N793">
        <v>67.73</v>
      </c>
    </row>
    <row r="794" spans="1:14" x14ac:dyDescent="0.3">
      <c r="A794" t="s">
        <v>802</v>
      </c>
      <c r="B794" t="s">
        <v>1017</v>
      </c>
      <c r="C794" t="s">
        <v>1030</v>
      </c>
      <c r="D794">
        <v>39</v>
      </c>
      <c r="E794">
        <v>13</v>
      </c>
      <c r="F794" s="3">
        <v>30912</v>
      </c>
      <c r="G794">
        <v>48</v>
      </c>
      <c r="H794">
        <v>13</v>
      </c>
      <c r="I794">
        <v>11</v>
      </c>
      <c r="J794">
        <v>39</v>
      </c>
      <c r="K794">
        <v>2.6</v>
      </c>
      <c r="L794" s="3">
        <v>7.4</v>
      </c>
      <c r="M794" t="s">
        <v>1035</v>
      </c>
      <c r="N794">
        <v>73.87</v>
      </c>
    </row>
    <row r="795" spans="1:14" x14ac:dyDescent="0.3">
      <c r="A795" t="s">
        <v>803</v>
      </c>
      <c r="B795" t="s">
        <v>1014</v>
      </c>
      <c r="C795" t="s">
        <v>1025</v>
      </c>
      <c r="D795">
        <v>54</v>
      </c>
      <c r="E795">
        <v>10</v>
      </c>
      <c r="F795" s="3">
        <v>88784</v>
      </c>
      <c r="G795">
        <v>49</v>
      </c>
      <c r="H795">
        <v>11</v>
      </c>
      <c r="I795">
        <v>7</v>
      </c>
      <c r="J795">
        <v>9</v>
      </c>
      <c r="K795">
        <v>4.8</v>
      </c>
      <c r="L795" s="3">
        <v>6.7</v>
      </c>
      <c r="M795" t="s">
        <v>1035</v>
      </c>
      <c r="N795">
        <v>72.930000000000007</v>
      </c>
    </row>
    <row r="796" spans="1:14" hidden="1" x14ac:dyDescent="0.3">
      <c r="A796" t="s">
        <v>804</v>
      </c>
      <c r="B796" t="s">
        <v>1015</v>
      </c>
      <c r="C796" t="s">
        <v>1020</v>
      </c>
      <c r="D796">
        <v>27</v>
      </c>
      <c r="E796">
        <v>2</v>
      </c>
      <c r="F796" s="3">
        <v>55685</v>
      </c>
      <c r="G796">
        <v>48</v>
      </c>
      <c r="H796">
        <v>2</v>
      </c>
      <c r="I796">
        <v>25</v>
      </c>
      <c r="J796">
        <v>30</v>
      </c>
      <c r="K796">
        <v>2.9</v>
      </c>
      <c r="L796" s="3">
        <v>9.9</v>
      </c>
      <c r="M796" t="s">
        <v>1034</v>
      </c>
      <c r="N796">
        <v>71.430000000000007</v>
      </c>
    </row>
    <row r="797" spans="1:14" x14ac:dyDescent="0.3">
      <c r="A797" t="s">
        <v>805</v>
      </c>
      <c r="B797" t="s">
        <v>1016</v>
      </c>
      <c r="C797" t="s">
        <v>1022</v>
      </c>
      <c r="D797">
        <v>37</v>
      </c>
      <c r="E797">
        <v>13</v>
      </c>
      <c r="F797" s="3">
        <v>44364</v>
      </c>
      <c r="G797">
        <v>53</v>
      </c>
      <c r="H797">
        <v>1</v>
      </c>
      <c r="I797">
        <v>17</v>
      </c>
      <c r="J797">
        <v>4</v>
      </c>
      <c r="K797">
        <v>4.8</v>
      </c>
      <c r="L797" s="3">
        <v>6.6</v>
      </c>
      <c r="M797" t="s">
        <v>1035</v>
      </c>
      <c r="N797">
        <v>55.67</v>
      </c>
    </row>
    <row r="798" spans="1:14" hidden="1" x14ac:dyDescent="0.3">
      <c r="A798" t="s">
        <v>806</v>
      </c>
      <c r="B798" t="s">
        <v>1017</v>
      </c>
      <c r="C798" t="s">
        <v>1024</v>
      </c>
      <c r="D798">
        <v>48</v>
      </c>
      <c r="E798">
        <v>3</v>
      </c>
      <c r="F798" s="3">
        <v>55451</v>
      </c>
      <c r="G798">
        <v>53</v>
      </c>
      <c r="H798">
        <v>14</v>
      </c>
      <c r="I798">
        <v>8</v>
      </c>
      <c r="J798">
        <v>22</v>
      </c>
      <c r="K798">
        <v>2.8</v>
      </c>
      <c r="L798" s="3">
        <v>3.6</v>
      </c>
      <c r="M798" t="s">
        <v>1036</v>
      </c>
      <c r="N798">
        <v>53.33</v>
      </c>
    </row>
    <row r="799" spans="1:14" hidden="1" x14ac:dyDescent="0.3">
      <c r="A799" t="s">
        <v>807</v>
      </c>
      <c r="B799" t="s">
        <v>1014</v>
      </c>
      <c r="C799" t="s">
        <v>1031</v>
      </c>
      <c r="D799">
        <v>29</v>
      </c>
      <c r="E799">
        <v>7</v>
      </c>
      <c r="F799" s="3">
        <v>36767</v>
      </c>
      <c r="G799">
        <v>40</v>
      </c>
      <c r="H799">
        <v>14</v>
      </c>
      <c r="I799">
        <v>12</v>
      </c>
      <c r="J799">
        <v>2</v>
      </c>
      <c r="K799">
        <v>2.2000000000000002</v>
      </c>
      <c r="L799" s="3">
        <v>9.1</v>
      </c>
      <c r="M799" t="s">
        <v>1034</v>
      </c>
      <c r="N799">
        <v>84.53</v>
      </c>
    </row>
    <row r="800" spans="1:14" x14ac:dyDescent="0.3">
      <c r="A800" t="s">
        <v>808</v>
      </c>
      <c r="B800" t="s">
        <v>1016</v>
      </c>
      <c r="C800" t="s">
        <v>1022</v>
      </c>
      <c r="D800">
        <v>51</v>
      </c>
      <c r="E800">
        <v>14</v>
      </c>
      <c r="F800" s="3">
        <v>65882</v>
      </c>
      <c r="G800">
        <v>43</v>
      </c>
      <c r="H800">
        <v>6</v>
      </c>
      <c r="I800">
        <v>25</v>
      </c>
      <c r="J800">
        <v>11</v>
      </c>
      <c r="K800">
        <v>2.6</v>
      </c>
      <c r="L800" s="3">
        <v>3.5</v>
      </c>
      <c r="M800" t="s">
        <v>1036</v>
      </c>
      <c r="N800">
        <v>38.799999999999997</v>
      </c>
    </row>
    <row r="801" spans="1:14" hidden="1" x14ac:dyDescent="0.3">
      <c r="A801" t="s">
        <v>809</v>
      </c>
      <c r="B801" t="s">
        <v>1016</v>
      </c>
      <c r="C801" t="s">
        <v>1033</v>
      </c>
      <c r="D801">
        <v>28</v>
      </c>
      <c r="E801">
        <v>6</v>
      </c>
      <c r="F801" s="3">
        <v>60020</v>
      </c>
      <c r="G801">
        <v>35</v>
      </c>
      <c r="H801">
        <v>1</v>
      </c>
      <c r="I801">
        <v>12</v>
      </c>
      <c r="J801">
        <v>7</v>
      </c>
      <c r="K801">
        <v>2</v>
      </c>
      <c r="L801" s="3">
        <v>7.6</v>
      </c>
      <c r="M801" t="s">
        <v>1035</v>
      </c>
      <c r="N801">
        <v>53.27</v>
      </c>
    </row>
    <row r="802" spans="1:14" x14ac:dyDescent="0.3">
      <c r="A802" t="s">
        <v>810</v>
      </c>
      <c r="B802" t="s">
        <v>1017</v>
      </c>
      <c r="C802" t="s">
        <v>1030</v>
      </c>
      <c r="D802">
        <v>53</v>
      </c>
      <c r="E802">
        <v>9</v>
      </c>
      <c r="F802" s="3">
        <v>65533</v>
      </c>
      <c r="G802">
        <v>54</v>
      </c>
      <c r="H802">
        <v>6</v>
      </c>
      <c r="I802">
        <v>22</v>
      </c>
      <c r="J802">
        <v>25</v>
      </c>
      <c r="K802">
        <v>4.4000000000000004</v>
      </c>
      <c r="L802" s="3">
        <v>3.6</v>
      </c>
      <c r="M802" t="s">
        <v>1036</v>
      </c>
      <c r="N802">
        <v>44.8</v>
      </c>
    </row>
    <row r="803" spans="1:14" hidden="1" x14ac:dyDescent="0.3">
      <c r="A803" t="s">
        <v>811</v>
      </c>
      <c r="B803" t="s">
        <v>1014</v>
      </c>
      <c r="C803" t="s">
        <v>1025</v>
      </c>
      <c r="D803">
        <v>34</v>
      </c>
      <c r="E803">
        <v>1</v>
      </c>
      <c r="F803" s="3">
        <v>78475</v>
      </c>
      <c r="G803">
        <v>35</v>
      </c>
      <c r="H803">
        <v>12</v>
      </c>
      <c r="I803">
        <v>6</v>
      </c>
      <c r="J803">
        <v>1</v>
      </c>
      <c r="K803">
        <v>2.6</v>
      </c>
      <c r="L803" s="3">
        <v>7.5</v>
      </c>
      <c r="M803" t="s">
        <v>1035</v>
      </c>
      <c r="N803">
        <v>72.8</v>
      </c>
    </row>
    <row r="804" spans="1:14" x14ac:dyDescent="0.3">
      <c r="A804" t="s">
        <v>812</v>
      </c>
      <c r="B804" t="s">
        <v>1018</v>
      </c>
      <c r="C804" t="s">
        <v>1028</v>
      </c>
      <c r="D804">
        <v>49</v>
      </c>
      <c r="E804">
        <v>6</v>
      </c>
      <c r="F804" s="3">
        <v>30642</v>
      </c>
      <c r="G804">
        <v>44</v>
      </c>
      <c r="H804">
        <v>13</v>
      </c>
      <c r="I804">
        <v>14</v>
      </c>
      <c r="J804">
        <v>9</v>
      </c>
      <c r="K804">
        <v>3.4</v>
      </c>
      <c r="L804" s="3">
        <v>3.2</v>
      </c>
      <c r="M804" t="s">
        <v>1036</v>
      </c>
      <c r="N804">
        <v>51.07</v>
      </c>
    </row>
    <row r="805" spans="1:14" hidden="1" x14ac:dyDescent="0.3">
      <c r="A805" t="s">
        <v>813</v>
      </c>
      <c r="B805" t="s">
        <v>1018</v>
      </c>
      <c r="C805" t="s">
        <v>1032</v>
      </c>
      <c r="D805">
        <v>50</v>
      </c>
      <c r="E805">
        <v>15</v>
      </c>
      <c r="F805" s="3">
        <v>55899</v>
      </c>
      <c r="G805">
        <v>35</v>
      </c>
      <c r="H805">
        <v>14</v>
      </c>
      <c r="I805">
        <v>14</v>
      </c>
      <c r="J805">
        <v>37</v>
      </c>
      <c r="K805">
        <v>2.7</v>
      </c>
      <c r="L805" s="3">
        <v>5.0999999999999996</v>
      </c>
      <c r="M805" t="s">
        <v>1036</v>
      </c>
      <c r="N805">
        <v>62.03</v>
      </c>
    </row>
    <row r="806" spans="1:14" hidden="1" x14ac:dyDescent="0.3">
      <c r="A806" t="s">
        <v>814</v>
      </c>
      <c r="B806" t="s">
        <v>1014</v>
      </c>
      <c r="C806" t="s">
        <v>1025</v>
      </c>
      <c r="D806">
        <v>43</v>
      </c>
      <c r="E806">
        <v>0</v>
      </c>
      <c r="F806" s="3">
        <v>31728</v>
      </c>
      <c r="G806">
        <v>55</v>
      </c>
      <c r="H806">
        <v>14</v>
      </c>
      <c r="I806">
        <v>22</v>
      </c>
      <c r="J806">
        <v>27</v>
      </c>
      <c r="K806">
        <v>4.9000000000000004</v>
      </c>
      <c r="L806" s="3">
        <v>8.9</v>
      </c>
      <c r="M806" t="s">
        <v>1034</v>
      </c>
      <c r="N806">
        <v>91.43</v>
      </c>
    </row>
    <row r="807" spans="1:14" hidden="1" x14ac:dyDescent="0.3">
      <c r="A807" t="s">
        <v>815</v>
      </c>
      <c r="B807" t="s">
        <v>1015</v>
      </c>
      <c r="C807" t="s">
        <v>1021</v>
      </c>
      <c r="D807">
        <v>40</v>
      </c>
      <c r="E807">
        <v>1</v>
      </c>
      <c r="F807" s="3">
        <v>56948</v>
      </c>
      <c r="G807">
        <v>47</v>
      </c>
      <c r="H807">
        <v>8</v>
      </c>
      <c r="I807">
        <v>16</v>
      </c>
      <c r="J807">
        <v>37</v>
      </c>
      <c r="K807">
        <v>4.2</v>
      </c>
      <c r="L807" s="3">
        <v>9.5</v>
      </c>
      <c r="M807" t="s">
        <v>1034</v>
      </c>
      <c r="N807">
        <v>82.93</v>
      </c>
    </row>
    <row r="808" spans="1:14" hidden="1" x14ac:dyDescent="0.3">
      <c r="A808" t="s">
        <v>816</v>
      </c>
      <c r="B808" t="s">
        <v>1018</v>
      </c>
      <c r="C808" t="s">
        <v>1032</v>
      </c>
      <c r="D808">
        <v>25</v>
      </c>
      <c r="E808">
        <v>4</v>
      </c>
      <c r="F808" s="3">
        <v>26246</v>
      </c>
      <c r="G808">
        <v>48</v>
      </c>
      <c r="H808">
        <v>10</v>
      </c>
      <c r="I808">
        <v>10</v>
      </c>
      <c r="J808">
        <v>35</v>
      </c>
      <c r="K808">
        <v>2.2000000000000002</v>
      </c>
      <c r="L808" s="3">
        <v>9.3000000000000007</v>
      </c>
      <c r="M808" t="s">
        <v>1034</v>
      </c>
      <c r="N808">
        <v>79.069999999999993</v>
      </c>
    </row>
    <row r="809" spans="1:14" x14ac:dyDescent="0.3">
      <c r="A809" t="s">
        <v>817</v>
      </c>
      <c r="B809" t="s">
        <v>1017</v>
      </c>
      <c r="C809" t="s">
        <v>1030</v>
      </c>
      <c r="D809">
        <v>29</v>
      </c>
      <c r="E809">
        <v>7</v>
      </c>
      <c r="F809" s="3">
        <v>65809</v>
      </c>
      <c r="G809">
        <v>55</v>
      </c>
      <c r="H809">
        <v>6</v>
      </c>
      <c r="I809">
        <v>14</v>
      </c>
      <c r="J809">
        <v>27</v>
      </c>
      <c r="K809">
        <v>2.1</v>
      </c>
      <c r="L809" s="3">
        <v>5</v>
      </c>
      <c r="M809" t="s">
        <v>1036</v>
      </c>
      <c r="N809">
        <v>46.3</v>
      </c>
    </row>
    <row r="810" spans="1:14" x14ac:dyDescent="0.3">
      <c r="A810" t="s">
        <v>818</v>
      </c>
      <c r="B810" t="s">
        <v>1017</v>
      </c>
      <c r="C810" t="s">
        <v>1024</v>
      </c>
      <c r="D810">
        <v>44</v>
      </c>
      <c r="E810">
        <v>14</v>
      </c>
      <c r="F810" s="3">
        <v>40211</v>
      </c>
      <c r="G810">
        <v>51</v>
      </c>
      <c r="H810">
        <v>4</v>
      </c>
      <c r="I810">
        <v>18</v>
      </c>
      <c r="J810">
        <v>21</v>
      </c>
      <c r="K810">
        <v>4.8</v>
      </c>
      <c r="L810" s="3">
        <v>9</v>
      </c>
      <c r="M810" t="s">
        <v>1034</v>
      </c>
      <c r="N810">
        <v>75.069999999999993</v>
      </c>
    </row>
    <row r="811" spans="1:14" hidden="1" x14ac:dyDescent="0.3">
      <c r="A811" t="s">
        <v>819</v>
      </c>
      <c r="B811" t="s">
        <v>1017</v>
      </c>
      <c r="C811" t="s">
        <v>1030</v>
      </c>
      <c r="D811">
        <v>30</v>
      </c>
      <c r="E811">
        <v>4</v>
      </c>
      <c r="F811" s="3">
        <v>72382</v>
      </c>
      <c r="G811">
        <v>47</v>
      </c>
      <c r="H811">
        <v>7</v>
      </c>
      <c r="I811">
        <v>21</v>
      </c>
      <c r="J811">
        <v>23</v>
      </c>
      <c r="K811">
        <v>4.4000000000000004</v>
      </c>
      <c r="L811" s="3">
        <v>8.6</v>
      </c>
      <c r="M811" t="s">
        <v>1034</v>
      </c>
      <c r="N811">
        <v>76.47</v>
      </c>
    </row>
    <row r="812" spans="1:14" hidden="1" x14ac:dyDescent="0.3">
      <c r="A812" t="s">
        <v>820</v>
      </c>
      <c r="B812" t="s">
        <v>1015</v>
      </c>
      <c r="C812" t="s">
        <v>1021</v>
      </c>
      <c r="D812">
        <v>35</v>
      </c>
      <c r="E812">
        <v>4</v>
      </c>
      <c r="F812" s="3">
        <v>70265</v>
      </c>
      <c r="G812">
        <v>37</v>
      </c>
      <c r="H812">
        <v>11</v>
      </c>
      <c r="I812">
        <v>15</v>
      </c>
      <c r="J812">
        <v>8</v>
      </c>
      <c r="K812">
        <v>2.5</v>
      </c>
      <c r="L812" s="3">
        <v>4.0999999999999996</v>
      </c>
      <c r="M812" t="s">
        <v>1036</v>
      </c>
      <c r="N812">
        <v>50.43</v>
      </c>
    </row>
    <row r="813" spans="1:14" x14ac:dyDescent="0.3">
      <c r="A813" t="s">
        <v>821</v>
      </c>
      <c r="B813" t="s">
        <v>1014</v>
      </c>
      <c r="C813" t="s">
        <v>1031</v>
      </c>
      <c r="D813">
        <v>48</v>
      </c>
      <c r="E813">
        <v>15</v>
      </c>
      <c r="F813" s="3">
        <v>44900</v>
      </c>
      <c r="G813">
        <v>42</v>
      </c>
      <c r="H813">
        <v>4</v>
      </c>
      <c r="I813">
        <v>17</v>
      </c>
      <c r="J813">
        <v>3</v>
      </c>
      <c r="K813">
        <v>5</v>
      </c>
      <c r="L813" s="3">
        <v>5.5</v>
      </c>
      <c r="M813" t="s">
        <v>1036</v>
      </c>
      <c r="N813">
        <v>54.67</v>
      </c>
    </row>
    <row r="814" spans="1:14" hidden="1" x14ac:dyDescent="0.3">
      <c r="A814" t="s">
        <v>822</v>
      </c>
      <c r="B814" t="s">
        <v>1016</v>
      </c>
      <c r="C814" t="s">
        <v>1023</v>
      </c>
      <c r="D814">
        <v>32</v>
      </c>
      <c r="E814">
        <v>2</v>
      </c>
      <c r="F814" s="3">
        <v>79260</v>
      </c>
      <c r="G814">
        <v>51</v>
      </c>
      <c r="H814">
        <v>1</v>
      </c>
      <c r="I814">
        <v>25</v>
      </c>
      <c r="J814">
        <v>4</v>
      </c>
      <c r="K814">
        <v>3</v>
      </c>
      <c r="L814" s="3">
        <v>3.8</v>
      </c>
      <c r="M814" t="s">
        <v>1036</v>
      </c>
      <c r="N814">
        <v>33.47</v>
      </c>
    </row>
    <row r="815" spans="1:14" x14ac:dyDescent="0.3">
      <c r="A815" t="s">
        <v>823</v>
      </c>
      <c r="B815" t="s">
        <v>1014</v>
      </c>
      <c r="C815" t="s">
        <v>1019</v>
      </c>
      <c r="D815">
        <v>36</v>
      </c>
      <c r="E815">
        <v>15</v>
      </c>
      <c r="F815" s="3">
        <v>41896</v>
      </c>
      <c r="G815">
        <v>45</v>
      </c>
      <c r="H815">
        <v>13</v>
      </c>
      <c r="I815">
        <v>11</v>
      </c>
      <c r="J815">
        <v>2</v>
      </c>
      <c r="K815">
        <v>4.3</v>
      </c>
      <c r="L815" s="3">
        <v>6.9</v>
      </c>
      <c r="M815" t="s">
        <v>1035</v>
      </c>
      <c r="N815">
        <v>75.97</v>
      </c>
    </row>
    <row r="816" spans="1:14" hidden="1" x14ac:dyDescent="0.3">
      <c r="A816" t="s">
        <v>824</v>
      </c>
      <c r="B816" t="s">
        <v>1015</v>
      </c>
      <c r="C816" t="s">
        <v>1020</v>
      </c>
      <c r="D816">
        <v>28</v>
      </c>
      <c r="E816">
        <v>0</v>
      </c>
      <c r="F816" s="3">
        <v>85727</v>
      </c>
      <c r="G816">
        <v>49</v>
      </c>
      <c r="H816">
        <v>13</v>
      </c>
      <c r="I816">
        <v>14</v>
      </c>
      <c r="J816">
        <v>7</v>
      </c>
      <c r="K816">
        <v>4.9000000000000004</v>
      </c>
      <c r="L816" s="3">
        <v>8.5</v>
      </c>
      <c r="M816" t="s">
        <v>1034</v>
      </c>
      <c r="N816">
        <v>87.37</v>
      </c>
    </row>
    <row r="817" spans="1:14" hidden="1" x14ac:dyDescent="0.3">
      <c r="A817" t="s">
        <v>825</v>
      </c>
      <c r="B817" t="s">
        <v>1014</v>
      </c>
      <c r="C817" t="s">
        <v>1031</v>
      </c>
      <c r="D817">
        <v>24</v>
      </c>
      <c r="E817">
        <v>0</v>
      </c>
      <c r="F817" s="3">
        <v>35947</v>
      </c>
      <c r="G817">
        <v>55</v>
      </c>
      <c r="H817">
        <v>2</v>
      </c>
      <c r="I817">
        <v>6</v>
      </c>
      <c r="J817">
        <v>23</v>
      </c>
      <c r="K817">
        <v>2.5</v>
      </c>
      <c r="L817" s="3">
        <v>5</v>
      </c>
      <c r="M817" t="s">
        <v>1036</v>
      </c>
      <c r="N817">
        <v>40.83</v>
      </c>
    </row>
    <row r="818" spans="1:14" hidden="1" x14ac:dyDescent="0.3">
      <c r="A818" t="s">
        <v>826</v>
      </c>
      <c r="B818" t="s">
        <v>1015</v>
      </c>
      <c r="C818" t="s">
        <v>1021</v>
      </c>
      <c r="D818">
        <v>53</v>
      </c>
      <c r="E818">
        <v>3</v>
      </c>
      <c r="F818" s="3">
        <v>35111</v>
      </c>
      <c r="G818">
        <v>55</v>
      </c>
      <c r="H818">
        <v>6</v>
      </c>
      <c r="I818">
        <v>10</v>
      </c>
      <c r="J818">
        <v>8</v>
      </c>
      <c r="K818">
        <v>2.4</v>
      </c>
      <c r="L818" s="3">
        <v>4.4000000000000004</v>
      </c>
      <c r="M818" t="s">
        <v>1036</v>
      </c>
      <c r="N818">
        <v>43.6</v>
      </c>
    </row>
    <row r="819" spans="1:14" x14ac:dyDescent="0.3">
      <c r="A819" t="s">
        <v>827</v>
      </c>
      <c r="B819" t="s">
        <v>1014</v>
      </c>
      <c r="C819" t="s">
        <v>1031</v>
      </c>
      <c r="D819">
        <v>37</v>
      </c>
      <c r="E819">
        <v>15</v>
      </c>
      <c r="F819" s="3">
        <v>47368</v>
      </c>
      <c r="G819">
        <v>44</v>
      </c>
      <c r="H819">
        <v>9</v>
      </c>
      <c r="I819">
        <v>5</v>
      </c>
      <c r="J819">
        <v>5</v>
      </c>
      <c r="K819">
        <v>2.8</v>
      </c>
      <c r="L819" s="3">
        <v>8</v>
      </c>
      <c r="M819" t="s">
        <v>1034</v>
      </c>
      <c r="N819">
        <v>71.400000000000006</v>
      </c>
    </row>
    <row r="820" spans="1:14" hidden="1" x14ac:dyDescent="0.3">
      <c r="A820" t="s">
        <v>828</v>
      </c>
      <c r="B820" t="s">
        <v>1016</v>
      </c>
      <c r="C820" t="s">
        <v>1033</v>
      </c>
      <c r="D820">
        <v>37</v>
      </c>
      <c r="E820">
        <v>4</v>
      </c>
      <c r="F820" s="3">
        <v>74362</v>
      </c>
      <c r="G820">
        <v>51</v>
      </c>
      <c r="H820">
        <v>7</v>
      </c>
      <c r="I820">
        <v>25</v>
      </c>
      <c r="J820">
        <v>14</v>
      </c>
      <c r="K820">
        <v>2.4</v>
      </c>
      <c r="L820" s="3">
        <v>6</v>
      </c>
      <c r="M820" t="s">
        <v>1035</v>
      </c>
      <c r="N820">
        <v>54.87</v>
      </c>
    </row>
    <row r="821" spans="1:14" hidden="1" x14ac:dyDescent="0.3">
      <c r="A821" t="s">
        <v>829</v>
      </c>
      <c r="B821" t="s">
        <v>1017</v>
      </c>
      <c r="C821" t="s">
        <v>1030</v>
      </c>
      <c r="D821">
        <v>55</v>
      </c>
      <c r="E821">
        <v>11</v>
      </c>
      <c r="F821" s="3">
        <v>86848</v>
      </c>
      <c r="G821">
        <v>35</v>
      </c>
      <c r="H821">
        <v>8</v>
      </c>
      <c r="I821">
        <v>4</v>
      </c>
      <c r="J821">
        <v>0</v>
      </c>
      <c r="K821">
        <v>4.2</v>
      </c>
      <c r="L821" s="3">
        <v>6.6</v>
      </c>
      <c r="M821" t="s">
        <v>1035</v>
      </c>
      <c r="N821">
        <v>65.53</v>
      </c>
    </row>
    <row r="822" spans="1:14" hidden="1" x14ac:dyDescent="0.3">
      <c r="A822" t="s">
        <v>830</v>
      </c>
      <c r="B822" t="s">
        <v>1014</v>
      </c>
      <c r="C822" t="s">
        <v>1025</v>
      </c>
      <c r="D822">
        <v>43</v>
      </c>
      <c r="E822">
        <v>10</v>
      </c>
      <c r="F822" s="3">
        <v>51322</v>
      </c>
      <c r="G822">
        <v>40</v>
      </c>
      <c r="H822">
        <v>7</v>
      </c>
      <c r="I822">
        <v>1</v>
      </c>
      <c r="J822">
        <v>25</v>
      </c>
      <c r="K822">
        <v>4.3</v>
      </c>
      <c r="L822" s="3">
        <v>7.6</v>
      </c>
      <c r="M822" t="s">
        <v>1035</v>
      </c>
      <c r="N822">
        <v>70.17</v>
      </c>
    </row>
    <row r="823" spans="1:14" hidden="1" x14ac:dyDescent="0.3">
      <c r="A823" t="s">
        <v>831</v>
      </c>
      <c r="B823" t="s">
        <v>1018</v>
      </c>
      <c r="C823" t="s">
        <v>1032</v>
      </c>
      <c r="D823">
        <v>25</v>
      </c>
      <c r="E823">
        <v>4</v>
      </c>
      <c r="F823" s="3">
        <v>88744</v>
      </c>
      <c r="G823">
        <v>44</v>
      </c>
      <c r="H823">
        <v>7</v>
      </c>
      <c r="I823">
        <v>12</v>
      </c>
      <c r="J823">
        <v>35</v>
      </c>
      <c r="K823">
        <v>4.5999999999999996</v>
      </c>
      <c r="L823" s="3">
        <v>8.1</v>
      </c>
      <c r="M823" t="s">
        <v>1034</v>
      </c>
      <c r="N823">
        <v>74.069999999999993</v>
      </c>
    </row>
    <row r="824" spans="1:14" hidden="1" x14ac:dyDescent="0.3">
      <c r="A824" t="s">
        <v>832</v>
      </c>
      <c r="B824" t="s">
        <v>1016</v>
      </c>
      <c r="C824" t="s">
        <v>1022</v>
      </c>
      <c r="D824">
        <v>22</v>
      </c>
      <c r="E824">
        <v>1</v>
      </c>
      <c r="F824" s="3">
        <v>83996</v>
      </c>
      <c r="G824">
        <v>51</v>
      </c>
      <c r="H824">
        <v>10</v>
      </c>
      <c r="I824">
        <v>4</v>
      </c>
      <c r="J824">
        <v>25</v>
      </c>
      <c r="K824">
        <v>3.3</v>
      </c>
      <c r="L824" s="3">
        <v>4.4000000000000004</v>
      </c>
      <c r="M824" t="s">
        <v>1036</v>
      </c>
      <c r="N824">
        <v>52.97</v>
      </c>
    </row>
    <row r="825" spans="1:14" x14ac:dyDescent="0.3">
      <c r="A825" t="s">
        <v>833</v>
      </c>
      <c r="B825" t="s">
        <v>1015</v>
      </c>
      <c r="C825" t="s">
        <v>1020</v>
      </c>
      <c r="D825">
        <v>50</v>
      </c>
      <c r="E825">
        <v>11</v>
      </c>
      <c r="F825" s="3">
        <v>83174</v>
      </c>
      <c r="G825">
        <v>55</v>
      </c>
      <c r="H825">
        <v>7</v>
      </c>
      <c r="I825">
        <v>24</v>
      </c>
      <c r="J825">
        <v>12</v>
      </c>
      <c r="K825">
        <v>4.5999999999999996</v>
      </c>
      <c r="L825" s="3">
        <v>3.6</v>
      </c>
      <c r="M825" t="s">
        <v>1036</v>
      </c>
      <c r="N825">
        <v>47.07</v>
      </c>
    </row>
    <row r="826" spans="1:14" hidden="1" x14ac:dyDescent="0.3">
      <c r="A826" t="s">
        <v>834</v>
      </c>
      <c r="B826" t="s">
        <v>1016</v>
      </c>
      <c r="C826" t="s">
        <v>1033</v>
      </c>
      <c r="D826">
        <v>46</v>
      </c>
      <c r="E826">
        <v>4</v>
      </c>
      <c r="F826" s="3">
        <v>59109</v>
      </c>
      <c r="G826">
        <v>52</v>
      </c>
      <c r="H826">
        <v>5</v>
      </c>
      <c r="I826">
        <v>6</v>
      </c>
      <c r="J826">
        <v>5</v>
      </c>
      <c r="K826">
        <v>3.5</v>
      </c>
      <c r="L826" s="3">
        <v>5.2</v>
      </c>
      <c r="M826" t="s">
        <v>1036</v>
      </c>
      <c r="N826">
        <v>50.03</v>
      </c>
    </row>
    <row r="827" spans="1:14" hidden="1" x14ac:dyDescent="0.3">
      <c r="A827" t="s">
        <v>835</v>
      </c>
      <c r="B827" t="s">
        <v>1018</v>
      </c>
      <c r="C827" t="s">
        <v>1032</v>
      </c>
      <c r="D827">
        <v>23</v>
      </c>
      <c r="E827">
        <v>0</v>
      </c>
      <c r="F827" s="3">
        <v>83347</v>
      </c>
      <c r="G827">
        <v>52</v>
      </c>
      <c r="H827">
        <v>10</v>
      </c>
      <c r="I827">
        <v>8</v>
      </c>
      <c r="J827">
        <v>15</v>
      </c>
      <c r="K827">
        <v>4.5</v>
      </c>
      <c r="L827" s="3">
        <v>5.0999999999999996</v>
      </c>
      <c r="M827" t="s">
        <v>1036</v>
      </c>
      <c r="N827">
        <v>60.77</v>
      </c>
    </row>
    <row r="828" spans="1:14" hidden="1" x14ac:dyDescent="0.3">
      <c r="A828" t="s">
        <v>836</v>
      </c>
      <c r="B828" t="s">
        <v>1015</v>
      </c>
      <c r="C828" t="s">
        <v>1020</v>
      </c>
      <c r="D828">
        <v>29</v>
      </c>
      <c r="E828">
        <v>0</v>
      </c>
      <c r="F828" s="3">
        <v>80154</v>
      </c>
      <c r="G828">
        <v>46</v>
      </c>
      <c r="H828">
        <v>5</v>
      </c>
      <c r="I828">
        <v>20</v>
      </c>
      <c r="J828">
        <v>32</v>
      </c>
      <c r="K828">
        <v>3.1</v>
      </c>
      <c r="L828" s="3">
        <v>3.3</v>
      </c>
      <c r="M828" t="s">
        <v>1036</v>
      </c>
      <c r="N828">
        <v>37.43</v>
      </c>
    </row>
    <row r="829" spans="1:14" hidden="1" x14ac:dyDescent="0.3">
      <c r="A829" t="s">
        <v>837</v>
      </c>
      <c r="B829" t="s">
        <v>1014</v>
      </c>
      <c r="C829" t="s">
        <v>1025</v>
      </c>
      <c r="D829">
        <v>50</v>
      </c>
      <c r="E829">
        <v>9</v>
      </c>
      <c r="F829" s="3">
        <v>62515</v>
      </c>
      <c r="G829">
        <v>35</v>
      </c>
      <c r="H829">
        <v>8</v>
      </c>
      <c r="I829">
        <v>10</v>
      </c>
      <c r="J829">
        <v>15</v>
      </c>
      <c r="K829">
        <v>4.4000000000000004</v>
      </c>
      <c r="L829" s="3">
        <v>9.9</v>
      </c>
      <c r="M829" t="s">
        <v>1034</v>
      </c>
      <c r="N829">
        <v>85.93</v>
      </c>
    </row>
    <row r="830" spans="1:14" x14ac:dyDescent="0.3">
      <c r="A830" t="s">
        <v>838</v>
      </c>
      <c r="B830" t="s">
        <v>1015</v>
      </c>
      <c r="C830" t="s">
        <v>1020</v>
      </c>
      <c r="D830">
        <v>36</v>
      </c>
      <c r="E830">
        <v>11</v>
      </c>
      <c r="F830" s="3">
        <v>44608</v>
      </c>
      <c r="G830">
        <v>44</v>
      </c>
      <c r="H830">
        <v>11</v>
      </c>
      <c r="I830">
        <v>25</v>
      </c>
      <c r="J830">
        <v>36</v>
      </c>
      <c r="K830">
        <v>4</v>
      </c>
      <c r="L830" s="3">
        <v>8</v>
      </c>
      <c r="M830" t="s">
        <v>1034</v>
      </c>
      <c r="N830">
        <v>78.33</v>
      </c>
    </row>
    <row r="831" spans="1:14" hidden="1" x14ac:dyDescent="0.3">
      <c r="A831" t="s">
        <v>839</v>
      </c>
      <c r="B831" t="s">
        <v>1018</v>
      </c>
      <c r="C831" t="s">
        <v>1032</v>
      </c>
      <c r="D831">
        <v>28</v>
      </c>
      <c r="E831">
        <v>5</v>
      </c>
      <c r="F831" s="3">
        <v>58846</v>
      </c>
      <c r="G831">
        <v>53</v>
      </c>
      <c r="H831">
        <v>4</v>
      </c>
      <c r="I831">
        <v>24</v>
      </c>
      <c r="J831">
        <v>23</v>
      </c>
      <c r="K831">
        <v>3.4</v>
      </c>
      <c r="L831" s="3">
        <v>4</v>
      </c>
      <c r="M831" t="s">
        <v>1036</v>
      </c>
      <c r="N831">
        <v>40.869999999999997</v>
      </c>
    </row>
    <row r="832" spans="1:14" hidden="1" x14ac:dyDescent="0.3">
      <c r="A832" t="s">
        <v>840</v>
      </c>
      <c r="B832" t="s">
        <v>1017</v>
      </c>
      <c r="C832" t="s">
        <v>1024</v>
      </c>
      <c r="D832">
        <v>27</v>
      </c>
      <c r="E832">
        <v>0</v>
      </c>
      <c r="F832" s="3">
        <v>29075</v>
      </c>
      <c r="G832">
        <v>48</v>
      </c>
      <c r="H832">
        <v>15</v>
      </c>
      <c r="I832">
        <v>4</v>
      </c>
      <c r="J832">
        <v>30</v>
      </c>
      <c r="K832">
        <v>2.6</v>
      </c>
      <c r="L832" s="3">
        <v>3.5</v>
      </c>
      <c r="M832" t="s">
        <v>1036</v>
      </c>
      <c r="N832">
        <v>53.8</v>
      </c>
    </row>
    <row r="833" spans="1:14" x14ac:dyDescent="0.3">
      <c r="A833" t="s">
        <v>841</v>
      </c>
      <c r="B833" t="s">
        <v>1015</v>
      </c>
      <c r="C833" t="s">
        <v>1021</v>
      </c>
      <c r="D833">
        <v>47</v>
      </c>
      <c r="E833">
        <v>12</v>
      </c>
      <c r="F833" s="3">
        <v>82148</v>
      </c>
      <c r="G833">
        <v>43</v>
      </c>
      <c r="H833">
        <v>10</v>
      </c>
      <c r="I833">
        <v>15</v>
      </c>
      <c r="J833">
        <v>40</v>
      </c>
      <c r="K833">
        <v>3.3</v>
      </c>
      <c r="L833" s="3">
        <v>6.1</v>
      </c>
      <c r="M833" t="s">
        <v>1035</v>
      </c>
      <c r="N833">
        <v>63.17</v>
      </c>
    </row>
    <row r="834" spans="1:14" hidden="1" x14ac:dyDescent="0.3">
      <c r="A834" t="s">
        <v>842</v>
      </c>
      <c r="B834" t="s">
        <v>1017</v>
      </c>
      <c r="C834" t="s">
        <v>1024</v>
      </c>
      <c r="D834">
        <v>32</v>
      </c>
      <c r="E834">
        <v>2</v>
      </c>
      <c r="F834" s="3">
        <v>58147</v>
      </c>
      <c r="G834">
        <v>39</v>
      </c>
      <c r="H834">
        <v>8</v>
      </c>
      <c r="I834">
        <v>22</v>
      </c>
      <c r="J834">
        <v>29</v>
      </c>
      <c r="K834">
        <v>2.4</v>
      </c>
      <c r="L834" s="3">
        <v>7.9</v>
      </c>
      <c r="M834" t="s">
        <v>1035</v>
      </c>
      <c r="N834">
        <v>67.930000000000007</v>
      </c>
    </row>
    <row r="835" spans="1:14" hidden="1" x14ac:dyDescent="0.3">
      <c r="A835" t="s">
        <v>843</v>
      </c>
      <c r="B835" t="s">
        <v>1014</v>
      </c>
      <c r="C835" t="s">
        <v>1025</v>
      </c>
      <c r="D835">
        <v>35</v>
      </c>
      <c r="E835">
        <v>7</v>
      </c>
      <c r="F835" s="3">
        <v>56021</v>
      </c>
      <c r="G835">
        <v>36</v>
      </c>
      <c r="H835">
        <v>12</v>
      </c>
      <c r="I835">
        <v>5</v>
      </c>
      <c r="J835">
        <v>35</v>
      </c>
      <c r="K835">
        <v>3.1</v>
      </c>
      <c r="L835" s="3">
        <v>9.6999999999999993</v>
      </c>
      <c r="M835" t="s">
        <v>1034</v>
      </c>
      <c r="N835">
        <v>87.5</v>
      </c>
    </row>
    <row r="836" spans="1:14" hidden="1" x14ac:dyDescent="0.3">
      <c r="A836" t="s">
        <v>844</v>
      </c>
      <c r="B836" t="s">
        <v>1017</v>
      </c>
      <c r="C836" t="s">
        <v>1026</v>
      </c>
      <c r="D836">
        <v>29</v>
      </c>
      <c r="E836">
        <v>1</v>
      </c>
      <c r="F836" s="3">
        <v>49221</v>
      </c>
      <c r="G836">
        <v>53</v>
      </c>
      <c r="H836">
        <v>5</v>
      </c>
      <c r="I836">
        <v>1</v>
      </c>
      <c r="J836">
        <v>33</v>
      </c>
      <c r="K836">
        <v>2.5</v>
      </c>
      <c r="L836" s="3">
        <v>5.6</v>
      </c>
      <c r="M836" t="s">
        <v>1036</v>
      </c>
      <c r="N836">
        <v>49.43</v>
      </c>
    </row>
    <row r="837" spans="1:14" hidden="1" x14ac:dyDescent="0.3">
      <c r="A837" t="s">
        <v>845</v>
      </c>
      <c r="B837" t="s">
        <v>1016</v>
      </c>
      <c r="C837" t="s">
        <v>1033</v>
      </c>
      <c r="D837">
        <v>40</v>
      </c>
      <c r="E837">
        <v>15</v>
      </c>
      <c r="F837" s="3">
        <v>26833</v>
      </c>
      <c r="G837">
        <v>39</v>
      </c>
      <c r="H837">
        <v>3</v>
      </c>
      <c r="I837">
        <v>25</v>
      </c>
      <c r="J837">
        <v>37</v>
      </c>
      <c r="K837">
        <v>3.3</v>
      </c>
      <c r="L837" s="3">
        <v>9.6</v>
      </c>
      <c r="M837" t="s">
        <v>1034</v>
      </c>
      <c r="N837">
        <v>72.5</v>
      </c>
    </row>
    <row r="838" spans="1:14" hidden="1" x14ac:dyDescent="0.3">
      <c r="A838" t="s">
        <v>846</v>
      </c>
      <c r="B838" t="s">
        <v>1016</v>
      </c>
      <c r="C838" t="s">
        <v>1033</v>
      </c>
      <c r="D838">
        <v>35</v>
      </c>
      <c r="E838">
        <v>2</v>
      </c>
      <c r="F838" s="3">
        <v>78682</v>
      </c>
      <c r="G838">
        <v>50</v>
      </c>
      <c r="H838">
        <v>1</v>
      </c>
      <c r="I838">
        <v>3</v>
      </c>
      <c r="J838">
        <v>35</v>
      </c>
      <c r="K838">
        <v>3</v>
      </c>
      <c r="L838" s="3">
        <v>9.1</v>
      </c>
      <c r="M838" t="s">
        <v>1034</v>
      </c>
      <c r="N838">
        <v>65.27</v>
      </c>
    </row>
    <row r="839" spans="1:14" x14ac:dyDescent="0.3">
      <c r="A839" t="s">
        <v>847</v>
      </c>
      <c r="B839" t="s">
        <v>1017</v>
      </c>
      <c r="C839" t="s">
        <v>1030</v>
      </c>
      <c r="D839">
        <v>41</v>
      </c>
      <c r="E839">
        <v>14</v>
      </c>
      <c r="F839" s="3">
        <v>84001</v>
      </c>
      <c r="G839">
        <v>45</v>
      </c>
      <c r="H839">
        <v>13</v>
      </c>
      <c r="I839">
        <v>12</v>
      </c>
      <c r="J839">
        <v>30</v>
      </c>
      <c r="K839">
        <v>4.5</v>
      </c>
      <c r="L839" s="3">
        <v>8.8000000000000007</v>
      </c>
      <c r="M839" t="s">
        <v>1034</v>
      </c>
      <c r="N839">
        <v>87.97</v>
      </c>
    </row>
    <row r="840" spans="1:14" x14ac:dyDescent="0.3">
      <c r="A840" t="s">
        <v>848</v>
      </c>
      <c r="B840" t="s">
        <v>1018</v>
      </c>
      <c r="C840" t="s">
        <v>1027</v>
      </c>
      <c r="D840">
        <v>54</v>
      </c>
      <c r="E840">
        <v>14</v>
      </c>
      <c r="F840" s="3">
        <v>74917</v>
      </c>
      <c r="G840">
        <v>49</v>
      </c>
      <c r="H840">
        <v>11</v>
      </c>
      <c r="I840">
        <v>14</v>
      </c>
      <c r="J840">
        <v>9</v>
      </c>
      <c r="K840">
        <v>4.5999999999999996</v>
      </c>
      <c r="L840" s="3">
        <v>5.3</v>
      </c>
      <c r="M840" t="s">
        <v>1036</v>
      </c>
      <c r="N840">
        <v>63.93</v>
      </c>
    </row>
    <row r="841" spans="1:14" x14ac:dyDescent="0.3">
      <c r="A841" t="s">
        <v>849</v>
      </c>
      <c r="B841" t="s">
        <v>1015</v>
      </c>
      <c r="C841" t="s">
        <v>1020</v>
      </c>
      <c r="D841">
        <v>48</v>
      </c>
      <c r="E841">
        <v>12</v>
      </c>
      <c r="F841" s="3">
        <v>40258</v>
      </c>
      <c r="G841">
        <v>47</v>
      </c>
      <c r="H841">
        <v>6</v>
      </c>
      <c r="I841">
        <v>17</v>
      </c>
      <c r="J841">
        <v>2</v>
      </c>
      <c r="K841">
        <v>4.9000000000000004</v>
      </c>
      <c r="L841" s="3">
        <v>9.1999999999999993</v>
      </c>
      <c r="M841" t="s">
        <v>1034</v>
      </c>
      <c r="N841">
        <v>79.900000000000006</v>
      </c>
    </row>
    <row r="842" spans="1:14" hidden="1" x14ac:dyDescent="0.3">
      <c r="A842" t="s">
        <v>850</v>
      </c>
      <c r="B842" t="s">
        <v>1016</v>
      </c>
      <c r="C842" t="s">
        <v>1022</v>
      </c>
      <c r="D842">
        <v>27</v>
      </c>
      <c r="E842">
        <v>6</v>
      </c>
      <c r="F842" s="3">
        <v>35853</v>
      </c>
      <c r="G842">
        <v>35</v>
      </c>
      <c r="H842">
        <v>10</v>
      </c>
      <c r="I842">
        <v>20</v>
      </c>
      <c r="J842">
        <v>19</v>
      </c>
      <c r="K842">
        <v>3.7</v>
      </c>
      <c r="L842" s="3">
        <v>3.9</v>
      </c>
      <c r="M842" t="s">
        <v>1036</v>
      </c>
      <c r="N842">
        <v>51.17</v>
      </c>
    </row>
    <row r="843" spans="1:14" x14ac:dyDescent="0.3">
      <c r="A843" t="s">
        <v>851</v>
      </c>
      <c r="B843" t="s">
        <v>1014</v>
      </c>
      <c r="C843" t="s">
        <v>1025</v>
      </c>
      <c r="D843">
        <v>34</v>
      </c>
      <c r="E843">
        <v>9</v>
      </c>
      <c r="F843" s="3">
        <v>60509</v>
      </c>
      <c r="G843">
        <v>53</v>
      </c>
      <c r="H843">
        <v>13</v>
      </c>
      <c r="I843">
        <v>1</v>
      </c>
      <c r="J843">
        <v>36</v>
      </c>
      <c r="K843">
        <v>3.6</v>
      </c>
      <c r="L843" s="3">
        <v>8.3000000000000007</v>
      </c>
      <c r="M843" t="s">
        <v>1034</v>
      </c>
      <c r="N843">
        <v>82.27</v>
      </c>
    </row>
    <row r="844" spans="1:14" hidden="1" x14ac:dyDescent="0.3">
      <c r="A844" t="s">
        <v>852</v>
      </c>
      <c r="B844" t="s">
        <v>1014</v>
      </c>
      <c r="C844" t="s">
        <v>1025</v>
      </c>
      <c r="D844">
        <v>29</v>
      </c>
      <c r="E844">
        <v>8</v>
      </c>
      <c r="F844" s="3">
        <v>36779</v>
      </c>
      <c r="G844">
        <v>35</v>
      </c>
      <c r="H844">
        <v>5</v>
      </c>
      <c r="I844">
        <v>25</v>
      </c>
      <c r="J844">
        <v>13</v>
      </c>
      <c r="K844">
        <v>2.7</v>
      </c>
      <c r="L844" s="3">
        <v>7.9</v>
      </c>
      <c r="M844" t="s">
        <v>1035</v>
      </c>
      <c r="N844">
        <v>63.83</v>
      </c>
    </row>
    <row r="845" spans="1:14" x14ac:dyDescent="0.3">
      <c r="A845" t="s">
        <v>853</v>
      </c>
      <c r="B845" t="s">
        <v>1017</v>
      </c>
      <c r="C845" t="s">
        <v>1030</v>
      </c>
      <c r="D845">
        <v>27</v>
      </c>
      <c r="E845">
        <v>6</v>
      </c>
      <c r="F845" s="3">
        <v>59966</v>
      </c>
      <c r="G845">
        <v>54</v>
      </c>
      <c r="H845">
        <v>6</v>
      </c>
      <c r="I845">
        <v>12</v>
      </c>
      <c r="J845">
        <v>37</v>
      </c>
      <c r="K845">
        <v>2.1</v>
      </c>
      <c r="L845" s="3">
        <v>9</v>
      </c>
      <c r="M845" t="s">
        <v>1034</v>
      </c>
      <c r="N845">
        <v>70.3</v>
      </c>
    </row>
    <row r="846" spans="1:14" hidden="1" x14ac:dyDescent="0.3">
      <c r="A846" t="s">
        <v>854</v>
      </c>
      <c r="B846" t="s">
        <v>1016</v>
      </c>
      <c r="C846" t="s">
        <v>1023</v>
      </c>
      <c r="D846">
        <v>49</v>
      </c>
      <c r="E846">
        <v>5</v>
      </c>
      <c r="F846" s="3">
        <v>52193</v>
      </c>
      <c r="G846">
        <v>35</v>
      </c>
      <c r="H846">
        <v>14</v>
      </c>
      <c r="I846">
        <v>16</v>
      </c>
      <c r="J846">
        <v>20</v>
      </c>
      <c r="K846">
        <v>3.1</v>
      </c>
      <c r="L846" s="3">
        <v>3.6</v>
      </c>
      <c r="M846" t="s">
        <v>1036</v>
      </c>
      <c r="N846">
        <v>54.23</v>
      </c>
    </row>
    <row r="847" spans="1:14" hidden="1" x14ac:dyDescent="0.3">
      <c r="A847" t="s">
        <v>855</v>
      </c>
      <c r="B847" t="s">
        <v>1015</v>
      </c>
      <c r="C847" t="s">
        <v>1020</v>
      </c>
      <c r="D847">
        <v>32</v>
      </c>
      <c r="E847">
        <v>4</v>
      </c>
      <c r="F847" s="3">
        <v>34439</v>
      </c>
      <c r="G847">
        <v>40</v>
      </c>
      <c r="H847">
        <v>5</v>
      </c>
      <c r="I847">
        <v>24</v>
      </c>
      <c r="J847">
        <v>5</v>
      </c>
      <c r="K847">
        <v>2.5</v>
      </c>
      <c r="L847" s="3">
        <v>9.6999999999999993</v>
      </c>
      <c r="M847" t="s">
        <v>1034</v>
      </c>
      <c r="N847">
        <v>74.03</v>
      </c>
    </row>
    <row r="848" spans="1:14" hidden="1" x14ac:dyDescent="0.3">
      <c r="A848" t="s">
        <v>856</v>
      </c>
      <c r="B848" t="s">
        <v>1018</v>
      </c>
      <c r="C848" t="s">
        <v>1028</v>
      </c>
      <c r="D848">
        <v>25</v>
      </c>
      <c r="E848">
        <v>4</v>
      </c>
      <c r="F848" s="3">
        <v>87988</v>
      </c>
      <c r="G848">
        <v>45</v>
      </c>
      <c r="H848">
        <v>3</v>
      </c>
      <c r="I848">
        <v>0</v>
      </c>
      <c r="J848">
        <v>3</v>
      </c>
      <c r="K848">
        <v>2.9</v>
      </c>
      <c r="L848" s="3">
        <v>3.7</v>
      </c>
      <c r="M848" t="s">
        <v>1036</v>
      </c>
      <c r="N848">
        <v>35.9</v>
      </c>
    </row>
    <row r="849" spans="1:14" hidden="1" x14ac:dyDescent="0.3">
      <c r="A849" t="s">
        <v>857</v>
      </c>
      <c r="B849" t="s">
        <v>1017</v>
      </c>
      <c r="C849" t="s">
        <v>1026</v>
      </c>
      <c r="D849">
        <v>42</v>
      </c>
      <c r="E849">
        <v>8</v>
      </c>
      <c r="F849" s="3">
        <v>49609</v>
      </c>
      <c r="G849">
        <v>38</v>
      </c>
      <c r="H849">
        <v>1</v>
      </c>
      <c r="I849">
        <v>6</v>
      </c>
      <c r="J849">
        <v>15</v>
      </c>
      <c r="K849">
        <v>4.3</v>
      </c>
      <c r="L849" s="3">
        <v>7.1</v>
      </c>
      <c r="M849" t="s">
        <v>1035</v>
      </c>
      <c r="N849">
        <v>57.17</v>
      </c>
    </row>
    <row r="850" spans="1:14" hidden="1" x14ac:dyDescent="0.3">
      <c r="A850" t="s">
        <v>858</v>
      </c>
      <c r="B850" t="s">
        <v>1015</v>
      </c>
      <c r="C850" t="s">
        <v>1021</v>
      </c>
      <c r="D850">
        <v>54</v>
      </c>
      <c r="E850">
        <v>12</v>
      </c>
      <c r="F850" s="3">
        <v>87217</v>
      </c>
      <c r="G850">
        <v>38</v>
      </c>
      <c r="H850">
        <v>5</v>
      </c>
      <c r="I850">
        <v>1</v>
      </c>
      <c r="J850">
        <v>20</v>
      </c>
      <c r="K850">
        <v>3.4</v>
      </c>
      <c r="L850" s="3">
        <v>5.8</v>
      </c>
      <c r="M850" t="s">
        <v>1036</v>
      </c>
      <c r="N850">
        <v>53.33</v>
      </c>
    </row>
    <row r="851" spans="1:14" hidden="1" x14ac:dyDescent="0.3">
      <c r="A851" t="s">
        <v>859</v>
      </c>
      <c r="B851" t="s">
        <v>1014</v>
      </c>
      <c r="C851" t="s">
        <v>1025</v>
      </c>
      <c r="D851">
        <v>48</v>
      </c>
      <c r="E851">
        <v>7</v>
      </c>
      <c r="F851" s="3">
        <v>84882</v>
      </c>
      <c r="G851">
        <v>35</v>
      </c>
      <c r="H851">
        <v>5</v>
      </c>
      <c r="I851">
        <v>17</v>
      </c>
      <c r="J851">
        <v>37</v>
      </c>
      <c r="K851">
        <v>4</v>
      </c>
      <c r="L851" s="3">
        <v>4.7</v>
      </c>
      <c r="M851" t="s">
        <v>1036</v>
      </c>
      <c r="N851">
        <v>48.53</v>
      </c>
    </row>
    <row r="852" spans="1:14" hidden="1" x14ac:dyDescent="0.3">
      <c r="A852" t="s">
        <v>860</v>
      </c>
      <c r="B852" t="s">
        <v>1018</v>
      </c>
      <c r="C852" t="s">
        <v>1032</v>
      </c>
      <c r="D852">
        <v>41</v>
      </c>
      <c r="E852">
        <v>13</v>
      </c>
      <c r="F852" s="3">
        <v>54227</v>
      </c>
      <c r="G852">
        <v>37</v>
      </c>
      <c r="H852">
        <v>14</v>
      </c>
      <c r="I852">
        <v>20</v>
      </c>
      <c r="J852">
        <v>32</v>
      </c>
      <c r="K852">
        <v>2.6</v>
      </c>
      <c r="L852" s="3">
        <v>9.8000000000000007</v>
      </c>
      <c r="M852" t="s">
        <v>1034</v>
      </c>
      <c r="N852">
        <v>89.93</v>
      </c>
    </row>
    <row r="853" spans="1:14" hidden="1" x14ac:dyDescent="0.3">
      <c r="A853" t="s">
        <v>861</v>
      </c>
      <c r="B853" t="s">
        <v>1015</v>
      </c>
      <c r="C853" t="s">
        <v>1020</v>
      </c>
      <c r="D853">
        <v>32</v>
      </c>
      <c r="E853">
        <v>3</v>
      </c>
      <c r="F853" s="3">
        <v>60227</v>
      </c>
      <c r="G853">
        <v>48</v>
      </c>
      <c r="H853">
        <v>15</v>
      </c>
      <c r="I853">
        <v>17</v>
      </c>
      <c r="J853">
        <v>28</v>
      </c>
      <c r="K853">
        <v>2.1</v>
      </c>
      <c r="L853" s="3">
        <v>8.6999999999999993</v>
      </c>
      <c r="M853" t="s">
        <v>1034</v>
      </c>
      <c r="N853">
        <v>83.5</v>
      </c>
    </row>
    <row r="854" spans="1:14" hidden="1" x14ac:dyDescent="0.3">
      <c r="A854" t="s">
        <v>862</v>
      </c>
      <c r="B854" t="s">
        <v>1016</v>
      </c>
      <c r="C854" t="s">
        <v>1033</v>
      </c>
      <c r="D854">
        <v>32</v>
      </c>
      <c r="E854">
        <v>0</v>
      </c>
      <c r="F854" s="3">
        <v>28943</v>
      </c>
      <c r="G854">
        <v>50</v>
      </c>
      <c r="H854">
        <v>5</v>
      </c>
      <c r="I854">
        <v>19</v>
      </c>
      <c r="J854">
        <v>16</v>
      </c>
      <c r="K854">
        <v>4.5</v>
      </c>
      <c r="L854" s="3">
        <v>5.7</v>
      </c>
      <c r="M854" t="s">
        <v>1036</v>
      </c>
      <c r="N854">
        <v>56.03</v>
      </c>
    </row>
    <row r="855" spans="1:14" hidden="1" x14ac:dyDescent="0.3">
      <c r="A855" t="s">
        <v>863</v>
      </c>
      <c r="B855" t="s">
        <v>1018</v>
      </c>
      <c r="C855" t="s">
        <v>1027</v>
      </c>
      <c r="D855">
        <v>54</v>
      </c>
      <c r="E855">
        <v>9</v>
      </c>
      <c r="F855" s="3">
        <v>27980</v>
      </c>
      <c r="G855">
        <v>40</v>
      </c>
      <c r="H855">
        <v>12</v>
      </c>
      <c r="I855">
        <v>17</v>
      </c>
      <c r="J855">
        <v>36</v>
      </c>
      <c r="K855">
        <v>2.2000000000000002</v>
      </c>
      <c r="L855" s="3">
        <v>3.6</v>
      </c>
      <c r="M855" t="s">
        <v>1036</v>
      </c>
      <c r="N855">
        <v>48.2</v>
      </c>
    </row>
    <row r="856" spans="1:14" x14ac:dyDescent="0.3">
      <c r="A856" t="s">
        <v>864</v>
      </c>
      <c r="B856" t="s">
        <v>1014</v>
      </c>
      <c r="C856" t="s">
        <v>1025</v>
      </c>
      <c r="D856">
        <v>30</v>
      </c>
      <c r="E856">
        <v>8</v>
      </c>
      <c r="F856" s="3">
        <v>43314</v>
      </c>
      <c r="G856">
        <v>48</v>
      </c>
      <c r="H856">
        <v>4</v>
      </c>
      <c r="I856">
        <v>19</v>
      </c>
      <c r="J856">
        <v>32</v>
      </c>
      <c r="K856">
        <v>4.9000000000000004</v>
      </c>
      <c r="L856" s="3">
        <v>5.2</v>
      </c>
      <c r="M856" t="s">
        <v>1036</v>
      </c>
      <c r="N856">
        <v>52.57</v>
      </c>
    </row>
    <row r="857" spans="1:14" x14ac:dyDescent="0.3">
      <c r="A857" t="s">
        <v>865</v>
      </c>
      <c r="B857" t="s">
        <v>1016</v>
      </c>
      <c r="C857" t="s">
        <v>1033</v>
      </c>
      <c r="D857">
        <v>38</v>
      </c>
      <c r="E857">
        <v>14</v>
      </c>
      <c r="F857" s="3">
        <v>42892</v>
      </c>
      <c r="G857">
        <v>42</v>
      </c>
      <c r="H857">
        <v>11</v>
      </c>
      <c r="I857">
        <v>10</v>
      </c>
      <c r="J857">
        <v>21</v>
      </c>
      <c r="K857">
        <v>2.6</v>
      </c>
      <c r="L857" s="3">
        <v>9.6999999999999993</v>
      </c>
      <c r="M857" t="s">
        <v>1034</v>
      </c>
      <c r="N857">
        <v>84.33</v>
      </c>
    </row>
    <row r="858" spans="1:14" hidden="1" x14ac:dyDescent="0.3">
      <c r="A858" t="s">
        <v>866</v>
      </c>
      <c r="B858" t="s">
        <v>1014</v>
      </c>
      <c r="C858" t="s">
        <v>1025</v>
      </c>
      <c r="D858">
        <v>30</v>
      </c>
      <c r="E858">
        <v>0</v>
      </c>
      <c r="F858" s="3">
        <v>64897</v>
      </c>
      <c r="G858">
        <v>50</v>
      </c>
      <c r="H858">
        <v>1</v>
      </c>
      <c r="I858">
        <v>0</v>
      </c>
      <c r="J858">
        <v>11</v>
      </c>
      <c r="K858">
        <v>3.2</v>
      </c>
      <c r="L858" s="3">
        <v>9.3000000000000007</v>
      </c>
      <c r="M858" t="s">
        <v>1034</v>
      </c>
      <c r="N858">
        <v>67.069999999999993</v>
      </c>
    </row>
    <row r="859" spans="1:14" hidden="1" x14ac:dyDescent="0.3">
      <c r="A859" t="s">
        <v>867</v>
      </c>
      <c r="B859" t="s">
        <v>1017</v>
      </c>
      <c r="C859" t="s">
        <v>1024</v>
      </c>
      <c r="D859">
        <v>47</v>
      </c>
      <c r="E859">
        <v>2</v>
      </c>
      <c r="F859" s="3">
        <v>76596</v>
      </c>
      <c r="G859">
        <v>55</v>
      </c>
      <c r="H859">
        <v>11</v>
      </c>
      <c r="I859">
        <v>2</v>
      </c>
      <c r="J859">
        <v>34</v>
      </c>
      <c r="K859">
        <v>2.1</v>
      </c>
      <c r="L859" s="3">
        <v>8.8000000000000007</v>
      </c>
      <c r="M859" t="s">
        <v>1034</v>
      </c>
      <c r="N859">
        <v>77.430000000000007</v>
      </c>
    </row>
    <row r="860" spans="1:14" hidden="1" x14ac:dyDescent="0.3">
      <c r="A860" t="s">
        <v>868</v>
      </c>
      <c r="B860" t="s">
        <v>1017</v>
      </c>
      <c r="C860" t="s">
        <v>1024</v>
      </c>
      <c r="D860">
        <v>29</v>
      </c>
      <c r="E860">
        <v>5</v>
      </c>
      <c r="F860" s="3">
        <v>88703</v>
      </c>
      <c r="G860">
        <v>47</v>
      </c>
      <c r="H860">
        <v>14</v>
      </c>
      <c r="I860">
        <v>19</v>
      </c>
      <c r="J860">
        <v>22</v>
      </c>
      <c r="K860">
        <v>3.2</v>
      </c>
      <c r="L860" s="3">
        <v>8.9</v>
      </c>
      <c r="M860" t="s">
        <v>1034</v>
      </c>
      <c r="N860">
        <v>86.33</v>
      </c>
    </row>
    <row r="861" spans="1:14" x14ac:dyDescent="0.3">
      <c r="A861" t="s">
        <v>869</v>
      </c>
      <c r="B861" t="s">
        <v>1014</v>
      </c>
      <c r="C861" t="s">
        <v>1025</v>
      </c>
      <c r="D861">
        <v>29</v>
      </c>
      <c r="E861">
        <v>7</v>
      </c>
      <c r="F861" s="3">
        <v>49279</v>
      </c>
      <c r="G861">
        <v>41</v>
      </c>
      <c r="H861">
        <v>8</v>
      </c>
      <c r="I861">
        <v>0</v>
      </c>
      <c r="J861">
        <v>14</v>
      </c>
      <c r="K861">
        <v>4.2</v>
      </c>
      <c r="L861" s="3">
        <v>8.3000000000000007</v>
      </c>
      <c r="M861" t="s">
        <v>1034</v>
      </c>
      <c r="N861">
        <v>75.73</v>
      </c>
    </row>
    <row r="862" spans="1:14" hidden="1" x14ac:dyDescent="0.3">
      <c r="A862" t="s">
        <v>870</v>
      </c>
      <c r="B862" t="s">
        <v>1016</v>
      </c>
      <c r="C862" t="s">
        <v>1033</v>
      </c>
      <c r="D862">
        <v>34</v>
      </c>
      <c r="E862">
        <v>1</v>
      </c>
      <c r="F862" s="3">
        <v>78495</v>
      </c>
      <c r="G862">
        <v>54</v>
      </c>
      <c r="H862">
        <v>11</v>
      </c>
      <c r="I862">
        <v>9</v>
      </c>
      <c r="J862">
        <v>14</v>
      </c>
      <c r="K862">
        <v>2.7</v>
      </c>
      <c r="L862" s="3">
        <v>6.5</v>
      </c>
      <c r="M862" t="s">
        <v>1035</v>
      </c>
      <c r="N862">
        <v>65.430000000000007</v>
      </c>
    </row>
    <row r="863" spans="1:14" x14ac:dyDescent="0.3">
      <c r="A863" t="s">
        <v>871</v>
      </c>
      <c r="B863" t="s">
        <v>1014</v>
      </c>
      <c r="C863" t="s">
        <v>1019</v>
      </c>
      <c r="D863">
        <v>39</v>
      </c>
      <c r="E863">
        <v>15</v>
      </c>
      <c r="F863" s="3">
        <v>84277</v>
      </c>
      <c r="G863">
        <v>54</v>
      </c>
      <c r="H863">
        <v>4</v>
      </c>
      <c r="I863">
        <v>0</v>
      </c>
      <c r="J863">
        <v>12</v>
      </c>
      <c r="K863">
        <v>5</v>
      </c>
      <c r="L863" s="3">
        <v>7.5</v>
      </c>
      <c r="M863" t="s">
        <v>1035</v>
      </c>
      <c r="N863">
        <v>66.67</v>
      </c>
    </row>
    <row r="864" spans="1:14" x14ac:dyDescent="0.3">
      <c r="A864" t="s">
        <v>872</v>
      </c>
      <c r="B864" t="s">
        <v>1016</v>
      </c>
      <c r="C864" t="s">
        <v>1023</v>
      </c>
      <c r="D864">
        <v>54</v>
      </c>
      <c r="E864">
        <v>15</v>
      </c>
      <c r="F864" s="3">
        <v>36172</v>
      </c>
      <c r="G864">
        <v>52</v>
      </c>
      <c r="H864">
        <v>4</v>
      </c>
      <c r="I864">
        <v>21</v>
      </c>
      <c r="J864">
        <v>36</v>
      </c>
      <c r="K864">
        <v>4</v>
      </c>
      <c r="L864" s="3">
        <v>7.2</v>
      </c>
      <c r="M864" t="s">
        <v>1035</v>
      </c>
      <c r="N864">
        <v>61.87</v>
      </c>
    </row>
    <row r="865" spans="1:14" hidden="1" x14ac:dyDescent="0.3">
      <c r="A865" t="s">
        <v>873</v>
      </c>
      <c r="B865" t="s">
        <v>1014</v>
      </c>
      <c r="C865" t="s">
        <v>1031</v>
      </c>
      <c r="D865">
        <v>30</v>
      </c>
      <c r="E865">
        <v>1</v>
      </c>
      <c r="F865" s="3">
        <v>33351</v>
      </c>
      <c r="G865">
        <v>43</v>
      </c>
      <c r="H865">
        <v>15</v>
      </c>
      <c r="I865">
        <v>18</v>
      </c>
      <c r="J865">
        <v>14</v>
      </c>
      <c r="K865">
        <v>4.5999999999999996</v>
      </c>
      <c r="L865" s="3">
        <v>8.1</v>
      </c>
      <c r="M865" t="s">
        <v>1034</v>
      </c>
      <c r="N865">
        <v>87.4</v>
      </c>
    </row>
    <row r="866" spans="1:14" hidden="1" x14ac:dyDescent="0.3">
      <c r="A866" t="s">
        <v>874</v>
      </c>
      <c r="B866" t="s">
        <v>1018</v>
      </c>
      <c r="C866" t="s">
        <v>1032</v>
      </c>
      <c r="D866">
        <v>23</v>
      </c>
      <c r="E866">
        <v>2</v>
      </c>
      <c r="F866" s="3">
        <v>69416</v>
      </c>
      <c r="G866">
        <v>52</v>
      </c>
      <c r="H866">
        <v>10</v>
      </c>
      <c r="I866">
        <v>8</v>
      </c>
      <c r="J866">
        <v>35</v>
      </c>
      <c r="K866">
        <v>4.5999999999999996</v>
      </c>
      <c r="L866" s="3">
        <v>3</v>
      </c>
      <c r="M866" t="s">
        <v>1036</v>
      </c>
      <c r="N866">
        <v>48.47</v>
      </c>
    </row>
    <row r="867" spans="1:14" x14ac:dyDescent="0.3">
      <c r="A867" t="s">
        <v>875</v>
      </c>
      <c r="B867" t="s">
        <v>1014</v>
      </c>
      <c r="C867" t="s">
        <v>1019</v>
      </c>
      <c r="D867">
        <v>42</v>
      </c>
      <c r="E867">
        <v>13</v>
      </c>
      <c r="F867" s="3">
        <v>80334</v>
      </c>
      <c r="G867">
        <v>48</v>
      </c>
      <c r="H867">
        <v>5</v>
      </c>
      <c r="I867">
        <v>3</v>
      </c>
      <c r="J867">
        <v>33</v>
      </c>
      <c r="K867">
        <v>3.4</v>
      </c>
      <c r="L867" s="3">
        <v>5.5</v>
      </c>
      <c r="M867" t="s">
        <v>1036</v>
      </c>
      <c r="N867">
        <v>51.53</v>
      </c>
    </row>
    <row r="868" spans="1:14" hidden="1" x14ac:dyDescent="0.3">
      <c r="A868" t="s">
        <v>876</v>
      </c>
      <c r="B868" t="s">
        <v>1018</v>
      </c>
      <c r="C868" t="s">
        <v>1028</v>
      </c>
      <c r="D868">
        <v>25</v>
      </c>
      <c r="E868">
        <v>2</v>
      </c>
      <c r="F868" s="3">
        <v>85187</v>
      </c>
      <c r="G868">
        <v>48</v>
      </c>
      <c r="H868">
        <v>9</v>
      </c>
      <c r="I868">
        <v>14</v>
      </c>
      <c r="J868">
        <v>20</v>
      </c>
      <c r="K868">
        <v>2</v>
      </c>
      <c r="L868" s="3">
        <v>4.4000000000000004</v>
      </c>
      <c r="M868" t="s">
        <v>1036</v>
      </c>
      <c r="N868">
        <v>47.4</v>
      </c>
    </row>
    <row r="869" spans="1:14" hidden="1" x14ac:dyDescent="0.3">
      <c r="A869" t="s">
        <v>877</v>
      </c>
      <c r="B869" t="s">
        <v>1015</v>
      </c>
      <c r="C869" t="s">
        <v>1020</v>
      </c>
      <c r="D869">
        <v>23</v>
      </c>
      <c r="E869">
        <v>2</v>
      </c>
      <c r="F869" s="3">
        <v>39786</v>
      </c>
      <c r="G869">
        <v>48</v>
      </c>
      <c r="H869">
        <v>2</v>
      </c>
      <c r="I869">
        <v>7</v>
      </c>
      <c r="J869">
        <v>12</v>
      </c>
      <c r="K869">
        <v>2.5</v>
      </c>
      <c r="L869" s="3">
        <v>5.2</v>
      </c>
      <c r="M869" t="s">
        <v>1036</v>
      </c>
      <c r="N869">
        <v>42.03</v>
      </c>
    </row>
    <row r="870" spans="1:14" hidden="1" x14ac:dyDescent="0.3">
      <c r="A870" t="s">
        <v>878</v>
      </c>
      <c r="B870" t="s">
        <v>1014</v>
      </c>
      <c r="C870" t="s">
        <v>1019</v>
      </c>
      <c r="D870">
        <v>23</v>
      </c>
      <c r="E870">
        <v>1</v>
      </c>
      <c r="F870" s="3">
        <v>53308</v>
      </c>
      <c r="G870">
        <v>35</v>
      </c>
      <c r="H870">
        <v>10</v>
      </c>
      <c r="I870">
        <v>25</v>
      </c>
      <c r="J870">
        <v>40</v>
      </c>
      <c r="K870">
        <v>4.8</v>
      </c>
      <c r="L870" s="3">
        <v>8.9</v>
      </c>
      <c r="M870" t="s">
        <v>1034</v>
      </c>
      <c r="N870">
        <v>84.47</v>
      </c>
    </row>
    <row r="871" spans="1:14" x14ac:dyDescent="0.3">
      <c r="A871" t="s">
        <v>879</v>
      </c>
      <c r="B871" t="s">
        <v>1014</v>
      </c>
      <c r="C871" t="s">
        <v>1019</v>
      </c>
      <c r="D871">
        <v>52</v>
      </c>
      <c r="E871">
        <v>7</v>
      </c>
      <c r="F871" s="3">
        <v>87836</v>
      </c>
      <c r="G871">
        <v>45</v>
      </c>
      <c r="H871">
        <v>14</v>
      </c>
      <c r="I871">
        <v>1</v>
      </c>
      <c r="J871">
        <v>21</v>
      </c>
      <c r="K871">
        <v>3.6</v>
      </c>
      <c r="L871" s="3">
        <v>4.7</v>
      </c>
      <c r="M871" t="s">
        <v>1036</v>
      </c>
      <c r="N871">
        <v>62.33</v>
      </c>
    </row>
    <row r="872" spans="1:14" hidden="1" x14ac:dyDescent="0.3">
      <c r="A872" t="s">
        <v>880</v>
      </c>
      <c r="B872" t="s">
        <v>1015</v>
      </c>
      <c r="C872" t="s">
        <v>1021</v>
      </c>
      <c r="D872">
        <v>50</v>
      </c>
      <c r="E872">
        <v>3</v>
      </c>
      <c r="F872" s="3">
        <v>65982</v>
      </c>
      <c r="G872">
        <v>49</v>
      </c>
      <c r="H872">
        <v>10</v>
      </c>
      <c r="I872">
        <v>3</v>
      </c>
      <c r="J872">
        <v>5</v>
      </c>
      <c r="K872">
        <v>4.9000000000000004</v>
      </c>
      <c r="L872" s="3">
        <v>9.4</v>
      </c>
      <c r="M872" t="s">
        <v>1034</v>
      </c>
      <c r="N872">
        <v>87.77</v>
      </c>
    </row>
    <row r="873" spans="1:14" hidden="1" x14ac:dyDescent="0.3">
      <c r="A873" t="s">
        <v>881</v>
      </c>
      <c r="B873" t="s">
        <v>1016</v>
      </c>
      <c r="C873" t="s">
        <v>1022</v>
      </c>
      <c r="D873">
        <v>26</v>
      </c>
      <c r="E873">
        <v>1</v>
      </c>
      <c r="F873" s="3">
        <v>29063</v>
      </c>
      <c r="G873">
        <v>49</v>
      </c>
      <c r="H873">
        <v>1</v>
      </c>
      <c r="I873">
        <v>9</v>
      </c>
      <c r="J873">
        <v>39</v>
      </c>
      <c r="K873">
        <v>3.9</v>
      </c>
      <c r="L873" s="3">
        <v>3.5</v>
      </c>
      <c r="M873" t="s">
        <v>1036</v>
      </c>
      <c r="N873">
        <v>34.369999999999997</v>
      </c>
    </row>
    <row r="874" spans="1:14" hidden="1" x14ac:dyDescent="0.3">
      <c r="A874" t="s">
        <v>882</v>
      </c>
      <c r="B874" t="s">
        <v>1014</v>
      </c>
      <c r="C874" t="s">
        <v>1025</v>
      </c>
      <c r="D874">
        <v>25</v>
      </c>
      <c r="E874">
        <v>2</v>
      </c>
      <c r="F874" s="3">
        <v>80700</v>
      </c>
      <c r="G874">
        <v>47</v>
      </c>
      <c r="H874">
        <v>7</v>
      </c>
      <c r="I874">
        <v>3</v>
      </c>
      <c r="J874">
        <v>39</v>
      </c>
      <c r="K874">
        <v>4.3</v>
      </c>
      <c r="L874" s="3">
        <v>4.5999999999999996</v>
      </c>
      <c r="M874" t="s">
        <v>1036</v>
      </c>
      <c r="N874">
        <v>52.17</v>
      </c>
    </row>
    <row r="875" spans="1:14" hidden="1" x14ac:dyDescent="0.3">
      <c r="A875" t="s">
        <v>883</v>
      </c>
      <c r="B875" t="s">
        <v>1015</v>
      </c>
      <c r="C875" t="s">
        <v>1020</v>
      </c>
      <c r="D875">
        <v>22</v>
      </c>
      <c r="E875">
        <v>1</v>
      </c>
      <c r="F875" s="3">
        <v>50160</v>
      </c>
      <c r="G875">
        <v>49</v>
      </c>
      <c r="H875">
        <v>13</v>
      </c>
      <c r="I875">
        <v>13</v>
      </c>
      <c r="J875">
        <v>39</v>
      </c>
      <c r="K875">
        <v>3.9</v>
      </c>
      <c r="L875" s="3">
        <v>5.4</v>
      </c>
      <c r="M875" t="s">
        <v>1036</v>
      </c>
      <c r="N875">
        <v>65.77</v>
      </c>
    </row>
    <row r="876" spans="1:14" x14ac:dyDescent="0.3">
      <c r="A876" t="s">
        <v>884</v>
      </c>
      <c r="B876" t="s">
        <v>1014</v>
      </c>
      <c r="C876" t="s">
        <v>1019</v>
      </c>
      <c r="D876">
        <v>51</v>
      </c>
      <c r="E876">
        <v>10</v>
      </c>
      <c r="F876" s="3">
        <v>63522</v>
      </c>
      <c r="G876">
        <v>41</v>
      </c>
      <c r="H876">
        <v>2</v>
      </c>
      <c r="I876">
        <v>3</v>
      </c>
      <c r="J876">
        <v>0</v>
      </c>
      <c r="K876">
        <v>3.8</v>
      </c>
      <c r="L876" s="3">
        <v>3.5</v>
      </c>
      <c r="M876" t="s">
        <v>1036</v>
      </c>
      <c r="N876">
        <v>35.729999999999997</v>
      </c>
    </row>
    <row r="877" spans="1:14" x14ac:dyDescent="0.3">
      <c r="A877" t="s">
        <v>885</v>
      </c>
      <c r="B877" t="s">
        <v>1015</v>
      </c>
      <c r="C877" t="s">
        <v>1029</v>
      </c>
      <c r="D877">
        <v>30</v>
      </c>
      <c r="E877">
        <v>8</v>
      </c>
      <c r="F877" s="3">
        <v>41795</v>
      </c>
      <c r="G877">
        <v>46</v>
      </c>
      <c r="H877">
        <v>7</v>
      </c>
      <c r="I877">
        <v>15</v>
      </c>
      <c r="J877">
        <v>39</v>
      </c>
      <c r="K877">
        <v>3.3</v>
      </c>
      <c r="L877" s="3">
        <v>4.7</v>
      </c>
      <c r="M877" t="s">
        <v>1036</v>
      </c>
      <c r="N877">
        <v>49.77</v>
      </c>
    </row>
    <row r="878" spans="1:14" hidden="1" x14ac:dyDescent="0.3">
      <c r="A878" t="s">
        <v>886</v>
      </c>
      <c r="B878" t="s">
        <v>1014</v>
      </c>
      <c r="C878" t="s">
        <v>1019</v>
      </c>
      <c r="D878">
        <v>30</v>
      </c>
      <c r="E878">
        <v>4</v>
      </c>
      <c r="F878" s="3">
        <v>63307</v>
      </c>
      <c r="G878">
        <v>48</v>
      </c>
      <c r="H878">
        <v>9</v>
      </c>
      <c r="I878">
        <v>20</v>
      </c>
      <c r="J878">
        <v>22</v>
      </c>
      <c r="K878">
        <v>2.9</v>
      </c>
      <c r="L878" s="3">
        <v>9.1999999999999993</v>
      </c>
      <c r="M878" t="s">
        <v>1034</v>
      </c>
      <c r="N878">
        <v>78.900000000000006</v>
      </c>
    </row>
    <row r="879" spans="1:14" x14ac:dyDescent="0.3">
      <c r="A879" t="s">
        <v>887</v>
      </c>
      <c r="B879" t="s">
        <v>1018</v>
      </c>
      <c r="C879" t="s">
        <v>1028</v>
      </c>
      <c r="D879">
        <v>52</v>
      </c>
      <c r="E879">
        <v>9</v>
      </c>
      <c r="F879" s="3">
        <v>64539</v>
      </c>
      <c r="G879">
        <v>45</v>
      </c>
      <c r="H879">
        <v>5</v>
      </c>
      <c r="I879">
        <v>11</v>
      </c>
      <c r="J879">
        <v>0</v>
      </c>
      <c r="K879">
        <v>3.6</v>
      </c>
      <c r="L879" s="3">
        <v>7.6</v>
      </c>
      <c r="M879" t="s">
        <v>1035</v>
      </c>
      <c r="N879">
        <v>64.73</v>
      </c>
    </row>
    <row r="880" spans="1:14" hidden="1" x14ac:dyDescent="0.3">
      <c r="A880" t="s">
        <v>888</v>
      </c>
      <c r="B880" t="s">
        <v>1014</v>
      </c>
      <c r="C880" t="s">
        <v>1031</v>
      </c>
      <c r="D880">
        <v>37</v>
      </c>
      <c r="E880">
        <v>1</v>
      </c>
      <c r="F880" s="3">
        <v>52660</v>
      </c>
      <c r="G880">
        <v>46</v>
      </c>
      <c r="H880">
        <v>4</v>
      </c>
      <c r="I880">
        <v>6</v>
      </c>
      <c r="J880">
        <v>40</v>
      </c>
      <c r="K880">
        <v>4.7</v>
      </c>
      <c r="L880" s="3">
        <v>8.5</v>
      </c>
      <c r="M880" t="s">
        <v>1034</v>
      </c>
      <c r="N880">
        <v>71.77</v>
      </c>
    </row>
    <row r="881" spans="1:14" x14ac:dyDescent="0.3">
      <c r="A881" t="s">
        <v>889</v>
      </c>
      <c r="B881" t="s">
        <v>1018</v>
      </c>
      <c r="C881" t="s">
        <v>1032</v>
      </c>
      <c r="D881">
        <v>52</v>
      </c>
      <c r="E881">
        <v>14</v>
      </c>
      <c r="F881" s="3">
        <v>64306</v>
      </c>
      <c r="G881">
        <v>45</v>
      </c>
      <c r="H881">
        <v>14</v>
      </c>
      <c r="I881">
        <v>18</v>
      </c>
      <c r="J881">
        <v>36</v>
      </c>
      <c r="K881">
        <v>4.9000000000000004</v>
      </c>
      <c r="L881" s="3">
        <v>7.3</v>
      </c>
      <c r="M881" t="s">
        <v>1035</v>
      </c>
      <c r="N881">
        <v>81.83</v>
      </c>
    </row>
    <row r="882" spans="1:14" hidden="1" x14ac:dyDescent="0.3">
      <c r="A882" t="s">
        <v>890</v>
      </c>
      <c r="B882" t="s">
        <v>1016</v>
      </c>
      <c r="C882" t="s">
        <v>1033</v>
      </c>
      <c r="D882">
        <v>32</v>
      </c>
      <c r="E882">
        <v>1</v>
      </c>
      <c r="F882" s="3">
        <v>54773</v>
      </c>
      <c r="G882">
        <v>36</v>
      </c>
      <c r="H882">
        <v>8</v>
      </c>
      <c r="I882">
        <v>7</v>
      </c>
      <c r="J882">
        <v>0</v>
      </c>
      <c r="K882">
        <v>3.9</v>
      </c>
      <c r="L882" s="3">
        <v>7.9</v>
      </c>
      <c r="M882" t="s">
        <v>1035</v>
      </c>
      <c r="N882">
        <v>72.430000000000007</v>
      </c>
    </row>
    <row r="883" spans="1:14" hidden="1" x14ac:dyDescent="0.3">
      <c r="A883" t="s">
        <v>891</v>
      </c>
      <c r="B883" t="s">
        <v>1015</v>
      </c>
      <c r="C883" t="s">
        <v>1029</v>
      </c>
      <c r="D883">
        <v>35</v>
      </c>
      <c r="E883">
        <v>3</v>
      </c>
      <c r="F883" s="3">
        <v>56506</v>
      </c>
      <c r="G883">
        <v>45</v>
      </c>
      <c r="H883">
        <v>13</v>
      </c>
      <c r="I883">
        <v>23</v>
      </c>
      <c r="J883">
        <v>24</v>
      </c>
      <c r="K883">
        <v>2.6</v>
      </c>
      <c r="L883" s="3">
        <v>4.3</v>
      </c>
      <c r="M883" t="s">
        <v>1036</v>
      </c>
      <c r="N883">
        <v>55.27</v>
      </c>
    </row>
    <row r="884" spans="1:14" hidden="1" x14ac:dyDescent="0.3">
      <c r="A884" t="s">
        <v>892</v>
      </c>
      <c r="B884" t="s">
        <v>1016</v>
      </c>
      <c r="C884" t="s">
        <v>1022</v>
      </c>
      <c r="D884">
        <v>22</v>
      </c>
      <c r="E884">
        <v>0</v>
      </c>
      <c r="F884" s="3">
        <v>48454</v>
      </c>
      <c r="G884">
        <v>35</v>
      </c>
      <c r="H884">
        <v>9</v>
      </c>
      <c r="I884">
        <v>3</v>
      </c>
      <c r="J884">
        <v>9</v>
      </c>
      <c r="K884">
        <v>2.9</v>
      </c>
      <c r="L884" s="3">
        <v>4.4000000000000004</v>
      </c>
      <c r="M884" t="s">
        <v>1036</v>
      </c>
      <c r="N884">
        <v>50.1</v>
      </c>
    </row>
    <row r="885" spans="1:14" hidden="1" x14ac:dyDescent="0.3">
      <c r="A885" t="s">
        <v>893</v>
      </c>
      <c r="B885" t="s">
        <v>1016</v>
      </c>
      <c r="C885" t="s">
        <v>1033</v>
      </c>
      <c r="D885">
        <v>24</v>
      </c>
      <c r="E885">
        <v>0</v>
      </c>
      <c r="F885" s="3">
        <v>38049</v>
      </c>
      <c r="G885">
        <v>41</v>
      </c>
      <c r="H885">
        <v>5</v>
      </c>
      <c r="I885">
        <v>5</v>
      </c>
      <c r="J885">
        <v>14</v>
      </c>
      <c r="K885">
        <v>4.7</v>
      </c>
      <c r="L885" s="3">
        <v>8</v>
      </c>
      <c r="M885" t="s">
        <v>1034</v>
      </c>
      <c r="N885">
        <v>70.430000000000007</v>
      </c>
    </row>
    <row r="886" spans="1:14" hidden="1" x14ac:dyDescent="0.3">
      <c r="A886" t="s">
        <v>894</v>
      </c>
      <c r="B886" t="s">
        <v>1015</v>
      </c>
      <c r="C886" t="s">
        <v>1021</v>
      </c>
      <c r="D886">
        <v>37</v>
      </c>
      <c r="E886">
        <v>5</v>
      </c>
      <c r="F886" s="3">
        <v>37844</v>
      </c>
      <c r="G886">
        <v>35</v>
      </c>
      <c r="H886">
        <v>3</v>
      </c>
      <c r="I886">
        <v>8</v>
      </c>
      <c r="J886">
        <v>6</v>
      </c>
      <c r="K886">
        <v>2.1</v>
      </c>
      <c r="L886" s="3">
        <v>7.7</v>
      </c>
      <c r="M886" t="s">
        <v>1035</v>
      </c>
      <c r="N886">
        <v>57.5</v>
      </c>
    </row>
    <row r="887" spans="1:14" x14ac:dyDescent="0.3">
      <c r="A887" t="s">
        <v>895</v>
      </c>
      <c r="B887" t="s">
        <v>1014</v>
      </c>
      <c r="C887" t="s">
        <v>1025</v>
      </c>
      <c r="D887">
        <v>43</v>
      </c>
      <c r="E887">
        <v>6</v>
      </c>
      <c r="F887" s="3">
        <v>44993</v>
      </c>
      <c r="G887">
        <v>49</v>
      </c>
      <c r="H887">
        <v>4</v>
      </c>
      <c r="I887">
        <v>11</v>
      </c>
      <c r="J887">
        <v>23</v>
      </c>
      <c r="K887">
        <v>4</v>
      </c>
      <c r="L887" s="3">
        <v>9.6</v>
      </c>
      <c r="M887" t="s">
        <v>1034</v>
      </c>
      <c r="N887">
        <v>76.27</v>
      </c>
    </row>
    <row r="888" spans="1:14" hidden="1" x14ac:dyDescent="0.3">
      <c r="A888" t="s">
        <v>896</v>
      </c>
      <c r="B888" t="s">
        <v>1017</v>
      </c>
      <c r="C888" t="s">
        <v>1026</v>
      </c>
      <c r="D888">
        <v>26</v>
      </c>
      <c r="E888">
        <v>0</v>
      </c>
      <c r="F888" s="3">
        <v>34465</v>
      </c>
      <c r="G888">
        <v>39</v>
      </c>
      <c r="H888">
        <v>13</v>
      </c>
      <c r="I888">
        <v>6</v>
      </c>
      <c r="J888">
        <v>12</v>
      </c>
      <c r="K888">
        <v>3.6</v>
      </c>
      <c r="L888" s="3">
        <v>7.9</v>
      </c>
      <c r="M888" t="s">
        <v>1035</v>
      </c>
      <c r="N888">
        <v>79.87</v>
      </c>
    </row>
    <row r="889" spans="1:14" hidden="1" x14ac:dyDescent="0.3">
      <c r="A889" t="s">
        <v>897</v>
      </c>
      <c r="B889" t="s">
        <v>1015</v>
      </c>
      <c r="C889" t="s">
        <v>1029</v>
      </c>
      <c r="D889">
        <v>49</v>
      </c>
      <c r="E889">
        <v>7</v>
      </c>
      <c r="F889" s="3">
        <v>85359</v>
      </c>
      <c r="G889">
        <v>36</v>
      </c>
      <c r="H889">
        <v>13</v>
      </c>
      <c r="I889">
        <v>19</v>
      </c>
      <c r="J889">
        <v>37</v>
      </c>
      <c r="K889">
        <v>2.6</v>
      </c>
      <c r="L889" s="3">
        <v>6.7</v>
      </c>
      <c r="M889" t="s">
        <v>1035</v>
      </c>
      <c r="N889">
        <v>69.67</v>
      </c>
    </row>
    <row r="890" spans="1:14" hidden="1" x14ac:dyDescent="0.3">
      <c r="A890" t="s">
        <v>898</v>
      </c>
      <c r="B890" t="s">
        <v>1016</v>
      </c>
      <c r="C890" t="s">
        <v>1023</v>
      </c>
      <c r="D890">
        <v>37</v>
      </c>
      <c r="E890">
        <v>1</v>
      </c>
      <c r="F890" s="3">
        <v>66252</v>
      </c>
      <c r="G890">
        <v>43</v>
      </c>
      <c r="H890">
        <v>14</v>
      </c>
      <c r="I890">
        <v>4</v>
      </c>
      <c r="J890">
        <v>32</v>
      </c>
      <c r="K890">
        <v>4.9000000000000004</v>
      </c>
      <c r="L890" s="3">
        <v>9.1999999999999993</v>
      </c>
      <c r="M890" t="s">
        <v>1034</v>
      </c>
      <c r="N890">
        <v>93.23</v>
      </c>
    </row>
    <row r="891" spans="1:14" hidden="1" x14ac:dyDescent="0.3">
      <c r="A891" t="s">
        <v>899</v>
      </c>
      <c r="B891" t="s">
        <v>1014</v>
      </c>
      <c r="C891" t="s">
        <v>1019</v>
      </c>
      <c r="D891">
        <v>52</v>
      </c>
      <c r="E891">
        <v>2</v>
      </c>
      <c r="F891" s="3">
        <v>35972</v>
      </c>
      <c r="G891">
        <v>51</v>
      </c>
      <c r="H891">
        <v>7</v>
      </c>
      <c r="I891">
        <v>24</v>
      </c>
      <c r="J891">
        <v>32</v>
      </c>
      <c r="K891">
        <v>3.1</v>
      </c>
      <c r="L891" s="3">
        <v>6.6</v>
      </c>
      <c r="M891" t="s">
        <v>1035</v>
      </c>
      <c r="N891">
        <v>60.57</v>
      </c>
    </row>
    <row r="892" spans="1:14" x14ac:dyDescent="0.3">
      <c r="A892" t="s">
        <v>900</v>
      </c>
      <c r="B892" t="s">
        <v>1016</v>
      </c>
      <c r="C892" t="s">
        <v>1022</v>
      </c>
      <c r="D892">
        <v>45</v>
      </c>
      <c r="E892">
        <v>15</v>
      </c>
      <c r="F892" s="3">
        <v>71900</v>
      </c>
      <c r="G892">
        <v>50</v>
      </c>
      <c r="H892">
        <v>8</v>
      </c>
      <c r="I892">
        <v>8</v>
      </c>
      <c r="J892">
        <v>37</v>
      </c>
      <c r="K892">
        <v>3.2</v>
      </c>
      <c r="L892" s="3">
        <v>9.4</v>
      </c>
      <c r="M892" t="s">
        <v>1034</v>
      </c>
      <c r="N892">
        <v>79.33</v>
      </c>
    </row>
    <row r="893" spans="1:14" hidden="1" x14ac:dyDescent="0.3">
      <c r="A893" t="s">
        <v>901</v>
      </c>
      <c r="B893" t="s">
        <v>1014</v>
      </c>
      <c r="C893" t="s">
        <v>1031</v>
      </c>
      <c r="D893">
        <v>35</v>
      </c>
      <c r="E893">
        <v>3</v>
      </c>
      <c r="F893" s="3">
        <v>83647</v>
      </c>
      <c r="G893">
        <v>41</v>
      </c>
      <c r="H893">
        <v>8</v>
      </c>
      <c r="I893">
        <v>7</v>
      </c>
      <c r="J893">
        <v>25</v>
      </c>
      <c r="K893">
        <v>2.7</v>
      </c>
      <c r="L893" s="3">
        <v>6</v>
      </c>
      <c r="M893" t="s">
        <v>1035</v>
      </c>
      <c r="N893">
        <v>57.43</v>
      </c>
    </row>
    <row r="894" spans="1:14" hidden="1" x14ac:dyDescent="0.3">
      <c r="A894" t="s">
        <v>902</v>
      </c>
      <c r="B894" t="s">
        <v>1015</v>
      </c>
      <c r="C894" t="s">
        <v>1029</v>
      </c>
      <c r="D894">
        <v>32</v>
      </c>
      <c r="E894">
        <v>5</v>
      </c>
      <c r="F894" s="3">
        <v>41680</v>
      </c>
      <c r="G894">
        <v>52</v>
      </c>
      <c r="H894">
        <v>2</v>
      </c>
      <c r="I894">
        <v>4</v>
      </c>
      <c r="J894">
        <v>5</v>
      </c>
      <c r="K894">
        <v>2.9</v>
      </c>
      <c r="L894" s="3">
        <v>6.6</v>
      </c>
      <c r="M894" t="s">
        <v>1035</v>
      </c>
      <c r="N894">
        <v>51.63</v>
      </c>
    </row>
    <row r="895" spans="1:14" hidden="1" x14ac:dyDescent="0.3">
      <c r="A895" t="s">
        <v>903</v>
      </c>
      <c r="B895" t="s">
        <v>1015</v>
      </c>
      <c r="C895" t="s">
        <v>1021</v>
      </c>
      <c r="D895">
        <v>24</v>
      </c>
      <c r="E895">
        <v>3</v>
      </c>
      <c r="F895" s="3">
        <v>58571</v>
      </c>
      <c r="G895">
        <v>54</v>
      </c>
      <c r="H895">
        <v>6</v>
      </c>
      <c r="I895">
        <v>13</v>
      </c>
      <c r="J895">
        <v>28</v>
      </c>
      <c r="K895">
        <v>3.4</v>
      </c>
      <c r="L895" s="3">
        <v>5.9</v>
      </c>
      <c r="M895" t="s">
        <v>1036</v>
      </c>
      <c r="N895">
        <v>55.6</v>
      </c>
    </row>
    <row r="896" spans="1:14" hidden="1" x14ac:dyDescent="0.3">
      <c r="A896" t="s">
        <v>904</v>
      </c>
      <c r="B896" t="s">
        <v>1016</v>
      </c>
      <c r="C896" t="s">
        <v>1023</v>
      </c>
      <c r="D896">
        <v>39</v>
      </c>
      <c r="E896">
        <v>12</v>
      </c>
      <c r="F896" s="3">
        <v>26619</v>
      </c>
      <c r="G896">
        <v>40</v>
      </c>
      <c r="H896">
        <v>8</v>
      </c>
      <c r="I896">
        <v>7</v>
      </c>
      <c r="J896">
        <v>16</v>
      </c>
      <c r="K896">
        <v>3.9</v>
      </c>
      <c r="L896" s="3">
        <v>5.5</v>
      </c>
      <c r="M896" t="s">
        <v>1036</v>
      </c>
      <c r="N896">
        <v>58.03</v>
      </c>
    </row>
    <row r="897" spans="1:14" hidden="1" x14ac:dyDescent="0.3">
      <c r="A897" t="s">
        <v>905</v>
      </c>
      <c r="B897" t="s">
        <v>1016</v>
      </c>
      <c r="C897" t="s">
        <v>1022</v>
      </c>
      <c r="D897">
        <v>54</v>
      </c>
      <c r="E897">
        <v>2</v>
      </c>
      <c r="F897" s="3">
        <v>76502</v>
      </c>
      <c r="G897">
        <v>43</v>
      </c>
      <c r="H897">
        <v>15</v>
      </c>
      <c r="I897">
        <v>7</v>
      </c>
      <c r="J897">
        <v>6</v>
      </c>
      <c r="K897">
        <v>2.4</v>
      </c>
      <c r="L897" s="3">
        <v>5.5</v>
      </c>
      <c r="M897" t="s">
        <v>1036</v>
      </c>
      <c r="N897">
        <v>65.2</v>
      </c>
    </row>
    <row r="898" spans="1:14" x14ac:dyDescent="0.3">
      <c r="A898" t="s">
        <v>906</v>
      </c>
      <c r="B898" t="s">
        <v>1018</v>
      </c>
      <c r="C898" t="s">
        <v>1028</v>
      </c>
      <c r="D898">
        <v>43</v>
      </c>
      <c r="E898">
        <v>6</v>
      </c>
      <c r="F898" s="3">
        <v>69243</v>
      </c>
      <c r="G898">
        <v>45</v>
      </c>
      <c r="H898">
        <v>5</v>
      </c>
      <c r="I898">
        <v>9</v>
      </c>
      <c r="J898">
        <v>17</v>
      </c>
      <c r="K898">
        <v>2.6</v>
      </c>
      <c r="L898" s="3">
        <v>7.2</v>
      </c>
      <c r="M898" t="s">
        <v>1035</v>
      </c>
      <c r="N898">
        <v>59.33</v>
      </c>
    </row>
    <row r="899" spans="1:14" hidden="1" x14ac:dyDescent="0.3">
      <c r="A899" t="s">
        <v>907</v>
      </c>
      <c r="B899" t="s">
        <v>1015</v>
      </c>
      <c r="C899" t="s">
        <v>1020</v>
      </c>
      <c r="D899">
        <v>38</v>
      </c>
      <c r="E899">
        <v>0</v>
      </c>
      <c r="F899" s="3">
        <v>75467</v>
      </c>
      <c r="G899">
        <v>44</v>
      </c>
      <c r="H899">
        <v>5</v>
      </c>
      <c r="I899">
        <v>11</v>
      </c>
      <c r="J899">
        <v>25</v>
      </c>
      <c r="K899">
        <v>4.8</v>
      </c>
      <c r="L899" s="3">
        <v>8.8000000000000007</v>
      </c>
      <c r="M899" t="s">
        <v>1034</v>
      </c>
      <c r="N899">
        <v>75.53</v>
      </c>
    </row>
    <row r="900" spans="1:14" hidden="1" x14ac:dyDescent="0.3">
      <c r="A900" t="s">
        <v>908</v>
      </c>
      <c r="B900" t="s">
        <v>1014</v>
      </c>
      <c r="C900" t="s">
        <v>1025</v>
      </c>
      <c r="D900">
        <v>52</v>
      </c>
      <c r="E900">
        <v>4</v>
      </c>
      <c r="F900" s="3">
        <v>81719</v>
      </c>
      <c r="G900">
        <v>47</v>
      </c>
      <c r="H900">
        <v>4</v>
      </c>
      <c r="I900">
        <v>7</v>
      </c>
      <c r="J900">
        <v>13</v>
      </c>
      <c r="K900">
        <v>3.4</v>
      </c>
      <c r="L900" s="3">
        <v>6.6</v>
      </c>
      <c r="M900" t="s">
        <v>1035</v>
      </c>
      <c r="N900">
        <v>56.47</v>
      </c>
    </row>
    <row r="901" spans="1:14" hidden="1" x14ac:dyDescent="0.3">
      <c r="A901" t="s">
        <v>909</v>
      </c>
      <c r="B901" t="s">
        <v>1017</v>
      </c>
      <c r="C901" t="s">
        <v>1030</v>
      </c>
      <c r="D901">
        <v>51</v>
      </c>
      <c r="E901">
        <v>10</v>
      </c>
      <c r="F901" s="3">
        <v>76898</v>
      </c>
      <c r="G901">
        <v>37</v>
      </c>
      <c r="H901">
        <v>6</v>
      </c>
      <c r="I901">
        <v>6</v>
      </c>
      <c r="J901">
        <v>27</v>
      </c>
      <c r="K901">
        <v>4.3</v>
      </c>
      <c r="L901" s="3">
        <v>7.9</v>
      </c>
      <c r="M901" t="s">
        <v>1035</v>
      </c>
      <c r="N901">
        <v>70.3</v>
      </c>
    </row>
    <row r="902" spans="1:14" hidden="1" x14ac:dyDescent="0.3">
      <c r="A902" t="s">
        <v>910</v>
      </c>
      <c r="B902" t="s">
        <v>1017</v>
      </c>
      <c r="C902" t="s">
        <v>1024</v>
      </c>
      <c r="D902">
        <v>50</v>
      </c>
      <c r="E902">
        <v>0</v>
      </c>
      <c r="F902" s="3">
        <v>49556</v>
      </c>
      <c r="G902">
        <v>39</v>
      </c>
      <c r="H902">
        <v>10</v>
      </c>
      <c r="I902">
        <v>4</v>
      </c>
      <c r="J902">
        <v>19</v>
      </c>
      <c r="K902">
        <v>4.8</v>
      </c>
      <c r="L902" s="3">
        <v>3.1</v>
      </c>
      <c r="M902" t="s">
        <v>1036</v>
      </c>
      <c r="N902">
        <v>49.67</v>
      </c>
    </row>
    <row r="903" spans="1:14" x14ac:dyDescent="0.3">
      <c r="A903" t="s">
        <v>911</v>
      </c>
      <c r="B903" t="s">
        <v>1016</v>
      </c>
      <c r="C903" t="s">
        <v>1033</v>
      </c>
      <c r="D903">
        <v>43</v>
      </c>
      <c r="E903">
        <v>7</v>
      </c>
      <c r="F903" s="3">
        <v>52469</v>
      </c>
      <c r="G903">
        <v>48</v>
      </c>
      <c r="H903">
        <v>11</v>
      </c>
      <c r="I903">
        <v>24</v>
      </c>
      <c r="J903">
        <v>25</v>
      </c>
      <c r="K903">
        <v>4.3</v>
      </c>
      <c r="L903" s="3">
        <v>7.8</v>
      </c>
      <c r="M903" t="s">
        <v>1035</v>
      </c>
      <c r="N903">
        <v>78.03</v>
      </c>
    </row>
    <row r="904" spans="1:14" hidden="1" x14ac:dyDescent="0.3">
      <c r="A904" t="s">
        <v>912</v>
      </c>
      <c r="B904" t="s">
        <v>1016</v>
      </c>
      <c r="C904" t="s">
        <v>1022</v>
      </c>
      <c r="D904">
        <v>23</v>
      </c>
      <c r="E904">
        <v>2</v>
      </c>
      <c r="F904" s="3">
        <v>76469</v>
      </c>
      <c r="G904">
        <v>36</v>
      </c>
      <c r="H904">
        <v>15</v>
      </c>
      <c r="I904">
        <v>4</v>
      </c>
      <c r="J904">
        <v>9</v>
      </c>
      <c r="K904">
        <v>4.9000000000000004</v>
      </c>
      <c r="L904" s="3">
        <v>10</v>
      </c>
      <c r="M904" t="s">
        <v>1034</v>
      </c>
      <c r="N904">
        <v>99.7</v>
      </c>
    </row>
    <row r="905" spans="1:14" x14ac:dyDescent="0.3">
      <c r="A905" t="s">
        <v>913</v>
      </c>
      <c r="B905" t="s">
        <v>1015</v>
      </c>
      <c r="C905" t="s">
        <v>1020</v>
      </c>
      <c r="D905">
        <v>47</v>
      </c>
      <c r="E905">
        <v>12</v>
      </c>
      <c r="F905" s="3">
        <v>38382</v>
      </c>
      <c r="G905">
        <v>47</v>
      </c>
      <c r="H905">
        <v>2</v>
      </c>
      <c r="I905">
        <v>17</v>
      </c>
      <c r="J905">
        <v>24</v>
      </c>
      <c r="K905">
        <v>2.6</v>
      </c>
      <c r="L905" s="3">
        <v>3.8</v>
      </c>
      <c r="M905" t="s">
        <v>1036</v>
      </c>
      <c r="N905">
        <v>33.93</v>
      </c>
    </row>
    <row r="906" spans="1:14" hidden="1" x14ac:dyDescent="0.3">
      <c r="A906" t="s">
        <v>914</v>
      </c>
      <c r="B906" t="s">
        <v>1017</v>
      </c>
      <c r="C906" t="s">
        <v>1026</v>
      </c>
      <c r="D906">
        <v>41</v>
      </c>
      <c r="E906">
        <v>2</v>
      </c>
      <c r="F906" s="3">
        <v>36234</v>
      </c>
      <c r="G906">
        <v>38</v>
      </c>
      <c r="H906">
        <v>11</v>
      </c>
      <c r="I906">
        <v>17</v>
      </c>
      <c r="J906">
        <v>11</v>
      </c>
      <c r="K906">
        <v>2.1</v>
      </c>
      <c r="L906" s="3">
        <v>7.8</v>
      </c>
      <c r="M906" t="s">
        <v>1035</v>
      </c>
      <c r="N906">
        <v>71.430000000000007</v>
      </c>
    </row>
    <row r="907" spans="1:14" hidden="1" x14ac:dyDescent="0.3">
      <c r="A907" t="s">
        <v>915</v>
      </c>
      <c r="B907" t="s">
        <v>1014</v>
      </c>
      <c r="C907" t="s">
        <v>1031</v>
      </c>
      <c r="D907">
        <v>33</v>
      </c>
      <c r="E907">
        <v>3</v>
      </c>
      <c r="F907" s="3">
        <v>29554</v>
      </c>
      <c r="G907">
        <v>47</v>
      </c>
      <c r="H907">
        <v>5</v>
      </c>
      <c r="I907">
        <v>6</v>
      </c>
      <c r="J907">
        <v>14</v>
      </c>
      <c r="K907">
        <v>2.9</v>
      </c>
      <c r="L907" s="3">
        <v>6.7</v>
      </c>
      <c r="M907" t="s">
        <v>1035</v>
      </c>
      <c r="N907">
        <v>57.23</v>
      </c>
    </row>
    <row r="908" spans="1:14" hidden="1" x14ac:dyDescent="0.3">
      <c r="A908" t="s">
        <v>916</v>
      </c>
      <c r="B908" t="s">
        <v>1014</v>
      </c>
      <c r="C908" t="s">
        <v>1025</v>
      </c>
      <c r="D908">
        <v>45</v>
      </c>
      <c r="E908">
        <v>0</v>
      </c>
      <c r="F908" s="3">
        <v>36260</v>
      </c>
      <c r="G908">
        <v>45</v>
      </c>
      <c r="H908">
        <v>14</v>
      </c>
      <c r="I908">
        <v>13</v>
      </c>
      <c r="J908">
        <v>25</v>
      </c>
      <c r="K908">
        <v>2.5</v>
      </c>
      <c r="L908" s="3">
        <v>3.8</v>
      </c>
      <c r="M908" t="s">
        <v>1036</v>
      </c>
      <c r="N908">
        <v>53.63</v>
      </c>
    </row>
    <row r="909" spans="1:14" hidden="1" x14ac:dyDescent="0.3">
      <c r="A909" t="s">
        <v>917</v>
      </c>
      <c r="B909" t="s">
        <v>1017</v>
      </c>
      <c r="C909" t="s">
        <v>1026</v>
      </c>
      <c r="D909">
        <v>52</v>
      </c>
      <c r="E909">
        <v>2</v>
      </c>
      <c r="F909" s="3">
        <v>50493</v>
      </c>
      <c r="G909">
        <v>41</v>
      </c>
      <c r="H909">
        <v>3</v>
      </c>
      <c r="I909">
        <v>6</v>
      </c>
      <c r="J909">
        <v>19</v>
      </c>
      <c r="K909">
        <v>3.3</v>
      </c>
      <c r="L909" s="3">
        <v>8</v>
      </c>
      <c r="M909" t="s">
        <v>1034</v>
      </c>
      <c r="N909">
        <v>62.9</v>
      </c>
    </row>
    <row r="910" spans="1:14" x14ac:dyDescent="0.3">
      <c r="A910" t="s">
        <v>918</v>
      </c>
      <c r="B910" t="s">
        <v>1018</v>
      </c>
      <c r="C910" t="s">
        <v>1032</v>
      </c>
      <c r="D910">
        <v>41</v>
      </c>
      <c r="E910">
        <v>6</v>
      </c>
      <c r="F910" s="3">
        <v>57930</v>
      </c>
      <c r="G910">
        <v>49</v>
      </c>
      <c r="H910">
        <v>5</v>
      </c>
      <c r="I910">
        <v>6</v>
      </c>
      <c r="J910">
        <v>0</v>
      </c>
      <c r="K910">
        <v>5</v>
      </c>
      <c r="L910" s="3">
        <v>6.1</v>
      </c>
      <c r="M910" t="s">
        <v>1035</v>
      </c>
      <c r="N910">
        <v>59.93</v>
      </c>
    </row>
    <row r="911" spans="1:14" x14ac:dyDescent="0.3">
      <c r="A911" t="s">
        <v>919</v>
      </c>
      <c r="B911" t="s">
        <v>1015</v>
      </c>
      <c r="C911" t="s">
        <v>1029</v>
      </c>
      <c r="D911">
        <v>37</v>
      </c>
      <c r="E911">
        <v>10</v>
      </c>
      <c r="F911" s="3">
        <v>84657</v>
      </c>
      <c r="G911">
        <v>53</v>
      </c>
      <c r="H911">
        <v>15</v>
      </c>
      <c r="I911">
        <v>15</v>
      </c>
      <c r="J911">
        <v>29</v>
      </c>
      <c r="K911">
        <v>3.4</v>
      </c>
      <c r="L911" s="3">
        <v>3.3</v>
      </c>
      <c r="M911" t="s">
        <v>1036</v>
      </c>
      <c r="N911">
        <v>55</v>
      </c>
    </row>
    <row r="912" spans="1:14" x14ac:dyDescent="0.3">
      <c r="A912" t="s">
        <v>920</v>
      </c>
      <c r="B912" t="s">
        <v>1016</v>
      </c>
      <c r="C912" t="s">
        <v>1022</v>
      </c>
      <c r="D912">
        <v>51</v>
      </c>
      <c r="E912">
        <v>11</v>
      </c>
      <c r="F912" s="3">
        <v>70895</v>
      </c>
      <c r="G912">
        <v>44</v>
      </c>
      <c r="H912">
        <v>7</v>
      </c>
      <c r="I912">
        <v>19</v>
      </c>
      <c r="J912">
        <v>11</v>
      </c>
      <c r="K912">
        <v>3.2</v>
      </c>
      <c r="L912" s="3">
        <v>4.3</v>
      </c>
      <c r="M912" t="s">
        <v>1036</v>
      </c>
      <c r="N912">
        <v>47.07</v>
      </c>
    </row>
    <row r="913" spans="1:14" hidden="1" x14ac:dyDescent="0.3">
      <c r="A913" t="s">
        <v>921</v>
      </c>
      <c r="B913" t="s">
        <v>1017</v>
      </c>
      <c r="C913" t="s">
        <v>1030</v>
      </c>
      <c r="D913">
        <v>51</v>
      </c>
      <c r="E913">
        <v>12</v>
      </c>
      <c r="F913" s="3">
        <v>84692</v>
      </c>
      <c r="G913">
        <v>40</v>
      </c>
      <c r="H913">
        <v>12</v>
      </c>
      <c r="I913">
        <v>18</v>
      </c>
      <c r="J913">
        <v>6</v>
      </c>
      <c r="K913">
        <v>3.2</v>
      </c>
      <c r="L913" s="3">
        <v>9.6</v>
      </c>
      <c r="M913" t="s">
        <v>1034</v>
      </c>
      <c r="N913">
        <v>87.2</v>
      </c>
    </row>
    <row r="914" spans="1:14" hidden="1" x14ac:dyDescent="0.3">
      <c r="A914" t="s">
        <v>922</v>
      </c>
      <c r="B914" t="s">
        <v>1018</v>
      </c>
      <c r="C914" t="s">
        <v>1027</v>
      </c>
      <c r="D914">
        <v>39</v>
      </c>
      <c r="E914">
        <v>9</v>
      </c>
      <c r="F914" s="3">
        <v>68690</v>
      </c>
      <c r="G914">
        <v>37</v>
      </c>
      <c r="H914">
        <v>12</v>
      </c>
      <c r="I914">
        <v>23</v>
      </c>
      <c r="J914">
        <v>13</v>
      </c>
      <c r="K914">
        <v>4.7</v>
      </c>
      <c r="L914" s="3">
        <v>5.9</v>
      </c>
      <c r="M914" t="s">
        <v>1036</v>
      </c>
      <c r="N914">
        <v>69.5</v>
      </c>
    </row>
    <row r="915" spans="1:14" hidden="1" x14ac:dyDescent="0.3">
      <c r="A915" t="s">
        <v>923</v>
      </c>
      <c r="B915" t="s">
        <v>1014</v>
      </c>
      <c r="C915" t="s">
        <v>1019</v>
      </c>
      <c r="D915">
        <v>45</v>
      </c>
      <c r="E915">
        <v>2</v>
      </c>
      <c r="F915" s="3">
        <v>74505</v>
      </c>
      <c r="G915">
        <v>38</v>
      </c>
      <c r="H915">
        <v>9</v>
      </c>
      <c r="I915">
        <v>24</v>
      </c>
      <c r="J915">
        <v>20</v>
      </c>
      <c r="K915">
        <v>3.2</v>
      </c>
      <c r="L915" s="3">
        <v>4.2</v>
      </c>
      <c r="M915" t="s">
        <v>1036</v>
      </c>
      <c r="N915">
        <v>49.8</v>
      </c>
    </row>
    <row r="916" spans="1:14" hidden="1" x14ac:dyDescent="0.3">
      <c r="A916" t="s">
        <v>924</v>
      </c>
      <c r="B916" t="s">
        <v>1015</v>
      </c>
      <c r="C916" t="s">
        <v>1029</v>
      </c>
      <c r="D916">
        <v>24</v>
      </c>
      <c r="E916">
        <v>3</v>
      </c>
      <c r="F916" s="3">
        <v>26750</v>
      </c>
      <c r="G916">
        <v>37</v>
      </c>
      <c r="H916">
        <v>11</v>
      </c>
      <c r="I916">
        <v>22</v>
      </c>
      <c r="J916">
        <v>29</v>
      </c>
      <c r="K916">
        <v>3.1</v>
      </c>
      <c r="L916" s="3">
        <v>8.1999999999999993</v>
      </c>
      <c r="M916" t="s">
        <v>1034</v>
      </c>
      <c r="N916">
        <v>76.83</v>
      </c>
    </row>
    <row r="917" spans="1:14" hidden="1" x14ac:dyDescent="0.3">
      <c r="A917" t="s">
        <v>925</v>
      </c>
      <c r="B917" t="s">
        <v>1017</v>
      </c>
      <c r="C917" t="s">
        <v>1026</v>
      </c>
      <c r="D917">
        <v>24</v>
      </c>
      <c r="E917">
        <v>0</v>
      </c>
      <c r="F917" s="3">
        <v>41423</v>
      </c>
      <c r="G917">
        <v>38</v>
      </c>
      <c r="H917">
        <v>12</v>
      </c>
      <c r="I917">
        <v>4</v>
      </c>
      <c r="J917">
        <v>20</v>
      </c>
      <c r="K917">
        <v>4</v>
      </c>
      <c r="L917" s="3">
        <v>6.2</v>
      </c>
      <c r="M917" t="s">
        <v>1035</v>
      </c>
      <c r="N917">
        <v>69.2</v>
      </c>
    </row>
    <row r="918" spans="1:14" hidden="1" x14ac:dyDescent="0.3">
      <c r="A918" t="s">
        <v>926</v>
      </c>
      <c r="B918" t="s">
        <v>1014</v>
      </c>
      <c r="C918" t="s">
        <v>1019</v>
      </c>
      <c r="D918">
        <v>27</v>
      </c>
      <c r="E918">
        <v>4</v>
      </c>
      <c r="F918" s="3">
        <v>68058</v>
      </c>
      <c r="G918">
        <v>42</v>
      </c>
      <c r="H918">
        <v>12</v>
      </c>
      <c r="I918">
        <v>14</v>
      </c>
      <c r="J918">
        <v>8</v>
      </c>
      <c r="K918">
        <v>3.4</v>
      </c>
      <c r="L918" s="3">
        <v>5</v>
      </c>
      <c r="M918" t="s">
        <v>1036</v>
      </c>
      <c r="N918">
        <v>60.2</v>
      </c>
    </row>
    <row r="919" spans="1:14" hidden="1" x14ac:dyDescent="0.3">
      <c r="A919" t="s">
        <v>927</v>
      </c>
      <c r="B919" t="s">
        <v>1018</v>
      </c>
      <c r="C919" t="s">
        <v>1027</v>
      </c>
      <c r="D919">
        <v>23</v>
      </c>
      <c r="E919">
        <v>2</v>
      </c>
      <c r="F919" s="3">
        <v>31587</v>
      </c>
      <c r="G919">
        <v>40</v>
      </c>
      <c r="H919">
        <v>5</v>
      </c>
      <c r="I919">
        <v>3</v>
      </c>
      <c r="J919">
        <v>34</v>
      </c>
      <c r="K919">
        <v>4.2</v>
      </c>
      <c r="L919" s="3">
        <v>4.2</v>
      </c>
      <c r="M919" t="s">
        <v>1036</v>
      </c>
      <c r="N919">
        <v>46.13</v>
      </c>
    </row>
    <row r="920" spans="1:14" hidden="1" x14ac:dyDescent="0.3">
      <c r="A920" t="s">
        <v>928</v>
      </c>
      <c r="B920" t="s">
        <v>1014</v>
      </c>
      <c r="C920" t="s">
        <v>1031</v>
      </c>
      <c r="D920">
        <v>39</v>
      </c>
      <c r="E920">
        <v>4</v>
      </c>
      <c r="F920" s="3">
        <v>53878</v>
      </c>
      <c r="G920">
        <v>46</v>
      </c>
      <c r="H920">
        <v>3</v>
      </c>
      <c r="I920">
        <v>6</v>
      </c>
      <c r="J920">
        <v>2</v>
      </c>
      <c r="K920">
        <v>4.7</v>
      </c>
      <c r="L920" s="3">
        <v>6.7</v>
      </c>
      <c r="M920" t="s">
        <v>1035</v>
      </c>
      <c r="N920">
        <v>59.3</v>
      </c>
    </row>
    <row r="921" spans="1:14" hidden="1" x14ac:dyDescent="0.3">
      <c r="A921" t="s">
        <v>929</v>
      </c>
      <c r="B921" t="s">
        <v>1014</v>
      </c>
      <c r="C921" t="s">
        <v>1019</v>
      </c>
      <c r="D921">
        <v>55</v>
      </c>
      <c r="E921">
        <v>3</v>
      </c>
      <c r="F921" s="3">
        <v>50599</v>
      </c>
      <c r="G921">
        <v>44</v>
      </c>
      <c r="H921">
        <v>8</v>
      </c>
      <c r="I921">
        <v>1</v>
      </c>
      <c r="J921">
        <v>38</v>
      </c>
      <c r="K921">
        <v>2</v>
      </c>
      <c r="L921" s="3">
        <v>8.4</v>
      </c>
      <c r="M921" t="s">
        <v>1034</v>
      </c>
      <c r="N921">
        <v>69.73</v>
      </c>
    </row>
    <row r="922" spans="1:14" hidden="1" x14ac:dyDescent="0.3">
      <c r="A922" t="s">
        <v>930</v>
      </c>
      <c r="B922" t="s">
        <v>1018</v>
      </c>
      <c r="C922" t="s">
        <v>1028</v>
      </c>
      <c r="D922">
        <v>45</v>
      </c>
      <c r="E922">
        <v>7</v>
      </c>
      <c r="F922" s="3">
        <v>38106</v>
      </c>
      <c r="G922">
        <v>37</v>
      </c>
      <c r="H922">
        <v>1</v>
      </c>
      <c r="I922">
        <v>13</v>
      </c>
      <c r="J922">
        <v>1</v>
      </c>
      <c r="K922">
        <v>5</v>
      </c>
      <c r="L922" s="3">
        <v>5.4</v>
      </c>
      <c r="M922" t="s">
        <v>1036</v>
      </c>
      <c r="N922">
        <v>49.07</v>
      </c>
    </row>
    <row r="923" spans="1:14" hidden="1" x14ac:dyDescent="0.3">
      <c r="A923" t="s">
        <v>931</v>
      </c>
      <c r="B923" t="s">
        <v>1014</v>
      </c>
      <c r="C923" t="s">
        <v>1031</v>
      </c>
      <c r="D923">
        <v>36</v>
      </c>
      <c r="E923">
        <v>3</v>
      </c>
      <c r="F923" s="3">
        <v>77227</v>
      </c>
      <c r="G923">
        <v>40</v>
      </c>
      <c r="H923">
        <v>12</v>
      </c>
      <c r="I923">
        <v>5</v>
      </c>
      <c r="J923">
        <v>2</v>
      </c>
      <c r="K923">
        <v>3.2</v>
      </c>
      <c r="L923" s="3">
        <v>3.8</v>
      </c>
      <c r="M923" t="s">
        <v>1036</v>
      </c>
      <c r="N923">
        <v>52.4</v>
      </c>
    </row>
    <row r="924" spans="1:14" x14ac:dyDescent="0.3">
      <c r="A924" t="s">
        <v>932</v>
      </c>
      <c r="B924" t="s">
        <v>1016</v>
      </c>
      <c r="C924" t="s">
        <v>1033</v>
      </c>
      <c r="D924">
        <v>34</v>
      </c>
      <c r="E924">
        <v>9</v>
      </c>
      <c r="F924" s="3">
        <v>38573</v>
      </c>
      <c r="G924">
        <v>52</v>
      </c>
      <c r="H924">
        <v>7</v>
      </c>
      <c r="I924">
        <v>13</v>
      </c>
      <c r="J924">
        <v>7</v>
      </c>
      <c r="K924">
        <v>2.7</v>
      </c>
      <c r="L924" s="3">
        <v>3.7</v>
      </c>
      <c r="M924" t="s">
        <v>1036</v>
      </c>
      <c r="N924">
        <v>41.97</v>
      </c>
    </row>
    <row r="925" spans="1:14" hidden="1" x14ac:dyDescent="0.3">
      <c r="A925" t="s">
        <v>933</v>
      </c>
      <c r="B925" t="s">
        <v>1018</v>
      </c>
      <c r="C925" t="s">
        <v>1032</v>
      </c>
      <c r="D925">
        <v>22</v>
      </c>
      <c r="E925">
        <v>1</v>
      </c>
      <c r="F925" s="3">
        <v>67860</v>
      </c>
      <c r="G925">
        <v>45</v>
      </c>
      <c r="H925">
        <v>1</v>
      </c>
      <c r="I925">
        <v>12</v>
      </c>
      <c r="J925">
        <v>13</v>
      </c>
      <c r="K925">
        <v>3.4</v>
      </c>
      <c r="L925" s="3">
        <v>3.5</v>
      </c>
      <c r="M925" t="s">
        <v>1036</v>
      </c>
      <c r="N925">
        <v>32.869999999999997</v>
      </c>
    </row>
    <row r="926" spans="1:14" hidden="1" x14ac:dyDescent="0.3">
      <c r="A926" t="s">
        <v>934</v>
      </c>
      <c r="B926" t="s">
        <v>1015</v>
      </c>
      <c r="C926" t="s">
        <v>1020</v>
      </c>
      <c r="D926">
        <v>45</v>
      </c>
      <c r="E926">
        <v>1</v>
      </c>
      <c r="F926" s="3">
        <v>29412</v>
      </c>
      <c r="G926">
        <v>41</v>
      </c>
      <c r="H926">
        <v>7</v>
      </c>
      <c r="I926">
        <v>9</v>
      </c>
      <c r="J926">
        <v>38</v>
      </c>
      <c r="K926">
        <v>3.5</v>
      </c>
      <c r="L926" s="3">
        <v>9.9</v>
      </c>
      <c r="M926" t="s">
        <v>1034</v>
      </c>
      <c r="N926">
        <v>81.569999999999993</v>
      </c>
    </row>
    <row r="927" spans="1:14" hidden="1" x14ac:dyDescent="0.3">
      <c r="A927" t="s">
        <v>935</v>
      </c>
      <c r="B927" t="s">
        <v>1015</v>
      </c>
      <c r="C927" t="s">
        <v>1020</v>
      </c>
      <c r="D927">
        <v>32</v>
      </c>
      <c r="E927">
        <v>4</v>
      </c>
      <c r="F927" s="3">
        <v>87851</v>
      </c>
      <c r="G927">
        <v>38</v>
      </c>
      <c r="H927">
        <v>10</v>
      </c>
      <c r="I927">
        <v>10</v>
      </c>
      <c r="J927">
        <v>40</v>
      </c>
      <c r="K927">
        <v>4.0999999999999996</v>
      </c>
      <c r="L927" s="3">
        <v>7.7</v>
      </c>
      <c r="M927" t="s">
        <v>1035</v>
      </c>
      <c r="N927">
        <v>75.17</v>
      </c>
    </row>
    <row r="928" spans="1:14" hidden="1" x14ac:dyDescent="0.3">
      <c r="A928" t="s">
        <v>936</v>
      </c>
      <c r="B928" t="s">
        <v>1018</v>
      </c>
      <c r="C928" t="s">
        <v>1027</v>
      </c>
      <c r="D928">
        <v>43</v>
      </c>
      <c r="E928">
        <v>5</v>
      </c>
      <c r="F928" s="3">
        <v>66638</v>
      </c>
      <c r="G928">
        <v>45</v>
      </c>
      <c r="H928">
        <v>14</v>
      </c>
      <c r="I928">
        <v>21</v>
      </c>
      <c r="J928">
        <v>30</v>
      </c>
      <c r="K928">
        <v>2.2000000000000002</v>
      </c>
      <c r="L928" s="3">
        <v>3.1</v>
      </c>
      <c r="M928" t="s">
        <v>1036</v>
      </c>
      <c r="N928">
        <v>48.53</v>
      </c>
    </row>
    <row r="929" spans="1:14" x14ac:dyDescent="0.3">
      <c r="A929" t="s">
        <v>937</v>
      </c>
      <c r="B929" t="s">
        <v>1017</v>
      </c>
      <c r="C929" t="s">
        <v>1030</v>
      </c>
      <c r="D929">
        <v>46</v>
      </c>
      <c r="E929">
        <v>7</v>
      </c>
      <c r="F929" s="3">
        <v>57992</v>
      </c>
      <c r="G929">
        <v>53</v>
      </c>
      <c r="H929">
        <v>12</v>
      </c>
      <c r="I929">
        <v>0</v>
      </c>
      <c r="J929">
        <v>14</v>
      </c>
      <c r="K929">
        <v>2.1</v>
      </c>
      <c r="L929" s="3">
        <v>8.3000000000000007</v>
      </c>
      <c r="M929" t="s">
        <v>1034</v>
      </c>
      <c r="N929">
        <v>76.099999999999994</v>
      </c>
    </row>
    <row r="930" spans="1:14" x14ac:dyDescent="0.3">
      <c r="A930" t="s">
        <v>938</v>
      </c>
      <c r="B930" t="s">
        <v>1016</v>
      </c>
      <c r="C930" t="s">
        <v>1023</v>
      </c>
      <c r="D930">
        <v>37</v>
      </c>
      <c r="E930">
        <v>13</v>
      </c>
      <c r="F930" s="3">
        <v>74626</v>
      </c>
      <c r="G930">
        <v>42</v>
      </c>
      <c r="H930">
        <v>10</v>
      </c>
      <c r="I930">
        <v>2</v>
      </c>
      <c r="J930">
        <v>3</v>
      </c>
      <c r="K930">
        <v>2.4</v>
      </c>
      <c r="L930" s="3">
        <v>6.5</v>
      </c>
      <c r="M930" t="s">
        <v>1035</v>
      </c>
      <c r="N930">
        <v>62.87</v>
      </c>
    </row>
    <row r="931" spans="1:14" hidden="1" x14ac:dyDescent="0.3">
      <c r="A931" t="s">
        <v>939</v>
      </c>
      <c r="B931" t="s">
        <v>1018</v>
      </c>
      <c r="C931" t="s">
        <v>1032</v>
      </c>
      <c r="D931">
        <v>46</v>
      </c>
      <c r="E931">
        <v>6</v>
      </c>
      <c r="F931" s="3">
        <v>67076</v>
      </c>
      <c r="G931">
        <v>36</v>
      </c>
      <c r="H931">
        <v>4</v>
      </c>
      <c r="I931">
        <v>23</v>
      </c>
      <c r="J931">
        <v>38</v>
      </c>
      <c r="K931">
        <v>5</v>
      </c>
      <c r="L931" s="3">
        <v>6.1</v>
      </c>
      <c r="M931" t="s">
        <v>1035</v>
      </c>
      <c r="N931">
        <v>58.27</v>
      </c>
    </row>
    <row r="932" spans="1:14" hidden="1" x14ac:dyDescent="0.3">
      <c r="A932" t="s">
        <v>940</v>
      </c>
      <c r="B932" t="s">
        <v>1018</v>
      </c>
      <c r="C932" t="s">
        <v>1028</v>
      </c>
      <c r="D932">
        <v>39</v>
      </c>
      <c r="E932">
        <v>10</v>
      </c>
      <c r="F932" s="3">
        <v>67179</v>
      </c>
      <c r="G932">
        <v>36</v>
      </c>
      <c r="H932">
        <v>9</v>
      </c>
      <c r="I932">
        <v>25</v>
      </c>
      <c r="J932">
        <v>26</v>
      </c>
      <c r="K932">
        <v>3.9</v>
      </c>
      <c r="L932" s="3">
        <v>5</v>
      </c>
      <c r="M932" t="s">
        <v>1036</v>
      </c>
      <c r="N932">
        <v>56.7</v>
      </c>
    </row>
    <row r="933" spans="1:14" x14ac:dyDescent="0.3">
      <c r="A933" t="s">
        <v>941</v>
      </c>
      <c r="B933" t="s">
        <v>1018</v>
      </c>
      <c r="C933" t="s">
        <v>1028</v>
      </c>
      <c r="D933">
        <v>43</v>
      </c>
      <c r="E933">
        <v>10</v>
      </c>
      <c r="F933" s="3">
        <v>40876</v>
      </c>
      <c r="G933">
        <v>41</v>
      </c>
      <c r="H933">
        <v>9</v>
      </c>
      <c r="I933">
        <v>1</v>
      </c>
      <c r="J933">
        <v>15</v>
      </c>
      <c r="K933">
        <v>4.4000000000000004</v>
      </c>
      <c r="L933" s="3">
        <v>7.9</v>
      </c>
      <c r="M933" t="s">
        <v>1035</v>
      </c>
      <c r="N933">
        <v>75.599999999999994</v>
      </c>
    </row>
    <row r="934" spans="1:14" x14ac:dyDescent="0.3">
      <c r="A934" t="s">
        <v>942</v>
      </c>
      <c r="B934" t="s">
        <v>1015</v>
      </c>
      <c r="C934" t="s">
        <v>1029</v>
      </c>
      <c r="D934">
        <v>46</v>
      </c>
      <c r="E934">
        <v>10</v>
      </c>
      <c r="F934" s="3">
        <v>37028</v>
      </c>
      <c r="G934">
        <v>49</v>
      </c>
      <c r="H934">
        <v>11</v>
      </c>
      <c r="I934">
        <v>0</v>
      </c>
      <c r="J934">
        <v>4</v>
      </c>
      <c r="K934">
        <v>4.5999999999999996</v>
      </c>
      <c r="L934" s="3">
        <v>3.5</v>
      </c>
      <c r="M934" t="s">
        <v>1036</v>
      </c>
      <c r="N934">
        <v>53.13</v>
      </c>
    </row>
    <row r="935" spans="1:14" hidden="1" x14ac:dyDescent="0.3">
      <c r="A935" t="s">
        <v>943</v>
      </c>
      <c r="B935" t="s">
        <v>1014</v>
      </c>
      <c r="C935" t="s">
        <v>1019</v>
      </c>
      <c r="D935">
        <v>31</v>
      </c>
      <c r="E935">
        <v>3</v>
      </c>
      <c r="F935" s="3">
        <v>33228</v>
      </c>
      <c r="G935">
        <v>37</v>
      </c>
      <c r="H935">
        <v>3</v>
      </c>
      <c r="I935">
        <v>18</v>
      </c>
      <c r="J935">
        <v>35</v>
      </c>
      <c r="K935">
        <v>4.5</v>
      </c>
      <c r="L935" s="3">
        <v>9.5</v>
      </c>
      <c r="M935" t="s">
        <v>1034</v>
      </c>
      <c r="N935">
        <v>75.5</v>
      </c>
    </row>
    <row r="936" spans="1:14" hidden="1" x14ac:dyDescent="0.3">
      <c r="A936" t="s">
        <v>944</v>
      </c>
      <c r="B936" t="s">
        <v>1015</v>
      </c>
      <c r="C936" t="s">
        <v>1029</v>
      </c>
      <c r="D936">
        <v>27</v>
      </c>
      <c r="E936">
        <v>3</v>
      </c>
      <c r="F936" s="3">
        <v>72512</v>
      </c>
      <c r="G936">
        <v>49</v>
      </c>
      <c r="H936">
        <v>5</v>
      </c>
      <c r="I936">
        <v>5</v>
      </c>
      <c r="J936">
        <v>12</v>
      </c>
      <c r="K936">
        <v>2.7</v>
      </c>
      <c r="L936" s="3">
        <v>4.2</v>
      </c>
      <c r="M936" t="s">
        <v>1036</v>
      </c>
      <c r="N936">
        <v>41.63</v>
      </c>
    </row>
    <row r="937" spans="1:14" x14ac:dyDescent="0.3">
      <c r="A937" t="s">
        <v>945</v>
      </c>
      <c r="B937" t="s">
        <v>1016</v>
      </c>
      <c r="C937" t="s">
        <v>1033</v>
      </c>
      <c r="D937">
        <v>40</v>
      </c>
      <c r="E937">
        <v>14</v>
      </c>
      <c r="F937" s="3">
        <v>88420</v>
      </c>
      <c r="G937">
        <v>55</v>
      </c>
      <c r="H937">
        <v>4</v>
      </c>
      <c r="I937">
        <v>8</v>
      </c>
      <c r="J937">
        <v>30</v>
      </c>
      <c r="K937">
        <v>2.2000000000000002</v>
      </c>
      <c r="L937" s="3">
        <v>9.8000000000000007</v>
      </c>
      <c r="M937" t="s">
        <v>1034</v>
      </c>
      <c r="N937">
        <v>72.069999999999993</v>
      </c>
    </row>
    <row r="938" spans="1:14" x14ac:dyDescent="0.3">
      <c r="A938" t="s">
        <v>946</v>
      </c>
      <c r="B938" t="s">
        <v>1017</v>
      </c>
      <c r="C938" t="s">
        <v>1026</v>
      </c>
      <c r="D938">
        <v>32</v>
      </c>
      <c r="E938">
        <v>7</v>
      </c>
      <c r="F938" s="3">
        <v>53926</v>
      </c>
      <c r="G938">
        <v>48</v>
      </c>
      <c r="H938">
        <v>9</v>
      </c>
      <c r="I938">
        <v>19</v>
      </c>
      <c r="J938">
        <v>27</v>
      </c>
      <c r="K938">
        <v>4.3</v>
      </c>
      <c r="L938" s="3">
        <v>8.6999999999999993</v>
      </c>
      <c r="M938" t="s">
        <v>1034</v>
      </c>
      <c r="N938">
        <v>80.099999999999994</v>
      </c>
    </row>
    <row r="939" spans="1:14" hidden="1" x14ac:dyDescent="0.3">
      <c r="A939" t="s">
        <v>947</v>
      </c>
      <c r="B939" t="s">
        <v>1014</v>
      </c>
      <c r="C939" t="s">
        <v>1019</v>
      </c>
      <c r="D939">
        <v>46</v>
      </c>
      <c r="E939">
        <v>13</v>
      </c>
      <c r="F939" s="3">
        <v>80970</v>
      </c>
      <c r="G939">
        <v>37</v>
      </c>
      <c r="H939">
        <v>13</v>
      </c>
      <c r="I939">
        <v>9</v>
      </c>
      <c r="J939">
        <v>38</v>
      </c>
      <c r="K939">
        <v>3.6</v>
      </c>
      <c r="L939" s="3">
        <v>6.9</v>
      </c>
      <c r="M939" t="s">
        <v>1035</v>
      </c>
      <c r="N939">
        <v>73.87</v>
      </c>
    </row>
    <row r="940" spans="1:14" x14ac:dyDescent="0.3">
      <c r="A940" t="s">
        <v>948</v>
      </c>
      <c r="B940" t="s">
        <v>1016</v>
      </c>
      <c r="C940" t="s">
        <v>1023</v>
      </c>
      <c r="D940">
        <v>46</v>
      </c>
      <c r="E940">
        <v>14</v>
      </c>
      <c r="F940" s="3">
        <v>45044</v>
      </c>
      <c r="G940">
        <v>49</v>
      </c>
      <c r="H940">
        <v>5</v>
      </c>
      <c r="I940">
        <v>12</v>
      </c>
      <c r="J940">
        <v>35</v>
      </c>
      <c r="K940">
        <v>3.8</v>
      </c>
      <c r="L940" s="3">
        <v>3.5</v>
      </c>
      <c r="M940" t="s">
        <v>1036</v>
      </c>
      <c r="N940">
        <v>40.729999999999997</v>
      </c>
    </row>
    <row r="941" spans="1:14" hidden="1" x14ac:dyDescent="0.3">
      <c r="A941" t="s">
        <v>949</v>
      </c>
      <c r="B941" t="s">
        <v>1017</v>
      </c>
      <c r="C941" t="s">
        <v>1026</v>
      </c>
      <c r="D941">
        <v>34</v>
      </c>
      <c r="E941">
        <v>2</v>
      </c>
      <c r="F941" s="3">
        <v>85039</v>
      </c>
      <c r="G941">
        <v>41</v>
      </c>
      <c r="H941">
        <v>1</v>
      </c>
      <c r="I941">
        <v>0</v>
      </c>
      <c r="J941">
        <v>32</v>
      </c>
      <c r="K941">
        <v>4.2</v>
      </c>
      <c r="L941" s="3">
        <v>5.6</v>
      </c>
      <c r="M941" t="s">
        <v>1036</v>
      </c>
      <c r="N941">
        <v>47.87</v>
      </c>
    </row>
    <row r="942" spans="1:14" x14ac:dyDescent="0.3">
      <c r="A942" t="s">
        <v>950</v>
      </c>
      <c r="B942" t="s">
        <v>1017</v>
      </c>
      <c r="C942" t="s">
        <v>1030</v>
      </c>
      <c r="D942">
        <v>47</v>
      </c>
      <c r="E942">
        <v>11</v>
      </c>
      <c r="F942" s="3">
        <v>50168</v>
      </c>
      <c r="G942">
        <v>50</v>
      </c>
      <c r="H942">
        <v>5</v>
      </c>
      <c r="I942">
        <v>20</v>
      </c>
      <c r="J942">
        <v>37</v>
      </c>
      <c r="K942">
        <v>2.2000000000000002</v>
      </c>
      <c r="L942" s="3">
        <v>9.1999999999999993</v>
      </c>
      <c r="M942" t="s">
        <v>1034</v>
      </c>
      <c r="N942">
        <v>70.13</v>
      </c>
    </row>
    <row r="943" spans="1:14" hidden="1" x14ac:dyDescent="0.3">
      <c r="A943" t="s">
        <v>951</v>
      </c>
      <c r="B943" t="s">
        <v>1017</v>
      </c>
      <c r="C943" t="s">
        <v>1024</v>
      </c>
      <c r="D943">
        <v>32</v>
      </c>
      <c r="E943">
        <v>3</v>
      </c>
      <c r="F943" s="3">
        <v>75000</v>
      </c>
      <c r="G943">
        <v>48</v>
      </c>
      <c r="H943">
        <v>5</v>
      </c>
      <c r="I943">
        <v>24</v>
      </c>
      <c r="J943">
        <v>22</v>
      </c>
      <c r="K943">
        <v>3.5</v>
      </c>
      <c r="L943" s="3">
        <v>6.4</v>
      </c>
      <c r="M943" t="s">
        <v>1035</v>
      </c>
      <c r="N943">
        <v>57.23</v>
      </c>
    </row>
    <row r="944" spans="1:14" hidden="1" x14ac:dyDescent="0.3">
      <c r="A944" t="s">
        <v>952</v>
      </c>
      <c r="B944" t="s">
        <v>1016</v>
      </c>
      <c r="C944" t="s">
        <v>1033</v>
      </c>
      <c r="D944">
        <v>25</v>
      </c>
      <c r="E944">
        <v>3</v>
      </c>
      <c r="F944" s="3">
        <v>85720</v>
      </c>
      <c r="G944">
        <v>48</v>
      </c>
      <c r="H944">
        <v>12</v>
      </c>
      <c r="I944">
        <v>7</v>
      </c>
      <c r="J944">
        <v>15</v>
      </c>
      <c r="K944">
        <v>3.4</v>
      </c>
      <c r="L944" s="3">
        <v>9.5</v>
      </c>
      <c r="M944" t="s">
        <v>1034</v>
      </c>
      <c r="N944">
        <v>87.2</v>
      </c>
    </row>
    <row r="945" spans="1:14" hidden="1" x14ac:dyDescent="0.3">
      <c r="A945" t="s">
        <v>953</v>
      </c>
      <c r="B945" t="s">
        <v>1014</v>
      </c>
      <c r="C945" t="s">
        <v>1025</v>
      </c>
      <c r="D945">
        <v>31</v>
      </c>
      <c r="E945">
        <v>4</v>
      </c>
      <c r="F945" s="3">
        <v>64677</v>
      </c>
      <c r="G945">
        <v>49</v>
      </c>
      <c r="H945">
        <v>11</v>
      </c>
      <c r="I945">
        <v>4</v>
      </c>
      <c r="J945">
        <v>16</v>
      </c>
      <c r="K945">
        <v>2.7</v>
      </c>
      <c r="L945" s="3">
        <v>7</v>
      </c>
      <c r="M945" t="s">
        <v>1035</v>
      </c>
      <c r="N945">
        <v>68.430000000000007</v>
      </c>
    </row>
    <row r="946" spans="1:14" hidden="1" x14ac:dyDescent="0.3">
      <c r="A946" t="s">
        <v>954</v>
      </c>
      <c r="B946" t="s">
        <v>1018</v>
      </c>
      <c r="C946" t="s">
        <v>1028</v>
      </c>
      <c r="D946">
        <v>22</v>
      </c>
      <c r="E946">
        <v>0</v>
      </c>
      <c r="F946" s="3">
        <v>75526</v>
      </c>
      <c r="G946">
        <v>37</v>
      </c>
      <c r="H946">
        <v>11</v>
      </c>
      <c r="I946">
        <v>22</v>
      </c>
      <c r="J946">
        <v>24</v>
      </c>
      <c r="K946">
        <v>3.2</v>
      </c>
      <c r="L946" s="3">
        <v>7.1</v>
      </c>
      <c r="M946" t="s">
        <v>1035</v>
      </c>
      <c r="N946">
        <v>70.53</v>
      </c>
    </row>
    <row r="947" spans="1:14" x14ac:dyDescent="0.3">
      <c r="A947" t="s">
        <v>955</v>
      </c>
      <c r="B947" t="s">
        <v>1015</v>
      </c>
      <c r="C947" t="s">
        <v>1021</v>
      </c>
      <c r="D947">
        <v>34</v>
      </c>
      <c r="E947">
        <v>6</v>
      </c>
      <c r="F947" s="3">
        <v>35867</v>
      </c>
      <c r="G947">
        <v>48</v>
      </c>
      <c r="H947">
        <v>5</v>
      </c>
      <c r="I947">
        <v>22</v>
      </c>
      <c r="J947">
        <v>19</v>
      </c>
      <c r="K947">
        <v>3.5</v>
      </c>
      <c r="L947" s="3">
        <v>6.7</v>
      </c>
      <c r="M947" t="s">
        <v>1035</v>
      </c>
      <c r="N947">
        <v>59.03</v>
      </c>
    </row>
    <row r="948" spans="1:14" hidden="1" x14ac:dyDescent="0.3">
      <c r="A948" t="s">
        <v>956</v>
      </c>
      <c r="B948" t="s">
        <v>1015</v>
      </c>
      <c r="C948" t="s">
        <v>1029</v>
      </c>
      <c r="D948">
        <v>41</v>
      </c>
      <c r="E948">
        <v>13</v>
      </c>
      <c r="F948" s="3">
        <v>74313</v>
      </c>
      <c r="G948">
        <v>37</v>
      </c>
      <c r="H948">
        <v>2</v>
      </c>
      <c r="I948">
        <v>20</v>
      </c>
      <c r="J948">
        <v>36</v>
      </c>
      <c r="K948">
        <v>4.3</v>
      </c>
      <c r="L948" s="3">
        <v>5.4</v>
      </c>
      <c r="M948" t="s">
        <v>1036</v>
      </c>
      <c r="N948">
        <v>48.63</v>
      </c>
    </row>
    <row r="949" spans="1:14" x14ac:dyDescent="0.3">
      <c r="A949" t="s">
        <v>957</v>
      </c>
      <c r="B949" t="s">
        <v>1016</v>
      </c>
      <c r="C949" t="s">
        <v>1023</v>
      </c>
      <c r="D949">
        <v>35</v>
      </c>
      <c r="E949">
        <v>14</v>
      </c>
      <c r="F949" s="3">
        <v>74039</v>
      </c>
      <c r="G949">
        <v>47</v>
      </c>
      <c r="H949">
        <v>12</v>
      </c>
      <c r="I949">
        <v>9</v>
      </c>
      <c r="J949">
        <v>0</v>
      </c>
      <c r="K949">
        <v>5</v>
      </c>
      <c r="L949" s="3">
        <v>8.6999999999999993</v>
      </c>
      <c r="M949" t="s">
        <v>1034</v>
      </c>
      <c r="N949">
        <v>87.2</v>
      </c>
    </row>
    <row r="950" spans="1:14" hidden="1" x14ac:dyDescent="0.3">
      <c r="A950" t="s">
        <v>958</v>
      </c>
      <c r="B950" t="s">
        <v>1014</v>
      </c>
      <c r="C950" t="s">
        <v>1031</v>
      </c>
      <c r="D950">
        <v>26</v>
      </c>
      <c r="E950">
        <v>5</v>
      </c>
      <c r="F950" s="3">
        <v>52383</v>
      </c>
      <c r="G950">
        <v>51</v>
      </c>
      <c r="H950">
        <v>7</v>
      </c>
      <c r="I950">
        <v>20</v>
      </c>
      <c r="J950">
        <v>18</v>
      </c>
      <c r="K950">
        <v>4.2</v>
      </c>
      <c r="L950" s="3">
        <v>4.2</v>
      </c>
      <c r="M950" t="s">
        <v>1036</v>
      </c>
      <c r="N950">
        <v>49.47</v>
      </c>
    </row>
    <row r="951" spans="1:14" hidden="1" x14ac:dyDescent="0.3">
      <c r="A951" t="s">
        <v>959</v>
      </c>
      <c r="B951" t="s">
        <v>1018</v>
      </c>
      <c r="C951" t="s">
        <v>1028</v>
      </c>
      <c r="D951">
        <v>30</v>
      </c>
      <c r="E951">
        <v>3</v>
      </c>
      <c r="F951" s="3">
        <v>56881</v>
      </c>
      <c r="G951">
        <v>40</v>
      </c>
      <c r="H951">
        <v>9</v>
      </c>
      <c r="I951">
        <v>3</v>
      </c>
      <c r="J951">
        <v>28</v>
      </c>
      <c r="K951">
        <v>3.7</v>
      </c>
      <c r="L951" s="3">
        <v>4.5</v>
      </c>
      <c r="M951" t="s">
        <v>1036</v>
      </c>
      <c r="N951">
        <v>53.1</v>
      </c>
    </row>
    <row r="952" spans="1:14" x14ac:dyDescent="0.3">
      <c r="A952" t="s">
        <v>960</v>
      </c>
      <c r="B952" t="s">
        <v>1014</v>
      </c>
      <c r="C952" t="s">
        <v>1025</v>
      </c>
      <c r="D952">
        <v>33</v>
      </c>
      <c r="E952">
        <v>12</v>
      </c>
      <c r="F952" s="3">
        <v>74752</v>
      </c>
      <c r="G952">
        <v>41</v>
      </c>
      <c r="H952">
        <v>5</v>
      </c>
      <c r="I952">
        <v>13</v>
      </c>
      <c r="J952">
        <v>28</v>
      </c>
      <c r="K952">
        <v>3.9</v>
      </c>
      <c r="L952" s="3">
        <v>7.4</v>
      </c>
      <c r="M952" t="s">
        <v>1035</v>
      </c>
      <c r="N952">
        <v>64.430000000000007</v>
      </c>
    </row>
    <row r="953" spans="1:14" hidden="1" x14ac:dyDescent="0.3">
      <c r="A953" t="s">
        <v>961</v>
      </c>
      <c r="B953" t="s">
        <v>1018</v>
      </c>
      <c r="C953" t="s">
        <v>1032</v>
      </c>
      <c r="D953">
        <v>27</v>
      </c>
      <c r="E953">
        <v>2</v>
      </c>
      <c r="F953" s="3">
        <v>30616</v>
      </c>
      <c r="G953">
        <v>47</v>
      </c>
      <c r="H953">
        <v>2</v>
      </c>
      <c r="I953">
        <v>8</v>
      </c>
      <c r="J953">
        <v>4</v>
      </c>
      <c r="K953">
        <v>3</v>
      </c>
      <c r="L953" s="3">
        <v>7.1</v>
      </c>
      <c r="M953" t="s">
        <v>1035</v>
      </c>
      <c r="N953">
        <v>54.93</v>
      </c>
    </row>
    <row r="954" spans="1:14" hidden="1" x14ac:dyDescent="0.3">
      <c r="A954" t="s">
        <v>962</v>
      </c>
      <c r="B954" t="s">
        <v>1017</v>
      </c>
      <c r="C954" t="s">
        <v>1030</v>
      </c>
      <c r="D954">
        <v>28</v>
      </c>
      <c r="E954">
        <v>0</v>
      </c>
      <c r="F954" s="3">
        <v>29001</v>
      </c>
      <c r="G954">
        <v>43</v>
      </c>
      <c r="H954">
        <v>13</v>
      </c>
      <c r="I954">
        <v>0</v>
      </c>
      <c r="J954">
        <v>37</v>
      </c>
      <c r="K954">
        <v>4.4000000000000004</v>
      </c>
      <c r="L954" s="3">
        <v>3.3</v>
      </c>
      <c r="M954" t="s">
        <v>1036</v>
      </c>
      <c r="N954">
        <v>54.67</v>
      </c>
    </row>
    <row r="955" spans="1:14" hidden="1" x14ac:dyDescent="0.3">
      <c r="A955" t="s">
        <v>963</v>
      </c>
      <c r="B955" t="s">
        <v>1015</v>
      </c>
      <c r="C955" t="s">
        <v>1021</v>
      </c>
      <c r="D955">
        <v>22</v>
      </c>
      <c r="E955">
        <v>1</v>
      </c>
      <c r="F955" s="3">
        <v>64517</v>
      </c>
      <c r="G955">
        <v>51</v>
      </c>
      <c r="H955">
        <v>13</v>
      </c>
      <c r="I955">
        <v>8</v>
      </c>
      <c r="J955">
        <v>31</v>
      </c>
      <c r="K955">
        <v>3.4</v>
      </c>
      <c r="L955" s="3">
        <v>5.4</v>
      </c>
      <c r="M955" t="s">
        <v>1036</v>
      </c>
      <c r="N955">
        <v>64.27</v>
      </c>
    </row>
    <row r="956" spans="1:14" x14ac:dyDescent="0.3">
      <c r="A956" t="s">
        <v>964</v>
      </c>
      <c r="B956" t="s">
        <v>1016</v>
      </c>
      <c r="C956" t="s">
        <v>1033</v>
      </c>
      <c r="D956">
        <v>45</v>
      </c>
      <c r="E956">
        <v>10</v>
      </c>
      <c r="F956" s="3">
        <v>45658</v>
      </c>
      <c r="G956">
        <v>42</v>
      </c>
      <c r="H956">
        <v>6</v>
      </c>
      <c r="I956">
        <v>21</v>
      </c>
      <c r="J956">
        <v>25</v>
      </c>
      <c r="K956">
        <v>3.1</v>
      </c>
      <c r="L956" s="3">
        <v>3.4</v>
      </c>
      <c r="M956" t="s">
        <v>1036</v>
      </c>
      <c r="N956">
        <v>39.700000000000003</v>
      </c>
    </row>
    <row r="957" spans="1:14" hidden="1" x14ac:dyDescent="0.3">
      <c r="A957" t="s">
        <v>965</v>
      </c>
      <c r="B957" t="s">
        <v>1016</v>
      </c>
      <c r="C957" t="s">
        <v>1033</v>
      </c>
      <c r="D957">
        <v>28</v>
      </c>
      <c r="E957">
        <v>0</v>
      </c>
      <c r="F957" s="3">
        <v>54944</v>
      </c>
      <c r="G957">
        <v>47</v>
      </c>
      <c r="H957">
        <v>12</v>
      </c>
      <c r="I957">
        <v>4</v>
      </c>
      <c r="J957">
        <v>1</v>
      </c>
      <c r="K957">
        <v>3.8</v>
      </c>
      <c r="L957" s="3">
        <v>9.1</v>
      </c>
      <c r="M957" t="s">
        <v>1034</v>
      </c>
      <c r="N957">
        <v>86</v>
      </c>
    </row>
    <row r="958" spans="1:14" x14ac:dyDescent="0.3">
      <c r="A958" t="s">
        <v>966</v>
      </c>
      <c r="B958" t="s">
        <v>1018</v>
      </c>
      <c r="C958" t="s">
        <v>1032</v>
      </c>
      <c r="D958">
        <v>45</v>
      </c>
      <c r="E958">
        <v>14</v>
      </c>
      <c r="F958" s="3">
        <v>65524</v>
      </c>
      <c r="G958">
        <v>50</v>
      </c>
      <c r="H958">
        <v>9</v>
      </c>
      <c r="I958">
        <v>13</v>
      </c>
      <c r="J958">
        <v>12</v>
      </c>
      <c r="K958">
        <v>2</v>
      </c>
      <c r="L958" s="3">
        <v>7.5</v>
      </c>
      <c r="M958" t="s">
        <v>1035</v>
      </c>
      <c r="N958">
        <v>66</v>
      </c>
    </row>
    <row r="959" spans="1:14" hidden="1" x14ac:dyDescent="0.3">
      <c r="A959" t="s">
        <v>967</v>
      </c>
      <c r="B959" t="s">
        <v>1014</v>
      </c>
      <c r="C959" t="s">
        <v>1025</v>
      </c>
      <c r="D959">
        <v>45</v>
      </c>
      <c r="E959">
        <v>1</v>
      </c>
      <c r="F959" s="3">
        <v>88543</v>
      </c>
      <c r="G959">
        <v>45</v>
      </c>
      <c r="H959">
        <v>11</v>
      </c>
      <c r="I959">
        <v>14</v>
      </c>
      <c r="J959">
        <v>14</v>
      </c>
      <c r="K959">
        <v>3.8</v>
      </c>
      <c r="L959" s="3">
        <v>5.8</v>
      </c>
      <c r="M959" t="s">
        <v>1036</v>
      </c>
      <c r="N959">
        <v>64.53</v>
      </c>
    </row>
    <row r="960" spans="1:14" x14ac:dyDescent="0.3">
      <c r="A960" t="s">
        <v>968</v>
      </c>
      <c r="B960" t="s">
        <v>1014</v>
      </c>
      <c r="C960" t="s">
        <v>1019</v>
      </c>
      <c r="D960">
        <v>44</v>
      </c>
      <c r="E960">
        <v>13</v>
      </c>
      <c r="F960" s="3">
        <v>86543</v>
      </c>
      <c r="G960">
        <v>50</v>
      </c>
      <c r="H960">
        <v>11</v>
      </c>
      <c r="I960">
        <v>22</v>
      </c>
      <c r="J960">
        <v>6</v>
      </c>
      <c r="K960">
        <v>4.2</v>
      </c>
      <c r="L960" s="3">
        <v>5.0999999999999996</v>
      </c>
      <c r="M960" t="s">
        <v>1036</v>
      </c>
      <c r="N960">
        <v>61.53</v>
      </c>
    </row>
    <row r="961" spans="1:14" hidden="1" x14ac:dyDescent="0.3">
      <c r="A961" t="s">
        <v>969</v>
      </c>
      <c r="B961" t="s">
        <v>1018</v>
      </c>
      <c r="C961" t="s">
        <v>1032</v>
      </c>
      <c r="D961">
        <v>55</v>
      </c>
      <c r="E961">
        <v>1</v>
      </c>
      <c r="F961" s="3">
        <v>33379</v>
      </c>
      <c r="G961">
        <v>50</v>
      </c>
      <c r="H961">
        <v>13</v>
      </c>
      <c r="I961">
        <v>2</v>
      </c>
      <c r="J961">
        <v>19</v>
      </c>
      <c r="K961">
        <v>4.5</v>
      </c>
      <c r="L961" s="3">
        <v>10</v>
      </c>
      <c r="M961" t="s">
        <v>1034</v>
      </c>
      <c r="N961">
        <v>95.17</v>
      </c>
    </row>
    <row r="962" spans="1:14" hidden="1" x14ac:dyDescent="0.3">
      <c r="A962" t="s">
        <v>970</v>
      </c>
      <c r="B962" t="s">
        <v>1018</v>
      </c>
      <c r="C962" t="s">
        <v>1027</v>
      </c>
      <c r="D962">
        <v>50</v>
      </c>
      <c r="E962">
        <v>3</v>
      </c>
      <c r="F962" s="3">
        <v>56599</v>
      </c>
      <c r="G962">
        <v>52</v>
      </c>
      <c r="H962">
        <v>4</v>
      </c>
      <c r="I962">
        <v>7</v>
      </c>
      <c r="J962">
        <v>13</v>
      </c>
      <c r="K962">
        <v>2.5</v>
      </c>
      <c r="L962" s="3">
        <v>9.6</v>
      </c>
      <c r="M962" t="s">
        <v>1034</v>
      </c>
      <c r="N962">
        <v>71.77</v>
      </c>
    </row>
    <row r="963" spans="1:14" hidden="1" x14ac:dyDescent="0.3">
      <c r="A963" t="s">
        <v>971</v>
      </c>
      <c r="B963" t="s">
        <v>1014</v>
      </c>
      <c r="C963" t="s">
        <v>1031</v>
      </c>
      <c r="D963">
        <v>28</v>
      </c>
      <c r="E963">
        <v>6</v>
      </c>
      <c r="F963" s="3">
        <v>71908</v>
      </c>
      <c r="G963">
        <v>35</v>
      </c>
      <c r="H963">
        <v>3</v>
      </c>
      <c r="I963">
        <v>10</v>
      </c>
      <c r="J963">
        <v>24</v>
      </c>
      <c r="K963">
        <v>4.3</v>
      </c>
      <c r="L963" s="3">
        <v>4.5</v>
      </c>
      <c r="M963" t="s">
        <v>1036</v>
      </c>
      <c r="N963">
        <v>44.9</v>
      </c>
    </row>
    <row r="964" spans="1:14" hidden="1" x14ac:dyDescent="0.3">
      <c r="A964" t="s">
        <v>972</v>
      </c>
      <c r="B964" t="s">
        <v>1017</v>
      </c>
      <c r="C964" t="s">
        <v>1030</v>
      </c>
      <c r="D964">
        <v>29</v>
      </c>
      <c r="E964">
        <v>2</v>
      </c>
      <c r="F964" s="3">
        <v>85472</v>
      </c>
      <c r="G964">
        <v>52</v>
      </c>
      <c r="H964">
        <v>11</v>
      </c>
      <c r="I964">
        <v>23</v>
      </c>
      <c r="J964">
        <v>31</v>
      </c>
      <c r="K964">
        <v>2.2999999999999998</v>
      </c>
      <c r="L964" s="3">
        <v>7.8</v>
      </c>
      <c r="M964" t="s">
        <v>1035</v>
      </c>
      <c r="N964">
        <v>72.03</v>
      </c>
    </row>
    <row r="965" spans="1:14" hidden="1" x14ac:dyDescent="0.3">
      <c r="A965" t="s">
        <v>973</v>
      </c>
      <c r="B965" t="s">
        <v>1015</v>
      </c>
      <c r="C965" t="s">
        <v>1021</v>
      </c>
      <c r="D965">
        <v>26</v>
      </c>
      <c r="E965">
        <v>5</v>
      </c>
      <c r="F965" s="3">
        <v>47493</v>
      </c>
      <c r="G965">
        <v>47</v>
      </c>
      <c r="H965">
        <v>15</v>
      </c>
      <c r="I965">
        <v>22</v>
      </c>
      <c r="J965">
        <v>24</v>
      </c>
      <c r="K965">
        <v>4</v>
      </c>
      <c r="L965" s="3">
        <v>8.5</v>
      </c>
      <c r="M965" t="s">
        <v>1034</v>
      </c>
      <c r="N965">
        <v>88</v>
      </c>
    </row>
    <row r="966" spans="1:14" x14ac:dyDescent="0.3">
      <c r="A966" t="s">
        <v>974</v>
      </c>
      <c r="B966" t="s">
        <v>1018</v>
      </c>
      <c r="C966" t="s">
        <v>1028</v>
      </c>
      <c r="D966">
        <v>36</v>
      </c>
      <c r="E966">
        <v>8</v>
      </c>
      <c r="F966" s="3">
        <v>32581</v>
      </c>
      <c r="G966">
        <v>44</v>
      </c>
      <c r="H966">
        <v>2</v>
      </c>
      <c r="I966">
        <v>3</v>
      </c>
      <c r="J966">
        <v>5</v>
      </c>
      <c r="K966">
        <v>3</v>
      </c>
      <c r="L966" s="3">
        <v>7.1</v>
      </c>
      <c r="M966" t="s">
        <v>1035</v>
      </c>
      <c r="N966">
        <v>54.93</v>
      </c>
    </row>
    <row r="967" spans="1:14" hidden="1" x14ac:dyDescent="0.3">
      <c r="A967" t="s">
        <v>975</v>
      </c>
      <c r="B967" t="s">
        <v>1014</v>
      </c>
      <c r="C967" t="s">
        <v>1019</v>
      </c>
      <c r="D967">
        <v>45</v>
      </c>
      <c r="E967">
        <v>4</v>
      </c>
      <c r="F967" s="3">
        <v>80923</v>
      </c>
      <c r="G967">
        <v>45</v>
      </c>
      <c r="H967">
        <v>7</v>
      </c>
      <c r="I967">
        <v>18</v>
      </c>
      <c r="J967">
        <v>0</v>
      </c>
      <c r="K967">
        <v>2.9</v>
      </c>
      <c r="L967" s="3">
        <v>7.1</v>
      </c>
      <c r="M967" t="s">
        <v>1035</v>
      </c>
      <c r="N967">
        <v>62.97</v>
      </c>
    </row>
    <row r="968" spans="1:14" x14ac:dyDescent="0.3">
      <c r="A968" t="s">
        <v>976</v>
      </c>
      <c r="B968" t="s">
        <v>1017</v>
      </c>
      <c r="C968" t="s">
        <v>1030</v>
      </c>
      <c r="D968">
        <v>49</v>
      </c>
      <c r="E968">
        <v>10</v>
      </c>
      <c r="F968" s="3">
        <v>75546</v>
      </c>
      <c r="G968">
        <v>46</v>
      </c>
      <c r="H968">
        <v>13</v>
      </c>
      <c r="I968">
        <v>21</v>
      </c>
      <c r="J968">
        <v>8</v>
      </c>
      <c r="K968">
        <v>3.6</v>
      </c>
      <c r="L968" s="3">
        <v>7.2</v>
      </c>
      <c r="M968" t="s">
        <v>1035</v>
      </c>
      <c r="N968">
        <v>75.67</v>
      </c>
    </row>
    <row r="969" spans="1:14" hidden="1" x14ac:dyDescent="0.3">
      <c r="A969" t="s">
        <v>977</v>
      </c>
      <c r="B969" t="s">
        <v>1014</v>
      </c>
      <c r="C969" t="s">
        <v>1031</v>
      </c>
      <c r="D969">
        <v>47</v>
      </c>
      <c r="E969">
        <v>0</v>
      </c>
      <c r="F969" s="3">
        <v>60277</v>
      </c>
      <c r="G969">
        <v>49</v>
      </c>
      <c r="H969">
        <v>6</v>
      </c>
      <c r="I969">
        <v>4</v>
      </c>
      <c r="J969">
        <v>18</v>
      </c>
      <c r="K969">
        <v>4.5</v>
      </c>
      <c r="L969" s="3">
        <v>6.5</v>
      </c>
      <c r="M969" t="s">
        <v>1035</v>
      </c>
      <c r="N969">
        <v>62.5</v>
      </c>
    </row>
    <row r="970" spans="1:14" hidden="1" x14ac:dyDescent="0.3">
      <c r="A970" t="s">
        <v>978</v>
      </c>
      <c r="B970" t="s">
        <v>1018</v>
      </c>
      <c r="C970" t="s">
        <v>1032</v>
      </c>
      <c r="D970">
        <v>40</v>
      </c>
      <c r="E970">
        <v>4</v>
      </c>
      <c r="F970" s="3">
        <v>73959</v>
      </c>
      <c r="G970">
        <v>36</v>
      </c>
      <c r="H970">
        <v>10</v>
      </c>
      <c r="I970">
        <v>10</v>
      </c>
      <c r="J970">
        <v>19</v>
      </c>
      <c r="K970">
        <v>3.5</v>
      </c>
      <c r="L970" s="3">
        <v>7.8</v>
      </c>
      <c r="M970" t="s">
        <v>1035</v>
      </c>
      <c r="N970">
        <v>73.97</v>
      </c>
    </row>
    <row r="971" spans="1:14" x14ac:dyDescent="0.3">
      <c r="A971" t="s">
        <v>979</v>
      </c>
      <c r="B971" t="s">
        <v>1015</v>
      </c>
      <c r="C971" t="s">
        <v>1020</v>
      </c>
      <c r="D971">
        <v>52</v>
      </c>
      <c r="E971">
        <v>6</v>
      </c>
      <c r="F971" s="3">
        <v>57441</v>
      </c>
      <c r="G971">
        <v>44</v>
      </c>
      <c r="H971">
        <v>12</v>
      </c>
      <c r="I971">
        <v>12</v>
      </c>
      <c r="J971">
        <v>3</v>
      </c>
      <c r="K971">
        <v>4.9000000000000004</v>
      </c>
      <c r="L971" s="3">
        <v>5.3</v>
      </c>
      <c r="M971" t="s">
        <v>1036</v>
      </c>
      <c r="N971">
        <v>66.5</v>
      </c>
    </row>
    <row r="972" spans="1:14" hidden="1" x14ac:dyDescent="0.3">
      <c r="A972" t="s">
        <v>980</v>
      </c>
      <c r="B972" t="s">
        <v>1018</v>
      </c>
      <c r="C972" t="s">
        <v>1028</v>
      </c>
      <c r="D972">
        <v>36</v>
      </c>
      <c r="E972">
        <v>1</v>
      </c>
      <c r="F972" s="3">
        <v>85500</v>
      </c>
      <c r="G972">
        <v>40</v>
      </c>
      <c r="H972">
        <v>14</v>
      </c>
      <c r="I972">
        <v>15</v>
      </c>
      <c r="J972">
        <v>25</v>
      </c>
      <c r="K972">
        <v>2.9</v>
      </c>
      <c r="L972" s="3">
        <v>8.6999999999999993</v>
      </c>
      <c r="M972" t="s">
        <v>1034</v>
      </c>
      <c r="N972">
        <v>84.23</v>
      </c>
    </row>
    <row r="973" spans="1:14" x14ac:dyDescent="0.3">
      <c r="A973" t="s">
        <v>981</v>
      </c>
      <c r="B973" t="s">
        <v>1014</v>
      </c>
      <c r="C973" t="s">
        <v>1031</v>
      </c>
      <c r="D973">
        <v>47</v>
      </c>
      <c r="E973">
        <v>10</v>
      </c>
      <c r="F973" s="3">
        <v>52684</v>
      </c>
      <c r="G973">
        <v>50</v>
      </c>
      <c r="H973">
        <v>6</v>
      </c>
      <c r="I973">
        <v>24</v>
      </c>
      <c r="J973">
        <v>25</v>
      </c>
      <c r="K973">
        <v>3.2</v>
      </c>
      <c r="L973" s="3">
        <v>6.7</v>
      </c>
      <c r="M973" t="s">
        <v>1035</v>
      </c>
      <c r="N973">
        <v>59.8</v>
      </c>
    </row>
    <row r="974" spans="1:14" x14ac:dyDescent="0.3">
      <c r="A974" t="s">
        <v>982</v>
      </c>
      <c r="B974" t="s">
        <v>1016</v>
      </c>
      <c r="C974" t="s">
        <v>1023</v>
      </c>
      <c r="D974">
        <v>34</v>
      </c>
      <c r="E974">
        <v>11</v>
      </c>
      <c r="F974" s="3">
        <v>81115</v>
      </c>
      <c r="G974">
        <v>52</v>
      </c>
      <c r="H974">
        <v>7</v>
      </c>
      <c r="I974">
        <v>3</v>
      </c>
      <c r="J974">
        <v>8</v>
      </c>
      <c r="K974">
        <v>3</v>
      </c>
      <c r="L974" s="3">
        <v>8.5</v>
      </c>
      <c r="M974" t="s">
        <v>1034</v>
      </c>
      <c r="N974">
        <v>71.67</v>
      </c>
    </row>
    <row r="975" spans="1:14" hidden="1" x14ac:dyDescent="0.3">
      <c r="A975" t="s">
        <v>983</v>
      </c>
      <c r="B975" t="s">
        <v>1016</v>
      </c>
      <c r="C975" t="s">
        <v>1023</v>
      </c>
      <c r="D975">
        <v>51</v>
      </c>
      <c r="E975">
        <v>5</v>
      </c>
      <c r="F975" s="3">
        <v>62824</v>
      </c>
      <c r="G975">
        <v>39</v>
      </c>
      <c r="H975">
        <v>8</v>
      </c>
      <c r="I975">
        <v>22</v>
      </c>
      <c r="J975">
        <v>30</v>
      </c>
      <c r="K975">
        <v>2.9</v>
      </c>
      <c r="L975" s="3">
        <v>4</v>
      </c>
      <c r="M975" t="s">
        <v>1036</v>
      </c>
      <c r="N975">
        <v>46.03</v>
      </c>
    </row>
    <row r="976" spans="1:14" hidden="1" x14ac:dyDescent="0.3">
      <c r="A976" t="s">
        <v>984</v>
      </c>
      <c r="B976" t="s">
        <v>1018</v>
      </c>
      <c r="C976" t="s">
        <v>1027</v>
      </c>
      <c r="D976">
        <v>22</v>
      </c>
      <c r="E976">
        <v>1</v>
      </c>
      <c r="F976" s="3">
        <v>72576</v>
      </c>
      <c r="G976">
        <v>53</v>
      </c>
      <c r="H976">
        <v>2</v>
      </c>
      <c r="I976">
        <v>21</v>
      </c>
      <c r="J976">
        <v>9</v>
      </c>
      <c r="K976">
        <v>3.1</v>
      </c>
      <c r="L976" s="3">
        <v>9.9</v>
      </c>
      <c r="M976" t="s">
        <v>1034</v>
      </c>
      <c r="N976">
        <v>72.03</v>
      </c>
    </row>
    <row r="977" spans="1:14" hidden="1" x14ac:dyDescent="0.3">
      <c r="A977" t="s">
        <v>985</v>
      </c>
      <c r="B977" t="s">
        <v>1018</v>
      </c>
      <c r="C977" t="s">
        <v>1027</v>
      </c>
      <c r="D977">
        <v>25</v>
      </c>
      <c r="E977">
        <v>0</v>
      </c>
      <c r="F977" s="3">
        <v>48303</v>
      </c>
      <c r="G977">
        <v>50</v>
      </c>
      <c r="H977">
        <v>3</v>
      </c>
      <c r="I977">
        <v>1</v>
      </c>
      <c r="J977">
        <v>7</v>
      </c>
      <c r="K977">
        <v>4.9000000000000004</v>
      </c>
      <c r="L977" s="3">
        <v>7.6</v>
      </c>
      <c r="M977" t="s">
        <v>1035</v>
      </c>
      <c r="N977">
        <v>65.3</v>
      </c>
    </row>
    <row r="978" spans="1:14" x14ac:dyDescent="0.3">
      <c r="A978" t="s">
        <v>986</v>
      </c>
      <c r="B978" t="s">
        <v>1017</v>
      </c>
      <c r="C978" t="s">
        <v>1024</v>
      </c>
      <c r="D978">
        <v>31</v>
      </c>
      <c r="E978">
        <v>10</v>
      </c>
      <c r="F978" s="3">
        <v>72353</v>
      </c>
      <c r="G978">
        <v>47</v>
      </c>
      <c r="H978">
        <v>4</v>
      </c>
      <c r="I978">
        <v>1</v>
      </c>
      <c r="J978">
        <v>7</v>
      </c>
      <c r="K978">
        <v>2.7</v>
      </c>
      <c r="L978" s="3">
        <v>6.4</v>
      </c>
      <c r="M978" t="s">
        <v>1035</v>
      </c>
      <c r="N978">
        <v>53.17</v>
      </c>
    </row>
    <row r="979" spans="1:14" x14ac:dyDescent="0.3">
      <c r="A979" t="s">
        <v>987</v>
      </c>
      <c r="B979" t="s">
        <v>1015</v>
      </c>
      <c r="C979" t="s">
        <v>1020</v>
      </c>
      <c r="D979">
        <v>33</v>
      </c>
      <c r="E979">
        <v>10</v>
      </c>
      <c r="F979" s="3">
        <v>73837</v>
      </c>
      <c r="G979">
        <v>47</v>
      </c>
      <c r="H979">
        <v>13</v>
      </c>
      <c r="I979">
        <v>22</v>
      </c>
      <c r="J979">
        <v>5</v>
      </c>
      <c r="K979">
        <v>4.3</v>
      </c>
      <c r="L979" s="3">
        <v>9.1</v>
      </c>
      <c r="M979" t="s">
        <v>1034</v>
      </c>
      <c r="N979">
        <v>89.17</v>
      </c>
    </row>
    <row r="980" spans="1:14" hidden="1" x14ac:dyDescent="0.3">
      <c r="A980" t="s">
        <v>988</v>
      </c>
      <c r="B980" t="s">
        <v>1017</v>
      </c>
      <c r="C980" t="s">
        <v>1024</v>
      </c>
      <c r="D980">
        <v>39</v>
      </c>
      <c r="E980">
        <v>14</v>
      </c>
      <c r="F980" s="3">
        <v>49072</v>
      </c>
      <c r="G980">
        <v>35</v>
      </c>
      <c r="H980">
        <v>2</v>
      </c>
      <c r="I980">
        <v>3</v>
      </c>
      <c r="J980">
        <v>5</v>
      </c>
      <c r="K980">
        <v>2.4</v>
      </c>
      <c r="L980" s="3">
        <v>7.5</v>
      </c>
      <c r="M980" t="s">
        <v>1035</v>
      </c>
      <c r="N980">
        <v>55.53</v>
      </c>
    </row>
    <row r="981" spans="1:14" hidden="1" x14ac:dyDescent="0.3">
      <c r="A981" t="s">
        <v>989</v>
      </c>
      <c r="B981" t="s">
        <v>1018</v>
      </c>
      <c r="C981" t="s">
        <v>1032</v>
      </c>
      <c r="D981">
        <v>23</v>
      </c>
      <c r="E981">
        <v>2</v>
      </c>
      <c r="F981" s="3">
        <v>62550</v>
      </c>
      <c r="G981">
        <v>53</v>
      </c>
      <c r="H981">
        <v>8</v>
      </c>
      <c r="I981">
        <v>8</v>
      </c>
      <c r="J981">
        <v>6</v>
      </c>
      <c r="K981">
        <v>4.4000000000000004</v>
      </c>
      <c r="L981" s="3">
        <v>4.3</v>
      </c>
      <c r="M981" t="s">
        <v>1036</v>
      </c>
      <c r="N981">
        <v>52.33</v>
      </c>
    </row>
    <row r="982" spans="1:14" hidden="1" x14ac:dyDescent="0.3">
      <c r="A982" t="s">
        <v>990</v>
      </c>
      <c r="B982" t="s">
        <v>1017</v>
      </c>
      <c r="C982" t="s">
        <v>1030</v>
      </c>
      <c r="D982">
        <v>41</v>
      </c>
      <c r="E982">
        <v>4</v>
      </c>
      <c r="F982" s="3">
        <v>31516</v>
      </c>
      <c r="G982">
        <v>45</v>
      </c>
      <c r="H982">
        <v>2</v>
      </c>
      <c r="I982">
        <v>22</v>
      </c>
      <c r="J982">
        <v>34</v>
      </c>
      <c r="K982">
        <v>2.6</v>
      </c>
      <c r="L982" s="3">
        <v>8.6999999999999993</v>
      </c>
      <c r="M982" t="s">
        <v>1034</v>
      </c>
      <c r="N982">
        <v>63.33</v>
      </c>
    </row>
    <row r="983" spans="1:14" x14ac:dyDescent="0.3">
      <c r="A983" t="s">
        <v>991</v>
      </c>
      <c r="B983" t="s">
        <v>1017</v>
      </c>
      <c r="C983" t="s">
        <v>1030</v>
      </c>
      <c r="D983">
        <v>55</v>
      </c>
      <c r="E983">
        <v>15</v>
      </c>
      <c r="F983" s="3">
        <v>29189</v>
      </c>
      <c r="G983">
        <v>51</v>
      </c>
      <c r="H983">
        <v>14</v>
      </c>
      <c r="I983">
        <v>18</v>
      </c>
      <c r="J983">
        <v>34</v>
      </c>
      <c r="K983">
        <v>4.0999999999999996</v>
      </c>
      <c r="L983" s="3">
        <v>8.5</v>
      </c>
      <c r="M983" t="s">
        <v>1034</v>
      </c>
      <c r="N983">
        <v>86.63</v>
      </c>
    </row>
    <row r="984" spans="1:14" hidden="1" x14ac:dyDescent="0.3">
      <c r="A984" t="s">
        <v>992</v>
      </c>
      <c r="B984" t="s">
        <v>1018</v>
      </c>
      <c r="C984" t="s">
        <v>1028</v>
      </c>
      <c r="D984">
        <v>29</v>
      </c>
      <c r="E984">
        <v>2</v>
      </c>
      <c r="F984" s="3">
        <v>81492</v>
      </c>
      <c r="G984">
        <v>54</v>
      </c>
      <c r="H984">
        <v>12</v>
      </c>
      <c r="I984">
        <v>5</v>
      </c>
      <c r="J984">
        <v>0</v>
      </c>
      <c r="K984">
        <v>3.7</v>
      </c>
      <c r="L984" s="3">
        <v>8.6</v>
      </c>
      <c r="M984" t="s">
        <v>1034</v>
      </c>
      <c r="N984">
        <v>82.7</v>
      </c>
    </row>
    <row r="985" spans="1:14" x14ac:dyDescent="0.3">
      <c r="A985" t="s">
        <v>993</v>
      </c>
      <c r="B985" t="s">
        <v>1014</v>
      </c>
      <c r="C985" t="s">
        <v>1019</v>
      </c>
      <c r="D985">
        <v>30</v>
      </c>
      <c r="E985">
        <v>9</v>
      </c>
      <c r="F985" s="3">
        <v>38515</v>
      </c>
      <c r="G985">
        <v>55</v>
      </c>
      <c r="H985">
        <v>3</v>
      </c>
      <c r="I985">
        <v>2</v>
      </c>
      <c r="J985">
        <v>35</v>
      </c>
      <c r="K985">
        <v>2.8</v>
      </c>
      <c r="L985" s="3">
        <v>8.3000000000000007</v>
      </c>
      <c r="M985" t="s">
        <v>1034</v>
      </c>
      <c r="N985">
        <v>63.2</v>
      </c>
    </row>
    <row r="986" spans="1:14" x14ac:dyDescent="0.3">
      <c r="A986" t="s">
        <v>994</v>
      </c>
      <c r="B986" t="s">
        <v>1014</v>
      </c>
      <c r="C986" t="s">
        <v>1025</v>
      </c>
      <c r="D986">
        <v>54</v>
      </c>
      <c r="E986">
        <v>9</v>
      </c>
      <c r="F986" s="3">
        <v>48826</v>
      </c>
      <c r="G986">
        <v>52</v>
      </c>
      <c r="H986">
        <v>3</v>
      </c>
      <c r="I986">
        <v>13</v>
      </c>
      <c r="J986">
        <v>0</v>
      </c>
      <c r="K986">
        <v>2.7</v>
      </c>
      <c r="L986" s="3">
        <v>3.3</v>
      </c>
      <c r="M986" t="s">
        <v>1036</v>
      </c>
      <c r="N986">
        <v>32.9</v>
      </c>
    </row>
    <row r="987" spans="1:14" hidden="1" x14ac:dyDescent="0.3">
      <c r="A987" t="s">
        <v>995</v>
      </c>
      <c r="B987" t="s">
        <v>1016</v>
      </c>
      <c r="C987" t="s">
        <v>1022</v>
      </c>
      <c r="D987">
        <v>50</v>
      </c>
      <c r="E987">
        <v>4</v>
      </c>
      <c r="F987" s="3">
        <v>62818</v>
      </c>
      <c r="G987">
        <v>50</v>
      </c>
      <c r="H987">
        <v>12</v>
      </c>
      <c r="I987">
        <v>10</v>
      </c>
      <c r="J987">
        <v>33</v>
      </c>
      <c r="K987">
        <v>4.7</v>
      </c>
      <c r="L987" s="3">
        <v>10</v>
      </c>
      <c r="M987" t="s">
        <v>1034</v>
      </c>
      <c r="N987">
        <v>94.1</v>
      </c>
    </row>
    <row r="988" spans="1:14" hidden="1" x14ac:dyDescent="0.3">
      <c r="A988" t="s">
        <v>996</v>
      </c>
      <c r="B988" t="s">
        <v>1015</v>
      </c>
      <c r="C988" t="s">
        <v>1029</v>
      </c>
      <c r="D988">
        <v>54</v>
      </c>
      <c r="E988">
        <v>6</v>
      </c>
      <c r="F988" s="3">
        <v>70084</v>
      </c>
      <c r="G988">
        <v>38</v>
      </c>
      <c r="H988">
        <v>11</v>
      </c>
      <c r="I988">
        <v>1</v>
      </c>
      <c r="J988">
        <v>15</v>
      </c>
      <c r="K988">
        <v>2.1</v>
      </c>
      <c r="L988" s="3">
        <v>4</v>
      </c>
      <c r="M988" t="s">
        <v>1036</v>
      </c>
      <c r="N988">
        <v>48.63</v>
      </c>
    </row>
    <row r="989" spans="1:14" x14ac:dyDescent="0.3">
      <c r="A989" t="s">
        <v>997</v>
      </c>
      <c r="B989" t="s">
        <v>1018</v>
      </c>
      <c r="C989" t="s">
        <v>1032</v>
      </c>
      <c r="D989">
        <v>35</v>
      </c>
      <c r="E989">
        <v>9</v>
      </c>
      <c r="F989" s="3">
        <v>48531</v>
      </c>
      <c r="G989">
        <v>43</v>
      </c>
      <c r="H989">
        <v>3</v>
      </c>
      <c r="I989">
        <v>23</v>
      </c>
      <c r="J989">
        <v>39</v>
      </c>
      <c r="K989">
        <v>3.3</v>
      </c>
      <c r="L989" s="3">
        <v>6.8</v>
      </c>
      <c r="M989" t="s">
        <v>1035</v>
      </c>
      <c r="N989">
        <v>55.7</v>
      </c>
    </row>
    <row r="990" spans="1:14" hidden="1" x14ac:dyDescent="0.3">
      <c r="A990" t="s">
        <v>998</v>
      </c>
      <c r="B990" t="s">
        <v>1017</v>
      </c>
      <c r="C990" t="s">
        <v>1030</v>
      </c>
      <c r="D990">
        <v>32</v>
      </c>
      <c r="E990">
        <v>6</v>
      </c>
      <c r="F990" s="3">
        <v>54888</v>
      </c>
      <c r="G990">
        <v>37</v>
      </c>
      <c r="H990">
        <v>5</v>
      </c>
      <c r="I990">
        <v>21</v>
      </c>
      <c r="J990">
        <v>27</v>
      </c>
      <c r="K990">
        <v>4.8</v>
      </c>
      <c r="L990" s="3">
        <v>4</v>
      </c>
      <c r="M990" t="s">
        <v>1036</v>
      </c>
      <c r="N990">
        <v>46.73</v>
      </c>
    </row>
    <row r="991" spans="1:14" x14ac:dyDescent="0.3">
      <c r="A991" t="s">
        <v>999</v>
      </c>
      <c r="B991" t="s">
        <v>1014</v>
      </c>
      <c r="C991" t="s">
        <v>1019</v>
      </c>
      <c r="D991">
        <v>39</v>
      </c>
      <c r="E991">
        <v>6</v>
      </c>
      <c r="F991" s="3">
        <v>71821</v>
      </c>
      <c r="G991">
        <v>46</v>
      </c>
      <c r="H991">
        <v>10</v>
      </c>
      <c r="I991">
        <v>21</v>
      </c>
      <c r="J991">
        <v>32</v>
      </c>
      <c r="K991">
        <v>3.8</v>
      </c>
      <c r="L991" s="3">
        <v>5.9</v>
      </c>
      <c r="M991" t="s">
        <v>1036</v>
      </c>
      <c r="N991">
        <v>63.47</v>
      </c>
    </row>
    <row r="992" spans="1:14" x14ac:dyDescent="0.3">
      <c r="A992" t="s">
        <v>1000</v>
      </c>
      <c r="B992" t="s">
        <v>1016</v>
      </c>
      <c r="C992" t="s">
        <v>1022</v>
      </c>
      <c r="D992">
        <v>49</v>
      </c>
      <c r="E992">
        <v>12</v>
      </c>
      <c r="F992" s="3">
        <v>26698</v>
      </c>
      <c r="G992">
        <v>54</v>
      </c>
      <c r="H992">
        <v>4</v>
      </c>
      <c r="I992">
        <v>2</v>
      </c>
      <c r="J992">
        <v>17</v>
      </c>
      <c r="K992">
        <v>2.4</v>
      </c>
      <c r="L992" s="3">
        <v>3.8</v>
      </c>
      <c r="M992" t="s">
        <v>1036</v>
      </c>
      <c r="N992">
        <v>36.67</v>
      </c>
    </row>
    <row r="993" spans="1:14" hidden="1" x14ac:dyDescent="0.3">
      <c r="A993" t="s">
        <v>1001</v>
      </c>
      <c r="B993" t="s">
        <v>1017</v>
      </c>
      <c r="C993" t="s">
        <v>1026</v>
      </c>
      <c r="D993">
        <v>26</v>
      </c>
      <c r="E993">
        <v>2</v>
      </c>
      <c r="F993" s="3">
        <v>66954</v>
      </c>
      <c r="G993">
        <v>37</v>
      </c>
      <c r="H993">
        <v>6</v>
      </c>
      <c r="I993">
        <v>10</v>
      </c>
      <c r="J993">
        <v>17</v>
      </c>
      <c r="K993">
        <v>2.4</v>
      </c>
      <c r="L993" s="3">
        <v>8.6</v>
      </c>
      <c r="M993" t="s">
        <v>1034</v>
      </c>
      <c r="N993">
        <v>68.8</v>
      </c>
    </row>
    <row r="994" spans="1:14" x14ac:dyDescent="0.3">
      <c r="A994" t="s">
        <v>1002</v>
      </c>
      <c r="B994" t="s">
        <v>1014</v>
      </c>
      <c r="C994" t="s">
        <v>1031</v>
      </c>
      <c r="D994">
        <v>28</v>
      </c>
      <c r="E994">
        <v>6</v>
      </c>
      <c r="F994" s="3">
        <v>89191</v>
      </c>
      <c r="G994">
        <v>42</v>
      </c>
      <c r="H994">
        <v>7</v>
      </c>
      <c r="I994">
        <v>3</v>
      </c>
      <c r="J994">
        <v>7</v>
      </c>
      <c r="K994">
        <v>2.5</v>
      </c>
      <c r="L994" s="3">
        <v>8.1</v>
      </c>
      <c r="M994" t="s">
        <v>1034</v>
      </c>
      <c r="N994">
        <v>67.77</v>
      </c>
    </row>
    <row r="995" spans="1:14" hidden="1" x14ac:dyDescent="0.3">
      <c r="A995" t="s">
        <v>1003</v>
      </c>
      <c r="B995" t="s">
        <v>1015</v>
      </c>
      <c r="C995" t="s">
        <v>1029</v>
      </c>
      <c r="D995">
        <v>53</v>
      </c>
      <c r="E995">
        <v>3</v>
      </c>
      <c r="F995" s="3">
        <v>59665</v>
      </c>
      <c r="G995">
        <v>46</v>
      </c>
      <c r="H995">
        <v>12</v>
      </c>
      <c r="I995">
        <v>18</v>
      </c>
      <c r="J995">
        <v>18</v>
      </c>
      <c r="K995">
        <v>3.7</v>
      </c>
      <c r="L995" s="3">
        <v>7.3</v>
      </c>
      <c r="M995" t="s">
        <v>1035</v>
      </c>
      <c r="N995">
        <v>74.900000000000006</v>
      </c>
    </row>
    <row r="996" spans="1:14" x14ac:dyDescent="0.3">
      <c r="A996" t="s">
        <v>1004</v>
      </c>
      <c r="B996" t="s">
        <v>1018</v>
      </c>
      <c r="C996" t="s">
        <v>1032</v>
      </c>
      <c r="D996">
        <v>42</v>
      </c>
      <c r="E996">
        <v>12</v>
      </c>
      <c r="F996" s="3">
        <v>36840</v>
      </c>
      <c r="G996">
        <v>46</v>
      </c>
      <c r="H996">
        <v>13</v>
      </c>
      <c r="I996">
        <v>23</v>
      </c>
      <c r="J996">
        <v>34</v>
      </c>
      <c r="K996">
        <v>3.7</v>
      </c>
      <c r="L996" s="3">
        <v>9.1999999999999993</v>
      </c>
      <c r="M996" t="s">
        <v>1034</v>
      </c>
      <c r="N996">
        <v>87.97</v>
      </c>
    </row>
    <row r="997" spans="1:14" hidden="1" x14ac:dyDescent="0.3">
      <c r="A997" t="s">
        <v>1005</v>
      </c>
      <c r="B997" t="s">
        <v>1017</v>
      </c>
      <c r="C997" t="s">
        <v>1026</v>
      </c>
      <c r="D997">
        <v>30</v>
      </c>
      <c r="E997">
        <v>4</v>
      </c>
      <c r="F997" s="3">
        <v>25622</v>
      </c>
      <c r="G997">
        <v>51</v>
      </c>
      <c r="H997">
        <v>12</v>
      </c>
      <c r="I997">
        <v>4</v>
      </c>
      <c r="J997">
        <v>8</v>
      </c>
      <c r="K997">
        <v>2.4</v>
      </c>
      <c r="L997" s="3">
        <v>7</v>
      </c>
      <c r="M997" t="s">
        <v>1035</v>
      </c>
      <c r="N997">
        <v>69.2</v>
      </c>
    </row>
    <row r="998" spans="1:14" x14ac:dyDescent="0.3">
      <c r="A998" t="s">
        <v>1006</v>
      </c>
      <c r="B998" t="s">
        <v>1014</v>
      </c>
      <c r="C998" t="s">
        <v>1031</v>
      </c>
      <c r="D998">
        <v>45</v>
      </c>
      <c r="E998">
        <v>7</v>
      </c>
      <c r="F998" s="3">
        <v>69447</v>
      </c>
      <c r="G998">
        <v>54</v>
      </c>
      <c r="H998">
        <v>7</v>
      </c>
      <c r="I998">
        <v>22</v>
      </c>
      <c r="J998">
        <v>29</v>
      </c>
      <c r="K998">
        <v>2.5</v>
      </c>
      <c r="L998" s="3">
        <v>9.9</v>
      </c>
      <c r="M998" t="s">
        <v>1034</v>
      </c>
      <c r="N998">
        <v>78.569999999999993</v>
      </c>
    </row>
    <row r="999" spans="1:14" x14ac:dyDescent="0.3">
      <c r="A999" t="s">
        <v>1007</v>
      </c>
      <c r="B999" t="s">
        <v>1015</v>
      </c>
      <c r="C999" t="s">
        <v>1021</v>
      </c>
      <c r="D999">
        <v>40</v>
      </c>
      <c r="E999">
        <v>8</v>
      </c>
      <c r="F999" s="3">
        <v>87430</v>
      </c>
      <c r="G999">
        <v>48</v>
      </c>
      <c r="H999">
        <v>9</v>
      </c>
      <c r="I999">
        <v>22</v>
      </c>
      <c r="J999">
        <v>14</v>
      </c>
      <c r="K999">
        <v>2.9</v>
      </c>
      <c r="L999" s="3">
        <v>9</v>
      </c>
      <c r="M999" t="s">
        <v>1034</v>
      </c>
      <c r="N999">
        <v>77.7</v>
      </c>
    </row>
    <row r="1000" spans="1:14" hidden="1" x14ac:dyDescent="0.3">
      <c r="A1000" t="s">
        <v>1008</v>
      </c>
      <c r="B1000" t="s">
        <v>1017</v>
      </c>
      <c r="C1000" t="s">
        <v>1030</v>
      </c>
      <c r="D1000">
        <v>42</v>
      </c>
      <c r="E1000">
        <v>2</v>
      </c>
      <c r="F1000" s="3">
        <v>66594</v>
      </c>
      <c r="G1000">
        <v>37</v>
      </c>
      <c r="H1000">
        <v>2</v>
      </c>
      <c r="I1000">
        <v>23</v>
      </c>
      <c r="J1000">
        <v>15</v>
      </c>
      <c r="K1000">
        <v>4.8</v>
      </c>
      <c r="L1000" s="3">
        <v>4.2</v>
      </c>
      <c r="M1000" t="s">
        <v>1036</v>
      </c>
      <c r="N1000">
        <v>42.93</v>
      </c>
    </row>
    <row r="1001" spans="1:14" hidden="1" x14ac:dyDescent="0.3">
      <c r="A1001" t="s">
        <v>1009</v>
      </c>
      <c r="B1001" t="s">
        <v>1014</v>
      </c>
      <c r="C1001" t="s">
        <v>1031</v>
      </c>
      <c r="D1001">
        <v>40</v>
      </c>
      <c r="E1001">
        <v>15</v>
      </c>
      <c r="F1001" s="3">
        <v>77975</v>
      </c>
      <c r="G1001">
        <v>35</v>
      </c>
      <c r="H1001">
        <v>7</v>
      </c>
      <c r="I1001">
        <v>21</v>
      </c>
      <c r="J1001">
        <v>32</v>
      </c>
      <c r="K1001">
        <v>4.8</v>
      </c>
      <c r="L1001" s="3">
        <v>4</v>
      </c>
      <c r="M1001" t="s">
        <v>1036</v>
      </c>
      <c r="N1001">
        <v>50.07</v>
      </c>
    </row>
    <row r="1002" spans="1:14" x14ac:dyDescent="0.3">
      <c r="A1002" t="s">
        <v>1010</v>
      </c>
      <c r="B1002" t="s">
        <v>1015</v>
      </c>
      <c r="C1002" t="s">
        <v>1020</v>
      </c>
      <c r="D1002">
        <v>29</v>
      </c>
      <c r="E1002">
        <v>6</v>
      </c>
      <c r="F1002" s="3">
        <v>25910</v>
      </c>
      <c r="G1002">
        <v>54</v>
      </c>
      <c r="H1002">
        <v>4</v>
      </c>
      <c r="I1002">
        <v>23</v>
      </c>
      <c r="J1002">
        <v>0</v>
      </c>
      <c r="K1002">
        <v>4.0999999999999996</v>
      </c>
      <c r="L1002" s="3">
        <v>7.9</v>
      </c>
      <c r="M1002" t="s">
        <v>1035</v>
      </c>
      <c r="N1002">
        <v>66.37</v>
      </c>
    </row>
    <row r="1003" spans="1:14" hidden="1" x14ac:dyDescent="0.3">
      <c r="A1003" t="s">
        <v>1011</v>
      </c>
      <c r="B1003" t="s">
        <v>1016</v>
      </c>
      <c r="C1003" t="s">
        <v>1033</v>
      </c>
      <c r="D1003">
        <v>37</v>
      </c>
      <c r="E1003">
        <v>1</v>
      </c>
      <c r="F1003" s="3">
        <v>64804</v>
      </c>
      <c r="G1003">
        <v>49</v>
      </c>
      <c r="H1003">
        <v>3</v>
      </c>
      <c r="I1003">
        <v>21</v>
      </c>
      <c r="J1003">
        <v>33</v>
      </c>
      <c r="K1003">
        <v>4.7</v>
      </c>
      <c r="L1003" s="3">
        <v>4.2</v>
      </c>
      <c r="M1003" t="s">
        <v>1036</v>
      </c>
      <c r="N1003">
        <v>44.3</v>
      </c>
    </row>
    <row r="1004" spans="1:14" hidden="1" x14ac:dyDescent="0.3">
      <c r="A1004" t="s">
        <v>1012</v>
      </c>
      <c r="B1004" t="s">
        <v>1018</v>
      </c>
      <c r="C1004" t="s">
        <v>1032</v>
      </c>
      <c r="D1004">
        <v>54</v>
      </c>
      <c r="E1004">
        <v>11</v>
      </c>
      <c r="F1004" s="3">
        <v>87421</v>
      </c>
      <c r="G1004">
        <v>36</v>
      </c>
      <c r="H1004">
        <v>7</v>
      </c>
      <c r="I1004">
        <v>15</v>
      </c>
      <c r="J1004">
        <v>24</v>
      </c>
      <c r="K1004">
        <v>2.5</v>
      </c>
      <c r="L1004" s="3">
        <v>9.8000000000000007</v>
      </c>
      <c r="M1004" t="s">
        <v>1034</v>
      </c>
      <c r="N1004">
        <v>77.97</v>
      </c>
    </row>
    <row r="1005" spans="1:14" hidden="1" x14ac:dyDescent="0.3">
      <c r="A1005" t="s">
        <v>1013</v>
      </c>
      <c r="B1005" t="s">
        <v>1018</v>
      </c>
      <c r="C1005" t="s">
        <v>1032</v>
      </c>
      <c r="D1005">
        <v>29</v>
      </c>
      <c r="E1005">
        <v>4</v>
      </c>
      <c r="F1005" s="3">
        <v>44606</v>
      </c>
      <c r="G1005">
        <v>50</v>
      </c>
      <c r="H1005">
        <v>5</v>
      </c>
      <c r="I1005">
        <v>8</v>
      </c>
      <c r="J1005">
        <v>13</v>
      </c>
      <c r="K1005">
        <v>2</v>
      </c>
      <c r="L1005" s="3">
        <v>7.4</v>
      </c>
      <c r="M1005" t="s">
        <v>1035</v>
      </c>
      <c r="N1005">
        <v>58.73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Raw_Data</vt:lpstr>
      <vt:lpstr>Project Overview</vt:lpstr>
      <vt:lpstr>Dashboard</vt:lpstr>
      <vt:lpstr>Dashboard2</vt:lpstr>
      <vt:lpstr>Dashboard3</vt:lpstr>
      <vt:lpstr>Dashboard4</vt:lpstr>
      <vt:lpstr>Dashboard4!Criteria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SHRI</dc:creator>
  <cp:lastModifiedBy>REENA SHRI</cp:lastModifiedBy>
  <dcterms:created xsi:type="dcterms:W3CDTF">2026-09-10T16:57:33Z</dcterms:created>
  <dcterms:modified xsi:type="dcterms:W3CDTF">2026-09-11T20:05:23Z</dcterms:modified>
</cp:coreProperties>
</file>